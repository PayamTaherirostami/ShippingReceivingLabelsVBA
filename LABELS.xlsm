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ropbox\Logounltd\New folder\"/>
    </mc:Choice>
  </mc:AlternateContent>
  <xr:revisionPtr revIDLastSave="0" documentId="13_ncr:1_{1EE88A11-855E-41D5-840F-9610ACC568E4}" xr6:coauthVersionLast="47" xr6:coauthVersionMax="47" xr10:uidLastSave="{00000000-0000-0000-0000-000000000000}"/>
  <bookViews>
    <workbookView xWindow="-120" yWindow="-120" windowWidth="24240" windowHeight="17640" activeTab="7" xr2:uid="{D84086E0-02CD-4FD8-A91F-AC11C7C47A8A}"/>
  </bookViews>
  <sheets>
    <sheet name="Start" sheetId="10" r:id="rId1"/>
    <sheet name="Sheet3" sheetId="12" state="veryHidden" r:id="rId2"/>
    <sheet name="labels" sheetId="20" state="veryHidden" r:id="rId3"/>
    <sheet name="clacs" sheetId="17" state="hidden" r:id="rId4"/>
    <sheet name="print" sheetId="18" state="veryHidden" r:id="rId5"/>
    <sheet name="Email" sheetId="21" state="veryHidden" r:id="rId6"/>
    <sheet name="Sheet5" sheetId="15" state="veryHidden" r:id="rId7"/>
    <sheet name="BDA" sheetId="6" r:id="rId8"/>
    <sheet name="Sheet2" sheetId="11" state="veryHidden" r:id="rId9"/>
    <sheet name="Sheet1" sheetId="8" state="veryHidden" r:id="rId10"/>
  </sheets>
  <externalReferences>
    <externalReference r:id="rId11"/>
  </externalReferences>
  <definedNames>
    <definedName name="customers">labels!$K$4:$K$213</definedName>
    <definedName name="CustType">OFFSET([1]Customers!$O$2,,,COUNTIF([1]Customers!$O$2:$O$20,"&lt;&gt;"&amp;0),1)</definedName>
    <definedName name="dd">labels!$R$4:$R$10</definedName>
    <definedName name="Depts">labels!$R$5:$R$10</definedName>
    <definedName name="ITEM">Sheet1!$H$1:$H$13</definedName>
    <definedName name="Item22">Sheet1!$H$1:$H$15</definedName>
    <definedName name="mah">labels!$P$4:$P$16</definedName>
    <definedName name="maha">BDA!$H$11:$H$22</definedName>
    <definedName name="monthz">labels!$P$5:$P$16</definedName>
    <definedName name="_xlnm.Print_Area" localSheetId="7">BDA!$A$1:$K$24</definedName>
    <definedName name="_xlnm.Print_Area" localSheetId="4">print!$A$1:$K$24</definedName>
    <definedName name="_xlnm.Print_Area" localSheetId="1">Sheet3!$C$1:$K$24</definedName>
    <definedName name="_xlnm.Print_Area" localSheetId="0">Start!$C$1:$K$24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6" l="1"/>
  <c r="E15" i="18"/>
  <c r="J6" i="21" s="1"/>
  <c r="G18" i="17"/>
  <c r="K27" i="6"/>
  <c r="K9" i="6"/>
  <c r="M9" i="6" s="1"/>
  <c r="C1" i="12"/>
  <c r="C23" i="6"/>
  <c r="G16" i="17" s="1"/>
  <c r="D17" i="18" s="1"/>
  <c r="B23" i="6"/>
  <c r="C21" i="6"/>
  <c r="A6" i="18"/>
  <c r="AA8" i="17"/>
  <c r="AB8" i="17"/>
  <c r="AC8" i="17"/>
  <c r="AA9" i="17"/>
  <c r="AB9" i="17"/>
  <c r="AC9" i="17"/>
  <c r="AA10" i="17"/>
  <c r="AB10" i="17"/>
  <c r="AC10" i="17"/>
  <c r="AA11" i="17"/>
  <c r="AB11" i="17"/>
  <c r="AC11" i="17"/>
  <c r="AA12" i="17"/>
  <c r="AB12" i="17"/>
  <c r="AC12" i="17"/>
  <c r="AA13" i="17"/>
  <c r="AB13" i="17"/>
  <c r="AC13" i="17"/>
  <c r="AA14" i="17"/>
  <c r="AB14" i="17"/>
  <c r="AC14" i="17"/>
  <c r="AA15" i="17"/>
  <c r="AB15" i="17"/>
  <c r="AC15" i="17"/>
  <c r="X16" i="17"/>
  <c r="Y16" i="17"/>
  <c r="Z16" i="17"/>
  <c r="AA16" i="17"/>
  <c r="AB16" i="17"/>
  <c r="AC16" i="17"/>
  <c r="AD16" i="17"/>
  <c r="X17" i="17"/>
  <c r="AD17" i="17" s="1"/>
  <c r="Y17" i="17"/>
  <c r="Z17" i="17"/>
  <c r="AA17" i="17"/>
  <c r="AB17" i="17"/>
  <c r="AC17" i="17"/>
  <c r="X18" i="17"/>
  <c r="AD18" i="17" s="1"/>
  <c r="Y18" i="17"/>
  <c r="Z18" i="17"/>
  <c r="AA18" i="17"/>
  <c r="AB18" i="17"/>
  <c r="AC18" i="17"/>
  <c r="X19" i="17"/>
  <c r="Y19" i="17"/>
  <c r="Z19" i="17"/>
  <c r="AA19" i="17"/>
  <c r="AB19" i="17"/>
  <c r="AC19" i="17"/>
  <c r="AD19" i="17"/>
  <c r="X20" i="17"/>
  <c r="AD20" i="17" s="1"/>
  <c r="Y20" i="17"/>
  <c r="Z20" i="17"/>
  <c r="AA20" i="17"/>
  <c r="AB20" i="17"/>
  <c r="AC20" i="17"/>
  <c r="X21" i="17"/>
  <c r="AD21" i="17" s="1"/>
  <c r="Y21" i="17"/>
  <c r="Z21" i="17"/>
  <c r="AA21" i="17"/>
  <c r="AB21" i="17"/>
  <c r="AC21" i="17"/>
  <c r="X22" i="17"/>
  <c r="AD22" i="17" s="1"/>
  <c r="Y22" i="17"/>
  <c r="Z22" i="17"/>
  <c r="AA22" i="17"/>
  <c r="AB22" i="17"/>
  <c r="AC22" i="17"/>
  <c r="X23" i="17"/>
  <c r="Y23" i="17"/>
  <c r="Z23" i="17"/>
  <c r="AA23" i="17"/>
  <c r="AB23" i="17"/>
  <c r="AC23" i="17"/>
  <c r="AD23" i="17"/>
  <c r="X24" i="17"/>
  <c r="Y24" i="17"/>
  <c r="Z24" i="17"/>
  <c r="AA24" i="17"/>
  <c r="AB24" i="17"/>
  <c r="AC24" i="17"/>
  <c r="AD24" i="17"/>
  <c r="X25" i="17"/>
  <c r="AD25" i="17" s="1"/>
  <c r="Y25" i="17"/>
  <c r="Z25" i="17"/>
  <c r="AA25" i="17"/>
  <c r="AB25" i="17"/>
  <c r="AC25" i="17"/>
  <c r="X26" i="17"/>
  <c r="AD26" i="17" s="1"/>
  <c r="Y26" i="17"/>
  <c r="Z26" i="17"/>
  <c r="AA26" i="17"/>
  <c r="AB26" i="17"/>
  <c r="AC26" i="17"/>
  <c r="AA27" i="17"/>
  <c r="AB27" i="17"/>
  <c r="AC27" i="17"/>
  <c r="AA28" i="17"/>
  <c r="AB28" i="17"/>
  <c r="AC28" i="17"/>
  <c r="AA29" i="17"/>
  <c r="AB29" i="17"/>
  <c r="AC29" i="17"/>
  <c r="AA30" i="17"/>
  <c r="AB30" i="17"/>
  <c r="AC30" i="17"/>
  <c r="AA31" i="17"/>
  <c r="AB31" i="17"/>
  <c r="AC31" i="17"/>
  <c r="AA32" i="17"/>
  <c r="AB32" i="17"/>
  <c r="AC32" i="17"/>
  <c r="AA33" i="17"/>
  <c r="AB33" i="17"/>
  <c r="AC33" i="17"/>
  <c r="AA34" i="17"/>
  <c r="AB34" i="17"/>
  <c r="AC34" i="17"/>
  <c r="AA35" i="17"/>
  <c r="AB35" i="17"/>
  <c r="AC35" i="17"/>
  <c r="X36" i="17"/>
  <c r="AD36" i="17" s="1"/>
  <c r="Y36" i="17"/>
  <c r="Z36" i="17"/>
  <c r="AA36" i="17"/>
  <c r="AB36" i="17"/>
  <c r="AC36" i="17"/>
  <c r="X37" i="17"/>
  <c r="AD37" i="17" s="1"/>
  <c r="Y37" i="17"/>
  <c r="Z37" i="17"/>
  <c r="AA37" i="17"/>
  <c r="AB37" i="17"/>
  <c r="AC37" i="17"/>
  <c r="X38" i="17"/>
  <c r="Y38" i="17"/>
  <c r="Z38" i="17"/>
  <c r="AA38" i="17"/>
  <c r="AB38" i="17"/>
  <c r="AC38" i="17"/>
  <c r="AD38" i="17"/>
  <c r="X39" i="17"/>
  <c r="Y39" i="17"/>
  <c r="Z39" i="17"/>
  <c r="AA39" i="17"/>
  <c r="AB39" i="17"/>
  <c r="AC39" i="17"/>
  <c r="AD39" i="17"/>
  <c r="X40" i="17"/>
  <c r="AD40" i="17" s="1"/>
  <c r="Y40" i="17"/>
  <c r="Z40" i="17"/>
  <c r="AA40" i="17"/>
  <c r="AB40" i="17"/>
  <c r="AC40" i="17"/>
  <c r="X41" i="17"/>
  <c r="AD41" i="17" s="1"/>
  <c r="Y41" i="17"/>
  <c r="Z41" i="17"/>
  <c r="AA41" i="17"/>
  <c r="AB41" i="17"/>
  <c r="AC41" i="17"/>
  <c r="X42" i="17"/>
  <c r="AD42" i="17" s="1"/>
  <c r="Y42" i="17"/>
  <c r="Z42" i="17"/>
  <c r="AA42" i="17"/>
  <c r="AB42" i="17"/>
  <c r="AC42" i="17"/>
  <c r="X43" i="17"/>
  <c r="Y43" i="17"/>
  <c r="Z43" i="17"/>
  <c r="AA43" i="17"/>
  <c r="AB43" i="17"/>
  <c r="AC43" i="17"/>
  <c r="AD43" i="17"/>
  <c r="X44" i="17"/>
  <c r="AD44" i="17" s="1"/>
  <c r="Y44" i="17"/>
  <c r="Z44" i="17"/>
  <c r="AA44" i="17"/>
  <c r="AB44" i="17"/>
  <c r="AC44" i="17"/>
  <c r="X45" i="17"/>
  <c r="AD45" i="17" s="1"/>
  <c r="Y45" i="17"/>
  <c r="Z45" i="17"/>
  <c r="AA45" i="17"/>
  <c r="AB45" i="17"/>
  <c r="AC45" i="17"/>
  <c r="X46" i="17"/>
  <c r="Y46" i="17"/>
  <c r="Z46" i="17"/>
  <c r="AA46" i="17"/>
  <c r="AB46" i="17"/>
  <c r="AC46" i="17"/>
  <c r="AD46" i="17"/>
  <c r="X47" i="17"/>
  <c r="Y47" i="17"/>
  <c r="Z47" i="17"/>
  <c r="AA47" i="17"/>
  <c r="AB47" i="17"/>
  <c r="AC47" i="17"/>
  <c r="AD47" i="17"/>
  <c r="AA48" i="17"/>
  <c r="AB48" i="17"/>
  <c r="AC48" i="17"/>
  <c r="AA49" i="17"/>
  <c r="AB49" i="17"/>
  <c r="AC49" i="17"/>
  <c r="AA50" i="17"/>
  <c r="AB50" i="17"/>
  <c r="AC50" i="17"/>
  <c r="AA51" i="17"/>
  <c r="AB51" i="17"/>
  <c r="AC51" i="17"/>
  <c r="AA52" i="17"/>
  <c r="AB52" i="17"/>
  <c r="AC52" i="17"/>
  <c r="AA53" i="17"/>
  <c r="AB53" i="17"/>
  <c r="AC53" i="17"/>
  <c r="AA54" i="17"/>
  <c r="AB54" i="17"/>
  <c r="AC54" i="17"/>
  <c r="AA55" i="17"/>
  <c r="AB55" i="17"/>
  <c r="AC55" i="17"/>
  <c r="X56" i="17"/>
  <c r="AD56" i="17" s="1"/>
  <c r="Y56" i="17"/>
  <c r="Z56" i="17"/>
  <c r="AA56" i="17"/>
  <c r="AB56" i="17"/>
  <c r="AC56" i="17"/>
  <c r="X57" i="17"/>
  <c r="AD57" i="17" s="1"/>
  <c r="Y57" i="17"/>
  <c r="Z57" i="17"/>
  <c r="AA57" i="17"/>
  <c r="AB57" i="17"/>
  <c r="AC57" i="17"/>
  <c r="X58" i="17"/>
  <c r="AD58" i="17" s="1"/>
  <c r="Y58" i="17"/>
  <c r="Z58" i="17"/>
  <c r="AA58" i="17"/>
  <c r="AB58" i="17"/>
  <c r="AC58" i="17"/>
  <c r="X59" i="17"/>
  <c r="Y59" i="17"/>
  <c r="Z59" i="17"/>
  <c r="AA59" i="17"/>
  <c r="AB59" i="17"/>
  <c r="AC59" i="17"/>
  <c r="AD59" i="17"/>
  <c r="X60" i="17"/>
  <c r="Y60" i="17"/>
  <c r="Z60" i="17"/>
  <c r="AA60" i="17"/>
  <c r="AB60" i="17"/>
  <c r="AC60" i="17"/>
  <c r="AD60" i="17"/>
  <c r="X61" i="17"/>
  <c r="AD61" i="17" s="1"/>
  <c r="Y61" i="17"/>
  <c r="Z61" i="17"/>
  <c r="AA61" i="17"/>
  <c r="AB61" i="17"/>
  <c r="AC61" i="17"/>
  <c r="X62" i="17"/>
  <c r="Y62" i="17"/>
  <c r="Z62" i="17"/>
  <c r="AA62" i="17"/>
  <c r="AB62" i="17"/>
  <c r="AC62" i="17"/>
  <c r="AD62" i="17"/>
  <c r="X63" i="17"/>
  <c r="Y63" i="17"/>
  <c r="Z63" i="17"/>
  <c r="AA63" i="17"/>
  <c r="AB63" i="17"/>
  <c r="AC63" i="17"/>
  <c r="AD63" i="17"/>
  <c r="X64" i="17"/>
  <c r="AD64" i="17" s="1"/>
  <c r="Y64" i="17"/>
  <c r="Z64" i="17"/>
  <c r="AA64" i="17"/>
  <c r="AB64" i="17"/>
  <c r="AC64" i="17"/>
  <c r="X65" i="17"/>
  <c r="AD65" i="17" s="1"/>
  <c r="Y65" i="17"/>
  <c r="Z65" i="17"/>
  <c r="AA65" i="17"/>
  <c r="AB65" i="17"/>
  <c r="AC65" i="17"/>
  <c r="X66" i="17"/>
  <c r="AD66" i="17" s="1"/>
  <c r="Y66" i="17"/>
  <c r="Z66" i="17"/>
  <c r="AA66" i="17"/>
  <c r="AB66" i="17"/>
  <c r="AC66" i="17"/>
  <c r="X67" i="17"/>
  <c r="Y67" i="17"/>
  <c r="Z67" i="17"/>
  <c r="AA67" i="17"/>
  <c r="AB67" i="17"/>
  <c r="AC67" i="17"/>
  <c r="AD67" i="17"/>
  <c r="AA68" i="17"/>
  <c r="AB68" i="17"/>
  <c r="AC68" i="17"/>
  <c r="AA69" i="17"/>
  <c r="AB69" i="17"/>
  <c r="AC69" i="17"/>
  <c r="AA70" i="17"/>
  <c r="AB70" i="17"/>
  <c r="AC70" i="17"/>
  <c r="AA71" i="17"/>
  <c r="AB71" i="17"/>
  <c r="AC71" i="17"/>
  <c r="AA72" i="17"/>
  <c r="AB72" i="17"/>
  <c r="AC72" i="17"/>
  <c r="AA73" i="17"/>
  <c r="AB73" i="17"/>
  <c r="AC73" i="17"/>
  <c r="AA74" i="17"/>
  <c r="AB74" i="17"/>
  <c r="AC74" i="17"/>
  <c r="AA75" i="17"/>
  <c r="AB75" i="17"/>
  <c r="AC75" i="17"/>
  <c r="X76" i="17"/>
  <c r="Y76" i="17"/>
  <c r="Z76" i="17"/>
  <c r="AA76" i="17"/>
  <c r="AB76" i="17"/>
  <c r="AC76" i="17"/>
  <c r="AD76" i="17"/>
  <c r="X77" i="17"/>
  <c r="AD77" i="17" s="1"/>
  <c r="Y77" i="17"/>
  <c r="Z77" i="17"/>
  <c r="AA77" i="17"/>
  <c r="AB77" i="17"/>
  <c r="AC77" i="17"/>
  <c r="X78" i="17"/>
  <c r="Y78" i="17"/>
  <c r="Z78" i="17"/>
  <c r="AA78" i="17"/>
  <c r="AB78" i="17"/>
  <c r="AC78" i="17"/>
  <c r="AD78" i="17"/>
  <c r="X79" i="17"/>
  <c r="Y79" i="17"/>
  <c r="Z79" i="17"/>
  <c r="AA79" i="17"/>
  <c r="AB79" i="17"/>
  <c r="AC79" i="17"/>
  <c r="AD79" i="17"/>
  <c r="X80" i="17"/>
  <c r="AD80" i="17" s="1"/>
  <c r="Y80" i="17"/>
  <c r="Z80" i="17"/>
  <c r="AA80" i="17"/>
  <c r="AB80" i="17"/>
  <c r="AC80" i="17"/>
  <c r="X81" i="17"/>
  <c r="AD81" i="17" s="1"/>
  <c r="Y81" i="17"/>
  <c r="Z81" i="17"/>
  <c r="AA81" i="17"/>
  <c r="AB81" i="17"/>
  <c r="AC81" i="17"/>
  <c r="X82" i="17"/>
  <c r="AD82" i="17" s="1"/>
  <c r="Y82" i="17"/>
  <c r="Z82" i="17"/>
  <c r="AA82" i="17"/>
  <c r="AB82" i="17"/>
  <c r="AC82" i="17"/>
  <c r="X83" i="17"/>
  <c r="Y83" i="17"/>
  <c r="Z83" i="17"/>
  <c r="AA83" i="17"/>
  <c r="AB83" i="17"/>
  <c r="AC83" i="17"/>
  <c r="AD83" i="17"/>
  <c r="X84" i="17"/>
  <c r="Y84" i="17"/>
  <c r="Z84" i="17"/>
  <c r="AA84" i="17"/>
  <c r="AB84" i="17"/>
  <c r="AC84" i="17"/>
  <c r="AD84" i="17"/>
  <c r="X85" i="17"/>
  <c r="AD85" i="17" s="1"/>
  <c r="Y85" i="17"/>
  <c r="Z85" i="17"/>
  <c r="AA85" i="17"/>
  <c r="AB85" i="17"/>
  <c r="AC85" i="17"/>
  <c r="X86" i="17"/>
  <c r="AD86" i="17" s="1"/>
  <c r="Y86" i="17"/>
  <c r="Z86" i="17"/>
  <c r="AA86" i="17"/>
  <c r="AB86" i="17"/>
  <c r="AC86" i="17"/>
  <c r="X87" i="17"/>
  <c r="Y87" i="17"/>
  <c r="Z87" i="17"/>
  <c r="AA87" i="17"/>
  <c r="AB87" i="17"/>
  <c r="AC87" i="17"/>
  <c r="AD87" i="17"/>
  <c r="AA88" i="17"/>
  <c r="AB88" i="17"/>
  <c r="AC88" i="17"/>
  <c r="AA89" i="17"/>
  <c r="AB89" i="17"/>
  <c r="AC89" i="17"/>
  <c r="AA90" i="17"/>
  <c r="AB90" i="17"/>
  <c r="AC90" i="17"/>
  <c r="AA91" i="17"/>
  <c r="AB91" i="17"/>
  <c r="AC91" i="17"/>
  <c r="AA92" i="17"/>
  <c r="AB92" i="17"/>
  <c r="AC92" i="17"/>
  <c r="AA93" i="17"/>
  <c r="AB93" i="17"/>
  <c r="AC93" i="17"/>
  <c r="AA94" i="17"/>
  <c r="AB94" i="17"/>
  <c r="AC94" i="17"/>
  <c r="AA95" i="17"/>
  <c r="AB95" i="17"/>
  <c r="AC95" i="17"/>
  <c r="X96" i="17"/>
  <c r="AD96" i="17" s="1"/>
  <c r="Y96" i="17"/>
  <c r="Z96" i="17"/>
  <c r="AA96" i="17"/>
  <c r="AB96" i="17"/>
  <c r="AC96" i="17"/>
  <c r="X97" i="17"/>
  <c r="AD97" i="17" s="1"/>
  <c r="Y97" i="17"/>
  <c r="Z97" i="17"/>
  <c r="AA97" i="17"/>
  <c r="AB97" i="17"/>
  <c r="AC97" i="17"/>
  <c r="X98" i="17"/>
  <c r="AD98" i="17" s="1"/>
  <c r="Y98" i="17"/>
  <c r="Z98" i="17"/>
  <c r="AA98" i="17"/>
  <c r="AB98" i="17"/>
  <c r="AC98" i="17"/>
  <c r="X99" i="17"/>
  <c r="Y99" i="17"/>
  <c r="Z99" i="17"/>
  <c r="AA99" i="17"/>
  <c r="AB99" i="17"/>
  <c r="AC99" i="17"/>
  <c r="AD99" i="17"/>
  <c r="X100" i="17"/>
  <c r="Y100" i="17"/>
  <c r="Z100" i="17"/>
  <c r="AA100" i="17"/>
  <c r="AB100" i="17"/>
  <c r="AC100" i="17"/>
  <c r="AD100" i="17"/>
  <c r="X101" i="17"/>
  <c r="AD101" i="17" s="1"/>
  <c r="Y101" i="17"/>
  <c r="Z101" i="17"/>
  <c r="AA101" i="17"/>
  <c r="AB101" i="17"/>
  <c r="AC101" i="17"/>
  <c r="X102" i="17"/>
  <c r="AD102" i="17" s="1"/>
  <c r="Y102" i="17"/>
  <c r="Z102" i="17"/>
  <c r="AA102" i="17"/>
  <c r="AB102" i="17"/>
  <c r="AC102" i="17"/>
  <c r="X103" i="17"/>
  <c r="Y103" i="17"/>
  <c r="Z103" i="17"/>
  <c r="AA103" i="17"/>
  <c r="AB103" i="17"/>
  <c r="AC103" i="17"/>
  <c r="AD103" i="17"/>
  <c r="X104" i="17"/>
  <c r="Y104" i="17"/>
  <c r="Z104" i="17"/>
  <c r="AA104" i="17"/>
  <c r="AB104" i="17"/>
  <c r="AC104" i="17"/>
  <c r="AD104" i="17"/>
  <c r="X105" i="17"/>
  <c r="AD105" i="17" s="1"/>
  <c r="Y105" i="17"/>
  <c r="Z105" i="17"/>
  <c r="AA105" i="17"/>
  <c r="AB105" i="17"/>
  <c r="AC105" i="17"/>
  <c r="X106" i="17"/>
  <c r="AD106" i="17" s="1"/>
  <c r="Y106" i="17"/>
  <c r="Z106" i="17"/>
  <c r="AA106" i="17"/>
  <c r="AB106" i="17"/>
  <c r="AC106" i="17"/>
  <c r="X107" i="17"/>
  <c r="Y107" i="17"/>
  <c r="Z107" i="17"/>
  <c r="AA107" i="17"/>
  <c r="AB107" i="17"/>
  <c r="AC107" i="17"/>
  <c r="AD107" i="17"/>
  <c r="AA108" i="17"/>
  <c r="AB108" i="17"/>
  <c r="AC108" i="17"/>
  <c r="AA109" i="17"/>
  <c r="AB109" i="17"/>
  <c r="AC109" i="17"/>
  <c r="AA110" i="17"/>
  <c r="AB110" i="17"/>
  <c r="AC110" i="17"/>
  <c r="AA111" i="17"/>
  <c r="AB111" i="17"/>
  <c r="AC111" i="17"/>
  <c r="AA112" i="17"/>
  <c r="AB112" i="17"/>
  <c r="AC112" i="17"/>
  <c r="AA113" i="17"/>
  <c r="AB113" i="17"/>
  <c r="AC113" i="17"/>
  <c r="AA114" i="17"/>
  <c r="AB114" i="17"/>
  <c r="AC114" i="17"/>
  <c r="AA115" i="17"/>
  <c r="AB115" i="17"/>
  <c r="AC115" i="17"/>
  <c r="X116" i="17"/>
  <c r="Y116" i="17"/>
  <c r="Z116" i="17"/>
  <c r="AA116" i="17"/>
  <c r="AB116" i="17"/>
  <c r="AC116" i="17"/>
  <c r="AD116" i="17"/>
  <c r="X117" i="17"/>
  <c r="AD117" i="17" s="1"/>
  <c r="Y117" i="17"/>
  <c r="Z117" i="17"/>
  <c r="AA117" i="17"/>
  <c r="AB117" i="17"/>
  <c r="AC117" i="17"/>
  <c r="X118" i="17"/>
  <c r="AD118" i="17" s="1"/>
  <c r="Y118" i="17"/>
  <c r="Z118" i="17"/>
  <c r="AA118" i="17"/>
  <c r="AB118" i="17"/>
  <c r="AC118" i="17"/>
  <c r="X119" i="17"/>
  <c r="Y119" i="17"/>
  <c r="Z119" i="17"/>
  <c r="AA119" i="17"/>
  <c r="AB119" i="17"/>
  <c r="AC119" i="17"/>
  <c r="AD119" i="17"/>
  <c r="X120" i="17"/>
  <c r="Y120" i="17"/>
  <c r="Z120" i="17"/>
  <c r="AA120" i="17"/>
  <c r="AB120" i="17"/>
  <c r="AC120" i="17"/>
  <c r="AD120" i="17"/>
  <c r="X121" i="17"/>
  <c r="AD121" i="17" s="1"/>
  <c r="Y121" i="17"/>
  <c r="Z121" i="17"/>
  <c r="AA121" i="17"/>
  <c r="AB121" i="17"/>
  <c r="AC121" i="17"/>
  <c r="X122" i="17"/>
  <c r="AD122" i="17" s="1"/>
  <c r="Y122" i="17"/>
  <c r="Z122" i="17"/>
  <c r="AA122" i="17"/>
  <c r="AB122" i="17"/>
  <c r="AC122" i="17"/>
  <c r="X123" i="17"/>
  <c r="Y123" i="17"/>
  <c r="Z123" i="17"/>
  <c r="AA123" i="17"/>
  <c r="AB123" i="17"/>
  <c r="AC123" i="17"/>
  <c r="AD123" i="17"/>
  <c r="X124" i="17"/>
  <c r="Y124" i="17"/>
  <c r="Z124" i="17"/>
  <c r="AA124" i="17"/>
  <c r="AB124" i="17"/>
  <c r="AC124" i="17"/>
  <c r="AD124" i="17"/>
  <c r="X125" i="17"/>
  <c r="AD125" i="17" s="1"/>
  <c r="Y125" i="17"/>
  <c r="Z125" i="17"/>
  <c r="AA125" i="17"/>
  <c r="AB125" i="17"/>
  <c r="AC125" i="17"/>
  <c r="X126" i="17"/>
  <c r="AD126" i="17" s="1"/>
  <c r="Y126" i="17"/>
  <c r="Z126" i="17"/>
  <c r="AA126" i="17"/>
  <c r="AB126" i="17"/>
  <c r="AC126" i="17"/>
  <c r="X127" i="17"/>
  <c r="Y127" i="17"/>
  <c r="Z127" i="17"/>
  <c r="AA127" i="17"/>
  <c r="AB127" i="17"/>
  <c r="AC127" i="17"/>
  <c r="AD127" i="17"/>
  <c r="AA128" i="17"/>
  <c r="AB128" i="17"/>
  <c r="AC128" i="17"/>
  <c r="AA129" i="17"/>
  <c r="AB129" i="17"/>
  <c r="AC129" i="17"/>
  <c r="AA130" i="17"/>
  <c r="AB130" i="17"/>
  <c r="AC130" i="17"/>
  <c r="AA131" i="17"/>
  <c r="AB131" i="17"/>
  <c r="AC131" i="17"/>
  <c r="AA132" i="17"/>
  <c r="AB132" i="17"/>
  <c r="AC132" i="17"/>
  <c r="AA133" i="17"/>
  <c r="AB133" i="17"/>
  <c r="AC133" i="17"/>
  <c r="AA134" i="17"/>
  <c r="AB134" i="17"/>
  <c r="AC134" i="17"/>
  <c r="AA135" i="17"/>
  <c r="AB135" i="17"/>
  <c r="AC135" i="17"/>
  <c r="X136" i="17"/>
  <c r="Y136" i="17"/>
  <c r="Z136" i="17"/>
  <c r="AA136" i="17"/>
  <c r="AB136" i="17"/>
  <c r="AC136" i="17"/>
  <c r="AD136" i="17"/>
  <c r="X137" i="17"/>
  <c r="AD137" i="17" s="1"/>
  <c r="Y137" i="17"/>
  <c r="Z137" i="17"/>
  <c r="AA137" i="17"/>
  <c r="AB137" i="17"/>
  <c r="AC137" i="17"/>
  <c r="X138" i="17"/>
  <c r="AD138" i="17" s="1"/>
  <c r="Y138" i="17"/>
  <c r="Z138" i="17"/>
  <c r="AA138" i="17"/>
  <c r="AB138" i="17"/>
  <c r="AC138" i="17"/>
  <c r="X139" i="17"/>
  <c r="Y139" i="17"/>
  <c r="Z139" i="17"/>
  <c r="AA139" i="17"/>
  <c r="AB139" i="17"/>
  <c r="AC139" i="17"/>
  <c r="AD139" i="17"/>
  <c r="X140" i="17"/>
  <c r="Y140" i="17"/>
  <c r="Z140" i="17"/>
  <c r="AA140" i="17"/>
  <c r="AB140" i="17"/>
  <c r="AC140" i="17"/>
  <c r="AD140" i="17"/>
  <c r="X141" i="17"/>
  <c r="AD141" i="17" s="1"/>
  <c r="Y141" i="17"/>
  <c r="Z141" i="17"/>
  <c r="AA141" i="17"/>
  <c r="AB141" i="17"/>
  <c r="AC141" i="17"/>
  <c r="X142" i="17"/>
  <c r="AD142" i="17" s="1"/>
  <c r="Y142" i="17"/>
  <c r="Z142" i="17"/>
  <c r="AA142" i="17"/>
  <c r="AB142" i="17"/>
  <c r="AC142" i="17"/>
  <c r="X143" i="17"/>
  <c r="Y143" i="17"/>
  <c r="Z143" i="17"/>
  <c r="AA143" i="17"/>
  <c r="AB143" i="17"/>
  <c r="AC143" i="17"/>
  <c r="AD143" i="17"/>
  <c r="X144" i="17"/>
  <c r="Y144" i="17"/>
  <c r="Z144" i="17"/>
  <c r="AA144" i="17"/>
  <c r="AB144" i="17"/>
  <c r="AC144" i="17"/>
  <c r="AD144" i="17"/>
  <c r="X145" i="17"/>
  <c r="AD145" i="17" s="1"/>
  <c r="Y145" i="17"/>
  <c r="Z145" i="17"/>
  <c r="AA145" i="17"/>
  <c r="AB145" i="17"/>
  <c r="AC145" i="17"/>
  <c r="X146" i="17"/>
  <c r="AD146" i="17" s="1"/>
  <c r="Y146" i="17"/>
  <c r="Z146" i="17"/>
  <c r="AA146" i="17"/>
  <c r="AB146" i="17"/>
  <c r="AC146" i="17"/>
  <c r="X147" i="17"/>
  <c r="Y147" i="17"/>
  <c r="Z147" i="17"/>
  <c r="AA147" i="17"/>
  <c r="AB147" i="17"/>
  <c r="AC147" i="17"/>
  <c r="AD147" i="17"/>
  <c r="AA148" i="17"/>
  <c r="AB148" i="17"/>
  <c r="AC148" i="17"/>
  <c r="AA149" i="17"/>
  <c r="AB149" i="17"/>
  <c r="AC149" i="17"/>
  <c r="AA150" i="17"/>
  <c r="AB150" i="17"/>
  <c r="AC150" i="17"/>
  <c r="AA151" i="17"/>
  <c r="AB151" i="17"/>
  <c r="AC151" i="17"/>
  <c r="AA152" i="17"/>
  <c r="AB152" i="17"/>
  <c r="AC152" i="17"/>
  <c r="AA153" i="17"/>
  <c r="AB153" i="17"/>
  <c r="AC153" i="17"/>
  <c r="AA154" i="17"/>
  <c r="AB154" i="17"/>
  <c r="AC154" i="17"/>
  <c r="AA155" i="17"/>
  <c r="AB155" i="17"/>
  <c r="AC155" i="17"/>
  <c r="X156" i="17"/>
  <c r="Y156" i="17"/>
  <c r="Z156" i="17"/>
  <c r="AA156" i="17"/>
  <c r="AB156" i="17"/>
  <c r="AC156" i="17"/>
  <c r="AD156" i="17"/>
  <c r="X157" i="17"/>
  <c r="AD157" i="17" s="1"/>
  <c r="Y157" i="17"/>
  <c r="Z157" i="17"/>
  <c r="AA157" i="17"/>
  <c r="AB157" i="17"/>
  <c r="AC157" i="17"/>
  <c r="X158" i="17"/>
  <c r="AD158" i="17" s="1"/>
  <c r="Y158" i="17"/>
  <c r="Z158" i="17"/>
  <c r="AA158" i="17"/>
  <c r="AB158" i="17"/>
  <c r="AC158" i="17"/>
  <c r="X159" i="17"/>
  <c r="Y159" i="17"/>
  <c r="Z159" i="17"/>
  <c r="AA159" i="17"/>
  <c r="AB159" i="17"/>
  <c r="AC159" i="17"/>
  <c r="AD159" i="17"/>
  <c r="X160" i="17"/>
  <c r="Y160" i="17"/>
  <c r="Z160" i="17"/>
  <c r="AA160" i="17"/>
  <c r="AB160" i="17"/>
  <c r="AC160" i="17"/>
  <c r="AD160" i="17"/>
  <c r="X161" i="17"/>
  <c r="AD161" i="17" s="1"/>
  <c r="Y161" i="17"/>
  <c r="Z161" i="17"/>
  <c r="AA161" i="17"/>
  <c r="AB161" i="17"/>
  <c r="AC161" i="17"/>
  <c r="X162" i="17"/>
  <c r="AD162" i="17" s="1"/>
  <c r="Y162" i="17"/>
  <c r="Z162" i="17"/>
  <c r="AA162" i="17"/>
  <c r="AB162" i="17"/>
  <c r="AC162" i="17"/>
  <c r="X163" i="17"/>
  <c r="Y163" i="17"/>
  <c r="Z163" i="17"/>
  <c r="AA163" i="17"/>
  <c r="AB163" i="17"/>
  <c r="AC163" i="17"/>
  <c r="AD163" i="17"/>
  <c r="X164" i="17"/>
  <c r="Y164" i="17"/>
  <c r="Z164" i="17"/>
  <c r="AA164" i="17"/>
  <c r="AB164" i="17"/>
  <c r="AC164" i="17"/>
  <c r="AD164" i="17"/>
  <c r="X165" i="17"/>
  <c r="AD165" i="17" s="1"/>
  <c r="Y165" i="17"/>
  <c r="Z165" i="17"/>
  <c r="AA165" i="17"/>
  <c r="AB165" i="17"/>
  <c r="AC165" i="17"/>
  <c r="X166" i="17"/>
  <c r="AD166" i="17" s="1"/>
  <c r="Y166" i="17"/>
  <c r="Z166" i="17"/>
  <c r="AA166" i="17"/>
  <c r="AB166" i="17"/>
  <c r="AC166" i="17"/>
  <c r="X167" i="17"/>
  <c r="Y167" i="17"/>
  <c r="Z167" i="17"/>
  <c r="AA167" i="17"/>
  <c r="AB167" i="17"/>
  <c r="AC167" i="17"/>
  <c r="AD167" i="17"/>
  <c r="AA168" i="17"/>
  <c r="AB168" i="17"/>
  <c r="AC168" i="17"/>
  <c r="AA169" i="17"/>
  <c r="AB169" i="17"/>
  <c r="AC169" i="17"/>
  <c r="AA170" i="17"/>
  <c r="AB170" i="17"/>
  <c r="AC170" i="17"/>
  <c r="AA171" i="17"/>
  <c r="AB171" i="17"/>
  <c r="AC171" i="17"/>
  <c r="AA172" i="17"/>
  <c r="AB172" i="17"/>
  <c r="AC172" i="17"/>
  <c r="AA173" i="17"/>
  <c r="AB173" i="17"/>
  <c r="AC173" i="17"/>
  <c r="AA174" i="17"/>
  <c r="AB174" i="17"/>
  <c r="AC174" i="17"/>
  <c r="AA175" i="17"/>
  <c r="AB175" i="17"/>
  <c r="AC175" i="17"/>
  <c r="X176" i="17"/>
  <c r="Y176" i="17"/>
  <c r="Z176" i="17"/>
  <c r="AA176" i="17"/>
  <c r="AB176" i="17"/>
  <c r="AC176" i="17"/>
  <c r="AD176" i="17"/>
  <c r="X177" i="17"/>
  <c r="AD177" i="17" s="1"/>
  <c r="Y177" i="17"/>
  <c r="Z177" i="17"/>
  <c r="AA177" i="17"/>
  <c r="AB177" i="17"/>
  <c r="AC177" i="17"/>
  <c r="X178" i="17"/>
  <c r="AD178" i="17" s="1"/>
  <c r="Y178" i="17"/>
  <c r="Z178" i="17"/>
  <c r="AA178" i="17"/>
  <c r="AB178" i="17"/>
  <c r="AC178" i="17"/>
  <c r="X179" i="17"/>
  <c r="Y179" i="17"/>
  <c r="Z179" i="17"/>
  <c r="AA179" i="17"/>
  <c r="AB179" i="17"/>
  <c r="AC179" i="17"/>
  <c r="AD179" i="17"/>
  <c r="X180" i="17"/>
  <c r="Y180" i="17"/>
  <c r="Z180" i="17"/>
  <c r="AA180" i="17"/>
  <c r="AB180" i="17"/>
  <c r="AC180" i="17"/>
  <c r="AD180" i="17"/>
  <c r="X181" i="17"/>
  <c r="AD181" i="17" s="1"/>
  <c r="Y181" i="17"/>
  <c r="Z181" i="17"/>
  <c r="AA181" i="17"/>
  <c r="AB181" i="17"/>
  <c r="AC181" i="17"/>
  <c r="X182" i="17"/>
  <c r="AD182" i="17" s="1"/>
  <c r="Y182" i="17"/>
  <c r="Z182" i="17"/>
  <c r="AA182" i="17"/>
  <c r="AB182" i="17"/>
  <c r="AC182" i="17"/>
  <c r="X183" i="17"/>
  <c r="Y183" i="17"/>
  <c r="Z183" i="17"/>
  <c r="AA183" i="17"/>
  <c r="AB183" i="17"/>
  <c r="AC183" i="17"/>
  <c r="AD183" i="17"/>
  <c r="X184" i="17"/>
  <c r="Y184" i="17"/>
  <c r="Z184" i="17"/>
  <c r="AA184" i="17"/>
  <c r="AB184" i="17"/>
  <c r="AC184" i="17"/>
  <c r="AD184" i="17"/>
  <c r="X185" i="17"/>
  <c r="AD185" i="17" s="1"/>
  <c r="Y185" i="17"/>
  <c r="Z185" i="17"/>
  <c r="AA185" i="17"/>
  <c r="AB185" i="17"/>
  <c r="AC185" i="17"/>
  <c r="X186" i="17"/>
  <c r="AD186" i="17" s="1"/>
  <c r="Y186" i="17"/>
  <c r="Z186" i="17"/>
  <c r="AA186" i="17"/>
  <c r="AB186" i="17"/>
  <c r="AC186" i="17"/>
  <c r="X187" i="17"/>
  <c r="Y187" i="17"/>
  <c r="Z187" i="17"/>
  <c r="AA187" i="17"/>
  <c r="AB187" i="17"/>
  <c r="AC187" i="17"/>
  <c r="AD187" i="17"/>
  <c r="AA188" i="17"/>
  <c r="AB188" i="17"/>
  <c r="AC188" i="17"/>
  <c r="AA189" i="17"/>
  <c r="AB189" i="17"/>
  <c r="AC189" i="17"/>
  <c r="AA190" i="17"/>
  <c r="AB190" i="17"/>
  <c r="AC190" i="17"/>
  <c r="AA191" i="17"/>
  <c r="AB191" i="17"/>
  <c r="AC191" i="17"/>
  <c r="AA192" i="17"/>
  <c r="AB192" i="17"/>
  <c r="AC192" i="17"/>
  <c r="AA193" i="17"/>
  <c r="AB193" i="17"/>
  <c r="AC193" i="17"/>
  <c r="AA194" i="17"/>
  <c r="AB194" i="17"/>
  <c r="AC194" i="17"/>
  <c r="AA195" i="17"/>
  <c r="AB195" i="17"/>
  <c r="AC195" i="17"/>
  <c r="X196" i="17"/>
  <c r="Y196" i="17"/>
  <c r="Z196" i="17"/>
  <c r="AA196" i="17"/>
  <c r="AB196" i="17"/>
  <c r="AC196" i="17"/>
  <c r="AD196" i="17"/>
  <c r="X197" i="17"/>
  <c r="AD197" i="17" s="1"/>
  <c r="Y197" i="17"/>
  <c r="Z197" i="17"/>
  <c r="AA197" i="17"/>
  <c r="AB197" i="17"/>
  <c r="AC197" i="17"/>
  <c r="X198" i="17"/>
  <c r="AD198" i="17" s="1"/>
  <c r="Y198" i="17"/>
  <c r="Z198" i="17"/>
  <c r="AA198" i="17"/>
  <c r="AB198" i="17"/>
  <c r="AC198" i="17"/>
  <c r="X199" i="17"/>
  <c r="Y199" i="17"/>
  <c r="Z199" i="17"/>
  <c r="AA199" i="17"/>
  <c r="AB199" i="17"/>
  <c r="AC199" i="17"/>
  <c r="AD199" i="17"/>
  <c r="X200" i="17"/>
  <c r="Y200" i="17"/>
  <c r="Z200" i="17"/>
  <c r="AA200" i="17"/>
  <c r="AB200" i="17"/>
  <c r="AC200" i="17"/>
  <c r="AD200" i="17"/>
  <c r="X201" i="17"/>
  <c r="AD201" i="17" s="1"/>
  <c r="Y201" i="17"/>
  <c r="Z201" i="17"/>
  <c r="AA201" i="17"/>
  <c r="AB201" i="17"/>
  <c r="AC201" i="17"/>
  <c r="X202" i="17"/>
  <c r="AD202" i="17" s="1"/>
  <c r="Y202" i="17"/>
  <c r="Z202" i="17"/>
  <c r="AA202" i="17"/>
  <c r="AB202" i="17"/>
  <c r="AC202" i="17"/>
  <c r="X203" i="17"/>
  <c r="Y203" i="17"/>
  <c r="Z203" i="17"/>
  <c r="AA203" i="17"/>
  <c r="AB203" i="17"/>
  <c r="AC203" i="17"/>
  <c r="AD203" i="17"/>
  <c r="X204" i="17"/>
  <c r="Y204" i="17"/>
  <c r="Z204" i="17"/>
  <c r="AA204" i="17"/>
  <c r="AB204" i="17"/>
  <c r="AC204" i="17"/>
  <c r="AD204" i="17"/>
  <c r="X205" i="17"/>
  <c r="AD205" i="17" s="1"/>
  <c r="Y205" i="17"/>
  <c r="Z205" i="17"/>
  <c r="AA205" i="17"/>
  <c r="AB205" i="17"/>
  <c r="AC205" i="17"/>
  <c r="X206" i="17"/>
  <c r="AD206" i="17" s="1"/>
  <c r="Y206" i="17"/>
  <c r="Z206" i="17"/>
  <c r="AA206" i="17"/>
  <c r="AB206" i="17"/>
  <c r="AC206" i="17"/>
  <c r="X207" i="17"/>
  <c r="Y207" i="17"/>
  <c r="Z207" i="17"/>
  <c r="AA207" i="17"/>
  <c r="AB207" i="17"/>
  <c r="AC207" i="17"/>
  <c r="AD207" i="17"/>
  <c r="AA208" i="17"/>
  <c r="AB208" i="17"/>
  <c r="AC208" i="17"/>
  <c r="AA209" i="17"/>
  <c r="AB209" i="17"/>
  <c r="AC209" i="17"/>
  <c r="AA210" i="17"/>
  <c r="AB210" i="17"/>
  <c r="AC210" i="17"/>
  <c r="AA211" i="17"/>
  <c r="AB211" i="17"/>
  <c r="AC211" i="17"/>
  <c r="AA212" i="17"/>
  <c r="AB212" i="17"/>
  <c r="AC212" i="17"/>
  <c r="AA213" i="17"/>
  <c r="AB213" i="17"/>
  <c r="AC213" i="17"/>
  <c r="AA214" i="17"/>
  <c r="AB214" i="17"/>
  <c r="AC214" i="17"/>
  <c r="AA215" i="17"/>
  <c r="AB215" i="17"/>
  <c r="AC215" i="17"/>
  <c r="X216" i="17"/>
  <c r="Y216" i="17"/>
  <c r="Z216" i="17"/>
  <c r="AA216" i="17"/>
  <c r="AB216" i="17"/>
  <c r="AC216" i="17"/>
  <c r="AD216" i="17"/>
  <c r="X217" i="17"/>
  <c r="AD217" i="17" s="1"/>
  <c r="Y217" i="17"/>
  <c r="Z217" i="17"/>
  <c r="AA217" i="17"/>
  <c r="AB217" i="17"/>
  <c r="AC217" i="17"/>
  <c r="X218" i="17"/>
  <c r="AD218" i="17" s="1"/>
  <c r="Y218" i="17"/>
  <c r="Z218" i="17"/>
  <c r="AA218" i="17"/>
  <c r="AB218" i="17"/>
  <c r="AC218" i="17"/>
  <c r="X219" i="17"/>
  <c r="Y219" i="17"/>
  <c r="Z219" i="17"/>
  <c r="AA219" i="17"/>
  <c r="AB219" i="17"/>
  <c r="AC219" i="17"/>
  <c r="AD219" i="17"/>
  <c r="X220" i="17"/>
  <c r="Y220" i="17"/>
  <c r="Z220" i="17"/>
  <c r="AA220" i="17"/>
  <c r="AB220" i="17"/>
  <c r="AC220" i="17"/>
  <c r="AD220" i="17"/>
  <c r="X221" i="17"/>
  <c r="AD221" i="17" s="1"/>
  <c r="Y221" i="17"/>
  <c r="Z221" i="17"/>
  <c r="AA221" i="17"/>
  <c r="AB221" i="17"/>
  <c r="AC221" i="17"/>
  <c r="X222" i="17"/>
  <c r="AD222" i="17" s="1"/>
  <c r="Y222" i="17"/>
  <c r="Z222" i="17"/>
  <c r="AA222" i="17"/>
  <c r="AB222" i="17"/>
  <c r="AC222" i="17"/>
  <c r="X223" i="17"/>
  <c r="Y223" i="17"/>
  <c r="Z223" i="17"/>
  <c r="AA223" i="17"/>
  <c r="AB223" i="17"/>
  <c r="AC223" i="17"/>
  <c r="AD223" i="17"/>
  <c r="X224" i="17"/>
  <c r="Y224" i="17"/>
  <c r="Z224" i="17"/>
  <c r="AA224" i="17"/>
  <c r="AB224" i="17"/>
  <c r="AC224" i="17"/>
  <c r="AD224" i="17"/>
  <c r="X225" i="17"/>
  <c r="AD225" i="17" s="1"/>
  <c r="Y225" i="17"/>
  <c r="Z225" i="17"/>
  <c r="AA225" i="17"/>
  <c r="AB225" i="17"/>
  <c r="AC225" i="17"/>
  <c r="X226" i="17"/>
  <c r="AD226" i="17" s="1"/>
  <c r="Y226" i="17"/>
  <c r="Z226" i="17"/>
  <c r="AA226" i="17"/>
  <c r="AB226" i="17"/>
  <c r="AC226" i="17"/>
  <c r="X227" i="17"/>
  <c r="Y227" i="17"/>
  <c r="Z227" i="17"/>
  <c r="AA227" i="17"/>
  <c r="AB227" i="17"/>
  <c r="AC227" i="17"/>
  <c r="AD227" i="17"/>
  <c r="AA228" i="17"/>
  <c r="AB228" i="17"/>
  <c r="AC228" i="17"/>
  <c r="AA229" i="17"/>
  <c r="AB229" i="17"/>
  <c r="AC229" i="17"/>
  <c r="AA230" i="17"/>
  <c r="AB230" i="17"/>
  <c r="AC230" i="17"/>
  <c r="AA231" i="17"/>
  <c r="AB231" i="17"/>
  <c r="AC231" i="17"/>
  <c r="AA232" i="17"/>
  <c r="AB232" i="17"/>
  <c r="AC232" i="17"/>
  <c r="AA233" i="17"/>
  <c r="AB233" i="17"/>
  <c r="AC233" i="17"/>
  <c r="AA234" i="17"/>
  <c r="AB234" i="17"/>
  <c r="AC234" i="17"/>
  <c r="AA235" i="17"/>
  <c r="AB235" i="17"/>
  <c r="AC235" i="17"/>
  <c r="X236" i="17"/>
  <c r="Y236" i="17"/>
  <c r="Z236" i="17"/>
  <c r="AA236" i="17"/>
  <c r="AB236" i="17"/>
  <c r="AC236" i="17"/>
  <c r="AD236" i="17"/>
  <c r="X237" i="17"/>
  <c r="AD237" i="17" s="1"/>
  <c r="Y237" i="17"/>
  <c r="Z237" i="17"/>
  <c r="AA237" i="17"/>
  <c r="AB237" i="17"/>
  <c r="AC237" i="17"/>
  <c r="X238" i="17"/>
  <c r="AD238" i="17" s="1"/>
  <c r="Y238" i="17"/>
  <c r="Z238" i="17"/>
  <c r="AA238" i="17"/>
  <c r="AB238" i="17"/>
  <c r="AC238" i="17"/>
  <c r="X239" i="17"/>
  <c r="Y239" i="17"/>
  <c r="Z239" i="17"/>
  <c r="AA239" i="17"/>
  <c r="AB239" i="17"/>
  <c r="AC239" i="17"/>
  <c r="AD239" i="17"/>
  <c r="X240" i="17"/>
  <c r="Y240" i="17"/>
  <c r="Z240" i="17"/>
  <c r="AA240" i="17"/>
  <c r="AB240" i="17"/>
  <c r="AC240" i="17"/>
  <c r="AD240" i="17"/>
  <c r="X241" i="17"/>
  <c r="AD241" i="17" s="1"/>
  <c r="Y241" i="17"/>
  <c r="Z241" i="17"/>
  <c r="AA241" i="17"/>
  <c r="AB241" i="17"/>
  <c r="AC241" i="17"/>
  <c r="X242" i="17"/>
  <c r="AD242" i="17" s="1"/>
  <c r="Y242" i="17"/>
  <c r="Z242" i="17"/>
  <c r="AA242" i="17"/>
  <c r="AB242" i="17"/>
  <c r="AC242" i="17"/>
  <c r="X243" i="17"/>
  <c r="Y243" i="17"/>
  <c r="Z243" i="17"/>
  <c r="AA243" i="17"/>
  <c r="AB243" i="17"/>
  <c r="AC243" i="17"/>
  <c r="AD243" i="17"/>
  <c r="X244" i="17"/>
  <c r="Y244" i="17"/>
  <c r="Z244" i="17"/>
  <c r="AA244" i="17"/>
  <c r="AB244" i="17"/>
  <c r="AC244" i="17"/>
  <c r="AD244" i="17"/>
  <c r="X245" i="17"/>
  <c r="AD245" i="17" s="1"/>
  <c r="Y245" i="17"/>
  <c r="Z245" i="17"/>
  <c r="AA245" i="17"/>
  <c r="AB245" i="17"/>
  <c r="AC245" i="17"/>
  <c r="X246" i="17"/>
  <c r="AD246" i="17" s="1"/>
  <c r="Y246" i="17"/>
  <c r="Z246" i="17"/>
  <c r="AA246" i="17"/>
  <c r="AB246" i="17"/>
  <c r="AC246" i="17"/>
  <c r="X247" i="17"/>
  <c r="Y247" i="17"/>
  <c r="Z247" i="17"/>
  <c r="AA247" i="17"/>
  <c r="AB247" i="17"/>
  <c r="AC247" i="17"/>
  <c r="AD247" i="17"/>
  <c r="AA248" i="17"/>
  <c r="AB248" i="17"/>
  <c r="AC248" i="17"/>
  <c r="AA249" i="17"/>
  <c r="AB249" i="17"/>
  <c r="AC249" i="17"/>
  <c r="AA250" i="17"/>
  <c r="AB250" i="17"/>
  <c r="AC250" i="17"/>
  <c r="AA251" i="17"/>
  <c r="AB251" i="17"/>
  <c r="AC251" i="17"/>
  <c r="AA252" i="17"/>
  <c r="AB252" i="17"/>
  <c r="AC252" i="17"/>
  <c r="AA253" i="17"/>
  <c r="AB253" i="17"/>
  <c r="AC253" i="17"/>
  <c r="AA254" i="17"/>
  <c r="AB254" i="17"/>
  <c r="AC254" i="17"/>
  <c r="AA255" i="17"/>
  <c r="AB255" i="17"/>
  <c r="AC255" i="17"/>
  <c r="X256" i="17"/>
  <c r="Y256" i="17"/>
  <c r="Z256" i="17"/>
  <c r="AA256" i="17"/>
  <c r="AB256" i="17"/>
  <c r="AC256" i="17"/>
  <c r="AD256" i="17"/>
  <c r="X257" i="17"/>
  <c r="AD257" i="17" s="1"/>
  <c r="Y257" i="17"/>
  <c r="Z257" i="17"/>
  <c r="AA257" i="17"/>
  <c r="AB257" i="17"/>
  <c r="AC257" i="17"/>
  <c r="X258" i="17"/>
  <c r="AD258" i="17" s="1"/>
  <c r="Y258" i="17"/>
  <c r="Z258" i="17"/>
  <c r="AA258" i="17"/>
  <c r="AB258" i="17"/>
  <c r="AC258" i="17"/>
  <c r="X259" i="17"/>
  <c r="Y259" i="17"/>
  <c r="Z259" i="17"/>
  <c r="AA259" i="17"/>
  <c r="AB259" i="17"/>
  <c r="AC259" i="17"/>
  <c r="AD259" i="17"/>
  <c r="X260" i="17"/>
  <c r="Y260" i="17"/>
  <c r="Z260" i="17"/>
  <c r="AA260" i="17"/>
  <c r="AB260" i="17"/>
  <c r="AC260" i="17"/>
  <c r="AD260" i="17"/>
  <c r="X261" i="17"/>
  <c r="AD261" i="17" s="1"/>
  <c r="Y261" i="17"/>
  <c r="Z261" i="17"/>
  <c r="AA261" i="17"/>
  <c r="AB261" i="17"/>
  <c r="AC261" i="17"/>
  <c r="X262" i="17"/>
  <c r="AD262" i="17" s="1"/>
  <c r="Y262" i="17"/>
  <c r="Z262" i="17"/>
  <c r="AA262" i="17"/>
  <c r="AB262" i="17"/>
  <c r="AC262" i="17"/>
  <c r="X263" i="17"/>
  <c r="Y263" i="17"/>
  <c r="Z263" i="17"/>
  <c r="AA263" i="17"/>
  <c r="AB263" i="17"/>
  <c r="AC263" i="17"/>
  <c r="AD263" i="17"/>
  <c r="X264" i="17"/>
  <c r="Y264" i="17"/>
  <c r="Z264" i="17"/>
  <c r="AA264" i="17"/>
  <c r="AB264" i="17"/>
  <c r="AC264" i="17"/>
  <c r="AD264" i="17"/>
  <c r="X265" i="17"/>
  <c r="AD265" i="17" s="1"/>
  <c r="Y265" i="17"/>
  <c r="Z265" i="17"/>
  <c r="AA265" i="17"/>
  <c r="AB265" i="17"/>
  <c r="AC265" i="17"/>
  <c r="X266" i="17"/>
  <c r="AD266" i="17" s="1"/>
  <c r="Y266" i="17"/>
  <c r="Z266" i="17"/>
  <c r="AA266" i="17"/>
  <c r="AB266" i="17"/>
  <c r="AC266" i="17"/>
  <c r="X267" i="17"/>
  <c r="Y267" i="17"/>
  <c r="Z267" i="17"/>
  <c r="AA267" i="17"/>
  <c r="AB267" i="17"/>
  <c r="AC267" i="17"/>
  <c r="AD267" i="17"/>
  <c r="AA268" i="17"/>
  <c r="AB268" i="17"/>
  <c r="AC268" i="17"/>
  <c r="AA269" i="17"/>
  <c r="AB269" i="17"/>
  <c r="AC269" i="17"/>
  <c r="AA270" i="17"/>
  <c r="AB270" i="17"/>
  <c r="AC270" i="17"/>
  <c r="AA271" i="17"/>
  <c r="AB271" i="17"/>
  <c r="AC271" i="17"/>
  <c r="AA272" i="17"/>
  <c r="AB272" i="17"/>
  <c r="AC272" i="17"/>
  <c r="AA273" i="17"/>
  <c r="AB273" i="17"/>
  <c r="AC273" i="17"/>
  <c r="AA274" i="17"/>
  <c r="AB274" i="17"/>
  <c r="AC274" i="17"/>
  <c r="AA275" i="17"/>
  <c r="AB275" i="17"/>
  <c r="AC275" i="17"/>
  <c r="X276" i="17"/>
  <c r="Y276" i="17"/>
  <c r="Z276" i="17"/>
  <c r="AA276" i="17"/>
  <c r="AB276" i="17"/>
  <c r="AC276" i="17"/>
  <c r="AD276" i="17"/>
  <c r="X277" i="17"/>
  <c r="AD277" i="17" s="1"/>
  <c r="Y277" i="17"/>
  <c r="Z277" i="17"/>
  <c r="AA277" i="17"/>
  <c r="AB277" i="17"/>
  <c r="AC277" i="17"/>
  <c r="X278" i="17"/>
  <c r="AD278" i="17" s="1"/>
  <c r="Y278" i="17"/>
  <c r="Z278" i="17"/>
  <c r="AA278" i="17"/>
  <c r="AB278" i="17"/>
  <c r="AC278" i="17"/>
  <c r="X279" i="17"/>
  <c r="Y279" i="17"/>
  <c r="Z279" i="17"/>
  <c r="AA279" i="17"/>
  <c r="AB279" i="17"/>
  <c r="AC279" i="17"/>
  <c r="AD279" i="17"/>
  <c r="X280" i="17"/>
  <c r="Y280" i="17"/>
  <c r="Z280" i="17"/>
  <c r="AA280" i="17"/>
  <c r="AB280" i="17"/>
  <c r="AC280" i="17"/>
  <c r="AD280" i="17"/>
  <c r="X281" i="17"/>
  <c r="AD281" i="17" s="1"/>
  <c r="Y281" i="17"/>
  <c r="Z281" i="17"/>
  <c r="AA281" i="17"/>
  <c r="AB281" i="17"/>
  <c r="AC281" i="17"/>
  <c r="X282" i="17"/>
  <c r="AD282" i="17" s="1"/>
  <c r="Y282" i="17"/>
  <c r="Z282" i="17"/>
  <c r="AA282" i="17"/>
  <c r="AB282" i="17"/>
  <c r="AC282" i="17"/>
  <c r="X283" i="17"/>
  <c r="Y283" i="17"/>
  <c r="Z283" i="17"/>
  <c r="AA283" i="17"/>
  <c r="AB283" i="17"/>
  <c r="AC283" i="17"/>
  <c r="AD283" i="17"/>
  <c r="X284" i="17"/>
  <c r="Y284" i="17"/>
  <c r="Z284" i="17"/>
  <c r="AA284" i="17"/>
  <c r="AB284" i="17"/>
  <c r="AC284" i="17"/>
  <c r="AD284" i="17"/>
  <c r="X285" i="17"/>
  <c r="AD285" i="17" s="1"/>
  <c r="Y285" i="17"/>
  <c r="Z285" i="17"/>
  <c r="AA285" i="17"/>
  <c r="AB285" i="17"/>
  <c r="AC285" i="17"/>
  <c r="X286" i="17"/>
  <c r="AD286" i="17" s="1"/>
  <c r="Y286" i="17"/>
  <c r="Z286" i="17"/>
  <c r="AA286" i="17"/>
  <c r="AB286" i="17"/>
  <c r="AC286" i="17"/>
  <c r="X287" i="17"/>
  <c r="Y287" i="17"/>
  <c r="Z287" i="17"/>
  <c r="AA287" i="17"/>
  <c r="AB287" i="17"/>
  <c r="AC287" i="17"/>
  <c r="AD287" i="17"/>
  <c r="AA288" i="17"/>
  <c r="AB288" i="17"/>
  <c r="AC288" i="17"/>
  <c r="AA289" i="17"/>
  <c r="AB289" i="17"/>
  <c r="AC289" i="17"/>
  <c r="AA290" i="17"/>
  <c r="AB290" i="17"/>
  <c r="AC290" i="17"/>
  <c r="AA291" i="17"/>
  <c r="AB291" i="17"/>
  <c r="AC291" i="17"/>
  <c r="AA292" i="17"/>
  <c r="AB292" i="17"/>
  <c r="AC292" i="17"/>
  <c r="AA293" i="17"/>
  <c r="AB293" i="17"/>
  <c r="AC293" i="17"/>
  <c r="AA294" i="17"/>
  <c r="AB294" i="17"/>
  <c r="AC294" i="17"/>
  <c r="AA295" i="17"/>
  <c r="AB295" i="17"/>
  <c r="AC295" i="17"/>
  <c r="X296" i="17"/>
  <c r="Y296" i="17"/>
  <c r="Z296" i="17"/>
  <c r="AA296" i="17"/>
  <c r="AB296" i="17"/>
  <c r="AC296" i="17"/>
  <c r="AD296" i="17"/>
  <c r="X297" i="17"/>
  <c r="AD297" i="17" s="1"/>
  <c r="Y297" i="17"/>
  <c r="Z297" i="17"/>
  <c r="AA297" i="17"/>
  <c r="AB297" i="17"/>
  <c r="AC297" i="17"/>
  <c r="X298" i="17"/>
  <c r="AD298" i="17" s="1"/>
  <c r="Y298" i="17"/>
  <c r="Z298" i="17"/>
  <c r="AA298" i="17"/>
  <c r="AB298" i="17"/>
  <c r="AC298" i="17"/>
  <c r="X299" i="17"/>
  <c r="Y299" i="17"/>
  <c r="Z299" i="17"/>
  <c r="AA299" i="17"/>
  <c r="AB299" i="17"/>
  <c r="AC299" i="17"/>
  <c r="AD299" i="17"/>
  <c r="X300" i="17"/>
  <c r="Y300" i="17"/>
  <c r="Z300" i="17"/>
  <c r="AA300" i="17"/>
  <c r="AB300" i="17"/>
  <c r="AC300" i="17"/>
  <c r="AD300" i="17"/>
  <c r="X301" i="17"/>
  <c r="AD301" i="17" s="1"/>
  <c r="Y301" i="17"/>
  <c r="Z301" i="17"/>
  <c r="AA301" i="17"/>
  <c r="AB301" i="17"/>
  <c r="AC301" i="17"/>
  <c r="X302" i="17"/>
  <c r="AD302" i="17" s="1"/>
  <c r="Y302" i="17"/>
  <c r="Z302" i="17"/>
  <c r="AA302" i="17"/>
  <c r="AB302" i="17"/>
  <c r="AC302" i="17"/>
  <c r="X303" i="17"/>
  <c r="Y303" i="17"/>
  <c r="Z303" i="17"/>
  <c r="AA303" i="17"/>
  <c r="AB303" i="17"/>
  <c r="AC303" i="17"/>
  <c r="AD303" i="17"/>
  <c r="X304" i="17"/>
  <c r="Y304" i="17"/>
  <c r="Z304" i="17"/>
  <c r="AA304" i="17"/>
  <c r="AB304" i="17"/>
  <c r="AC304" i="17"/>
  <c r="AD304" i="17"/>
  <c r="X305" i="17"/>
  <c r="AD305" i="17" s="1"/>
  <c r="Y305" i="17"/>
  <c r="Z305" i="17"/>
  <c r="AA305" i="17"/>
  <c r="AB305" i="17"/>
  <c r="AC305" i="17"/>
  <c r="X306" i="17"/>
  <c r="AD306" i="17" s="1"/>
  <c r="Y306" i="17"/>
  <c r="Z306" i="17"/>
  <c r="AA306" i="17"/>
  <c r="AB306" i="17"/>
  <c r="AC306" i="17"/>
  <c r="X307" i="17"/>
  <c r="Y307" i="17"/>
  <c r="Z307" i="17"/>
  <c r="AA307" i="17"/>
  <c r="AB307" i="17"/>
  <c r="AC307" i="17"/>
  <c r="AD307" i="17"/>
  <c r="X308" i="17"/>
  <c r="Y308" i="17"/>
  <c r="Z308" i="17"/>
  <c r="AA308" i="17"/>
  <c r="AB308" i="17"/>
  <c r="AC308" i="17"/>
  <c r="AD308" i="17"/>
  <c r="X309" i="17"/>
  <c r="AD309" i="17" s="1"/>
  <c r="Y309" i="17"/>
  <c r="Z309" i="17"/>
  <c r="AA309" i="17"/>
  <c r="AB309" i="17"/>
  <c r="AC309" i="17"/>
  <c r="X310" i="17"/>
  <c r="AD310" i="17" s="1"/>
  <c r="Y310" i="17"/>
  <c r="Z310" i="17"/>
  <c r="AA310" i="17"/>
  <c r="AB310" i="17"/>
  <c r="AC310" i="17"/>
  <c r="X311" i="17"/>
  <c r="Y311" i="17"/>
  <c r="Z311" i="17"/>
  <c r="AA311" i="17"/>
  <c r="AB311" i="17"/>
  <c r="AC311" i="17"/>
  <c r="AD311" i="17"/>
  <c r="X312" i="17"/>
  <c r="Y312" i="17"/>
  <c r="Z312" i="17"/>
  <c r="AA312" i="17"/>
  <c r="AB312" i="17"/>
  <c r="AC312" i="17"/>
  <c r="AD312" i="17"/>
  <c r="X313" i="17"/>
  <c r="AD313" i="17" s="1"/>
  <c r="Y313" i="17"/>
  <c r="Z313" i="17"/>
  <c r="AA313" i="17"/>
  <c r="AB313" i="17"/>
  <c r="AC313" i="17"/>
  <c r="X314" i="17"/>
  <c r="AD314" i="17" s="1"/>
  <c r="Y314" i="17"/>
  <c r="Z314" i="17"/>
  <c r="AA314" i="17"/>
  <c r="AB314" i="17"/>
  <c r="AC314" i="17"/>
  <c r="X315" i="17"/>
  <c r="Y315" i="17"/>
  <c r="Z315" i="17"/>
  <c r="AA315" i="17"/>
  <c r="AB315" i="17"/>
  <c r="AC315" i="17"/>
  <c r="AD315" i="17"/>
  <c r="X316" i="17"/>
  <c r="Y316" i="17"/>
  <c r="Z316" i="17"/>
  <c r="AA316" i="17"/>
  <c r="AB316" i="17"/>
  <c r="AC316" i="17"/>
  <c r="AD316" i="17"/>
  <c r="X317" i="17"/>
  <c r="AD317" i="17" s="1"/>
  <c r="Y317" i="17"/>
  <c r="Z317" i="17"/>
  <c r="AA317" i="17"/>
  <c r="AB317" i="17"/>
  <c r="AC317" i="17"/>
  <c r="X318" i="17"/>
  <c r="AD318" i="17" s="1"/>
  <c r="Y318" i="17"/>
  <c r="Z318" i="17"/>
  <c r="AA318" i="17"/>
  <c r="AB318" i="17"/>
  <c r="AC318" i="17"/>
  <c r="X319" i="17"/>
  <c r="Y319" i="17"/>
  <c r="Z319" i="17"/>
  <c r="AA319" i="17"/>
  <c r="AB319" i="17"/>
  <c r="AC319" i="17"/>
  <c r="AD319" i="17"/>
  <c r="X320" i="17"/>
  <c r="Y320" i="17"/>
  <c r="Z320" i="17"/>
  <c r="AA320" i="17"/>
  <c r="AB320" i="17"/>
  <c r="AC320" i="17"/>
  <c r="AD320" i="17"/>
  <c r="X321" i="17"/>
  <c r="AD321" i="17" s="1"/>
  <c r="Y321" i="17"/>
  <c r="Z321" i="17"/>
  <c r="AA321" i="17"/>
  <c r="AB321" i="17"/>
  <c r="AC321" i="17"/>
  <c r="X322" i="17"/>
  <c r="AD322" i="17" s="1"/>
  <c r="Y322" i="17"/>
  <c r="Z322" i="17"/>
  <c r="AA322" i="17"/>
  <c r="AB322" i="17"/>
  <c r="AC322" i="17"/>
  <c r="X323" i="17"/>
  <c r="Y323" i="17"/>
  <c r="Z323" i="17"/>
  <c r="AA323" i="17"/>
  <c r="AB323" i="17"/>
  <c r="AC323" i="17"/>
  <c r="AD323" i="17"/>
  <c r="X324" i="17"/>
  <c r="Y324" i="17"/>
  <c r="Z324" i="17"/>
  <c r="AA324" i="17"/>
  <c r="AB324" i="17"/>
  <c r="AC324" i="17"/>
  <c r="AD324" i="17"/>
  <c r="X325" i="17"/>
  <c r="AD325" i="17" s="1"/>
  <c r="Y325" i="17"/>
  <c r="Z325" i="17"/>
  <c r="AA325" i="17"/>
  <c r="AB325" i="17"/>
  <c r="AC325" i="17"/>
  <c r="X326" i="17"/>
  <c r="AD326" i="17" s="1"/>
  <c r="Y326" i="17"/>
  <c r="Z326" i="17"/>
  <c r="AA326" i="17"/>
  <c r="AB326" i="17"/>
  <c r="AC326" i="17"/>
  <c r="X327" i="17"/>
  <c r="Y327" i="17"/>
  <c r="Z327" i="17"/>
  <c r="AA327" i="17"/>
  <c r="AB327" i="17"/>
  <c r="AC327" i="17"/>
  <c r="AD327" i="17"/>
  <c r="X328" i="17"/>
  <c r="Y328" i="17"/>
  <c r="Z328" i="17"/>
  <c r="AA328" i="17"/>
  <c r="AB328" i="17"/>
  <c r="AC328" i="17"/>
  <c r="AD328" i="17"/>
  <c r="X329" i="17"/>
  <c r="AD329" i="17" s="1"/>
  <c r="Y329" i="17"/>
  <c r="Z329" i="17"/>
  <c r="AA329" i="17"/>
  <c r="AB329" i="17"/>
  <c r="AC329" i="17"/>
  <c r="X330" i="17"/>
  <c r="AD330" i="17" s="1"/>
  <c r="Y330" i="17"/>
  <c r="Z330" i="17"/>
  <c r="AA330" i="17"/>
  <c r="AB330" i="17"/>
  <c r="AC330" i="17"/>
  <c r="X331" i="17"/>
  <c r="Y331" i="17"/>
  <c r="Z331" i="17"/>
  <c r="AA331" i="17"/>
  <c r="AB331" i="17"/>
  <c r="AC331" i="17"/>
  <c r="AD331" i="17"/>
  <c r="X332" i="17"/>
  <c r="Y332" i="17"/>
  <c r="Z332" i="17"/>
  <c r="AA332" i="17"/>
  <c r="AB332" i="17"/>
  <c r="AC332" i="17"/>
  <c r="AD332" i="17"/>
  <c r="X333" i="17"/>
  <c r="AD333" i="17" s="1"/>
  <c r="Y333" i="17"/>
  <c r="Z333" i="17"/>
  <c r="AA333" i="17"/>
  <c r="AB333" i="17"/>
  <c r="AC333" i="17"/>
  <c r="X334" i="17"/>
  <c r="AD334" i="17" s="1"/>
  <c r="Y334" i="17"/>
  <c r="Z334" i="17"/>
  <c r="AA334" i="17"/>
  <c r="AB334" i="17"/>
  <c r="AC334" i="17"/>
  <c r="X335" i="17"/>
  <c r="Y335" i="17"/>
  <c r="Z335" i="17"/>
  <c r="AA335" i="17"/>
  <c r="AB335" i="17"/>
  <c r="AC335" i="17"/>
  <c r="AD335" i="17"/>
  <c r="X336" i="17"/>
  <c r="Y336" i="17"/>
  <c r="Z336" i="17"/>
  <c r="AA336" i="17"/>
  <c r="AB336" i="17"/>
  <c r="AC336" i="17"/>
  <c r="AD336" i="17"/>
  <c r="X337" i="17"/>
  <c r="AD337" i="17" s="1"/>
  <c r="Y337" i="17"/>
  <c r="Z337" i="17"/>
  <c r="AA337" i="17"/>
  <c r="AB337" i="17"/>
  <c r="AC337" i="17"/>
  <c r="X338" i="17"/>
  <c r="AD338" i="17" s="1"/>
  <c r="Y338" i="17"/>
  <c r="Z338" i="17"/>
  <c r="AA338" i="17"/>
  <c r="AB338" i="17"/>
  <c r="AC338" i="17"/>
  <c r="X339" i="17"/>
  <c r="Y339" i="17"/>
  <c r="Z339" i="17"/>
  <c r="AA339" i="17"/>
  <c r="AB339" i="17"/>
  <c r="AC339" i="17"/>
  <c r="AD339" i="17"/>
  <c r="X340" i="17"/>
  <c r="Y340" i="17"/>
  <c r="Z340" i="17"/>
  <c r="AA340" i="17"/>
  <c r="AB340" i="17"/>
  <c r="AC340" i="17"/>
  <c r="AD340" i="17"/>
  <c r="X341" i="17"/>
  <c r="AD341" i="17" s="1"/>
  <c r="Y341" i="17"/>
  <c r="Z341" i="17"/>
  <c r="AA341" i="17"/>
  <c r="AB341" i="17"/>
  <c r="AC341" i="17"/>
  <c r="X342" i="17"/>
  <c r="AD342" i="17" s="1"/>
  <c r="Y342" i="17"/>
  <c r="Z342" i="17"/>
  <c r="AA342" i="17"/>
  <c r="AB342" i="17"/>
  <c r="AC342" i="17"/>
  <c r="X343" i="17"/>
  <c r="Y343" i="17"/>
  <c r="Z343" i="17"/>
  <c r="AA343" i="17"/>
  <c r="AB343" i="17"/>
  <c r="AC343" i="17"/>
  <c r="AD343" i="17"/>
  <c r="X344" i="17"/>
  <c r="Y344" i="17"/>
  <c r="Z344" i="17"/>
  <c r="AA344" i="17"/>
  <c r="AB344" i="17"/>
  <c r="AC344" i="17"/>
  <c r="AD344" i="17"/>
  <c r="X345" i="17"/>
  <c r="AD345" i="17" s="1"/>
  <c r="Y345" i="17"/>
  <c r="Z345" i="17"/>
  <c r="AA345" i="17"/>
  <c r="AB345" i="17"/>
  <c r="AC345" i="17"/>
  <c r="X346" i="17"/>
  <c r="AD346" i="17" s="1"/>
  <c r="Y346" i="17"/>
  <c r="Z346" i="17"/>
  <c r="AA346" i="17"/>
  <c r="AB346" i="17"/>
  <c r="AC346" i="17"/>
  <c r="X347" i="17"/>
  <c r="Y347" i="17"/>
  <c r="Z347" i="17"/>
  <c r="AA347" i="17"/>
  <c r="AB347" i="17"/>
  <c r="AC347" i="17"/>
  <c r="AD347" i="17"/>
  <c r="X348" i="17"/>
  <c r="Y348" i="17"/>
  <c r="Z348" i="17"/>
  <c r="AA348" i="17"/>
  <c r="AB348" i="17"/>
  <c r="AC348" i="17"/>
  <c r="AD348" i="17"/>
  <c r="X349" i="17"/>
  <c r="AD349" i="17" s="1"/>
  <c r="Y349" i="17"/>
  <c r="Z349" i="17"/>
  <c r="AA349" i="17"/>
  <c r="AB349" i="17"/>
  <c r="AC349" i="17"/>
  <c r="X350" i="17"/>
  <c r="AD350" i="17" s="1"/>
  <c r="Y350" i="17"/>
  <c r="Z350" i="17"/>
  <c r="AA350" i="17"/>
  <c r="AB350" i="17"/>
  <c r="AC350" i="17"/>
  <c r="X351" i="17"/>
  <c r="Y351" i="17"/>
  <c r="Z351" i="17"/>
  <c r="AA351" i="17"/>
  <c r="AB351" i="17"/>
  <c r="AC351" i="17"/>
  <c r="AD351" i="17"/>
  <c r="X352" i="17"/>
  <c r="Y352" i="17"/>
  <c r="Z352" i="17"/>
  <c r="AA352" i="17"/>
  <c r="AB352" i="17"/>
  <c r="AC352" i="17"/>
  <c r="AD352" i="17"/>
  <c r="X353" i="17"/>
  <c r="AD353" i="17" s="1"/>
  <c r="Y353" i="17"/>
  <c r="Z353" i="17"/>
  <c r="AA353" i="17"/>
  <c r="AB353" i="17"/>
  <c r="AC353" i="17"/>
  <c r="X354" i="17"/>
  <c r="AD354" i="17" s="1"/>
  <c r="Y354" i="17"/>
  <c r="Z354" i="17"/>
  <c r="AA354" i="17"/>
  <c r="AB354" i="17"/>
  <c r="AC354" i="17"/>
  <c r="X355" i="17"/>
  <c r="Y355" i="17"/>
  <c r="Z355" i="17"/>
  <c r="AA355" i="17"/>
  <c r="AB355" i="17"/>
  <c r="AC355" i="17"/>
  <c r="AD355" i="17"/>
  <c r="X356" i="17"/>
  <c r="Y356" i="17"/>
  <c r="Z356" i="17"/>
  <c r="AA356" i="17"/>
  <c r="AB356" i="17"/>
  <c r="AC356" i="17"/>
  <c r="AD356" i="17"/>
  <c r="X357" i="17"/>
  <c r="AD357" i="17" s="1"/>
  <c r="Y357" i="17"/>
  <c r="Z357" i="17"/>
  <c r="AA357" i="17"/>
  <c r="AB357" i="17"/>
  <c r="AC357" i="17"/>
  <c r="X358" i="17"/>
  <c r="AD358" i="17" s="1"/>
  <c r="Y358" i="17"/>
  <c r="Z358" i="17"/>
  <c r="AA358" i="17"/>
  <c r="AB358" i="17"/>
  <c r="AC358" i="17"/>
  <c r="X359" i="17"/>
  <c r="Y359" i="17"/>
  <c r="Z359" i="17"/>
  <c r="AA359" i="17"/>
  <c r="AB359" i="17"/>
  <c r="AC359" i="17"/>
  <c r="AD359" i="17"/>
  <c r="X360" i="17"/>
  <c r="Y360" i="17"/>
  <c r="Z360" i="17"/>
  <c r="AA360" i="17"/>
  <c r="AB360" i="17"/>
  <c r="AC360" i="17"/>
  <c r="AD360" i="17"/>
  <c r="X361" i="17"/>
  <c r="AD361" i="17" s="1"/>
  <c r="Y361" i="17"/>
  <c r="Z361" i="17"/>
  <c r="AA361" i="17"/>
  <c r="AB361" i="17"/>
  <c r="AC361" i="17"/>
  <c r="X362" i="17"/>
  <c r="AD362" i="17" s="1"/>
  <c r="Y362" i="17"/>
  <c r="Z362" i="17"/>
  <c r="AA362" i="17"/>
  <c r="AB362" i="17"/>
  <c r="AC362" i="17"/>
  <c r="X363" i="17"/>
  <c r="Y363" i="17"/>
  <c r="Z363" i="17"/>
  <c r="AA363" i="17"/>
  <c r="AB363" i="17"/>
  <c r="AC363" i="17"/>
  <c r="AD363" i="17"/>
  <c r="X364" i="17"/>
  <c r="Y364" i="17"/>
  <c r="Z364" i="17"/>
  <c r="AA364" i="17"/>
  <c r="AB364" i="17"/>
  <c r="AC364" i="17"/>
  <c r="AD364" i="17"/>
  <c r="X365" i="17"/>
  <c r="AD365" i="17" s="1"/>
  <c r="Y365" i="17"/>
  <c r="Z365" i="17"/>
  <c r="AA365" i="17"/>
  <c r="AB365" i="17"/>
  <c r="AC365" i="17"/>
  <c r="X366" i="17"/>
  <c r="AD366" i="17" s="1"/>
  <c r="Y366" i="17"/>
  <c r="Z366" i="17"/>
  <c r="AA366" i="17"/>
  <c r="AB366" i="17"/>
  <c r="AC366" i="17"/>
  <c r="X367" i="17"/>
  <c r="Y367" i="17"/>
  <c r="Z367" i="17"/>
  <c r="AA367" i="17"/>
  <c r="AB367" i="17"/>
  <c r="AC367" i="17"/>
  <c r="AD367" i="17"/>
  <c r="X368" i="17"/>
  <c r="Y368" i="17"/>
  <c r="Z368" i="17"/>
  <c r="AA368" i="17"/>
  <c r="AB368" i="17"/>
  <c r="AC368" i="17"/>
  <c r="AD368" i="17"/>
  <c r="X369" i="17"/>
  <c r="AD369" i="17" s="1"/>
  <c r="Y369" i="17"/>
  <c r="Z369" i="17"/>
  <c r="AA369" i="17"/>
  <c r="AB369" i="17"/>
  <c r="AC369" i="17"/>
  <c r="X370" i="17"/>
  <c r="AD370" i="17" s="1"/>
  <c r="Y370" i="17"/>
  <c r="Z370" i="17"/>
  <c r="AA370" i="17"/>
  <c r="AB370" i="17"/>
  <c r="AC370" i="17"/>
  <c r="X371" i="17"/>
  <c r="Y371" i="17"/>
  <c r="Z371" i="17"/>
  <c r="AA371" i="17"/>
  <c r="AB371" i="17"/>
  <c r="AC371" i="17"/>
  <c r="AD371" i="17"/>
  <c r="X372" i="17"/>
  <c r="Y372" i="17"/>
  <c r="Z372" i="17"/>
  <c r="AA372" i="17"/>
  <c r="AB372" i="17"/>
  <c r="AC372" i="17"/>
  <c r="AD372" i="17"/>
  <c r="X373" i="17"/>
  <c r="AD373" i="17" s="1"/>
  <c r="Y373" i="17"/>
  <c r="Z373" i="17"/>
  <c r="AA373" i="17"/>
  <c r="AB373" i="17"/>
  <c r="AC373" i="17"/>
  <c r="X374" i="17"/>
  <c r="AD374" i="17" s="1"/>
  <c r="Y374" i="17"/>
  <c r="Z374" i="17"/>
  <c r="AA374" i="17"/>
  <c r="AB374" i="17"/>
  <c r="AC374" i="17"/>
  <c r="X375" i="17"/>
  <c r="Y375" i="17"/>
  <c r="Z375" i="17"/>
  <c r="AA375" i="17"/>
  <c r="AB375" i="17"/>
  <c r="AC375" i="17"/>
  <c r="AD375" i="17"/>
  <c r="X376" i="17"/>
  <c r="Y376" i="17"/>
  <c r="Z376" i="17"/>
  <c r="AA376" i="17"/>
  <c r="AB376" i="17"/>
  <c r="AC376" i="17"/>
  <c r="AD376" i="17"/>
  <c r="X377" i="17"/>
  <c r="AD377" i="17" s="1"/>
  <c r="Y377" i="17"/>
  <c r="Z377" i="17"/>
  <c r="AA377" i="17"/>
  <c r="AB377" i="17"/>
  <c r="AC377" i="17"/>
  <c r="X378" i="17"/>
  <c r="AD378" i="17" s="1"/>
  <c r="Y378" i="17"/>
  <c r="Z378" i="17"/>
  <c r="AA378" i="17"/>
  <c r="AB378" i="17"/>
  <c r="AC378" i="17"/>
  <c r="X379" i="17"/>
  <c r="Y379" i="17"/>
  <c r="Z379" i="17"/>
  <c r="AA379" i="17"/>
  <c r="AB379" i="17"/>
  <c r="AC379" i="17"/>
  <c r="AD379" i="17"/>
  <c r="X380" i="17"/>
  <c r="Y380" i="17"/>
  <c r="Z380" i="17"/>
  <c r="AA380" i="17"/>
  <c r="AB380" i="17"/>
  <c r="AC380" i="17"/>
  <c r="AD380" i="17"/>
  <c r="X381" i="17"/>
  <c r="AD381" i="17" s="1"/>
  <c r="Y381" i="17"/>
  <c r="Z381" i="17"/>
  <c r="AA381" i="17"/>
  <c r="AB381" i="17"/>
  <c r="AC381" i="17"/>
  <c r="X382" i="17"/>
  <c r="AD382" i="17" s="1"/>
  <c r="Y382" i="17"/>
  <c r="Z382" i="17"/>
  <c r="AA382" i="17"/>
  <c r="AB382" i="17"/>
  <c r="AC382" i="17"/>
  <c r="X383" i="17"/>
  <c r="Y383" i="17"/>
  <c r="Z383" i="17"/>
  <c r="AA383" i="17"/>
  <c r="AB383" i="17"/>
  <c r="AC383" i="17"/>
  <c r="AD383" i="17"/>
  <c r="X384" i="17"/>
  <c r="Y384" i="17"/>
  <c r="Z384" i="17"/>
  <c r="AA384" i="17"/>
  <c r="AB384" i="17"/>
  <c r="AC384" i="17"/>
  <c r="AD384" i="17"/>
  <c r="X385" i="17"/>
  <c r="AD385" i="17" s="1"/>
  <c r="Y385" i="17"/>
  <c r="Z385" i="17"/>
  <c r="AA385" i="17"/>
  <c r="AB385" i="17"/>
  <c r="AC385" i="17"/>
  <c r="X386" i="17"/>
  <c r="AD386" i="17" s="1"/>
  <c r="Y386" i="17"/>
  <c r="Z386" i="17"/>
  <c r="AA386" i="17"/>
  <c r="AB386" i="17"/>
  <c r="AC386" i="17"/>
  <c r="X387" i="17"/>
  <c r="Y387" i="17"/>
  <c r="Z387" i="17"/>
  <c r="AA387" i="17"/>
  <c r="AB387" i="17"/>
  <c r="AC387" i="17"/>
  <c r="AD387" i="17"/>
  <c r="X388" i="17"/>
  <c r="Y388" i="17"/>
  <c r="Z388" i="17"/>
  <c r="AA388" i="17"/>
  <c r="AB388" i="17"/>
  <c r="AC388" i="17"/>
  <c r="AD388" i="17"/>
  <c r="X389" i="17"/>
  <c r="AD389" i="17" s="1"/>
  <c r="Y389" i="17"/>
  <c r="Z389" i="17"/>
  <c r="AA389" i="17"/>
  <c r="AB389" i="17"/>
  <c r="AC389" i="17"/>
  <c r="X390" i="17"/>
  <c r="AD390" i="17" s="1"/>
  <c r="Y390" i="17"/>
  <c r="Z390" i="17"/>
  <c r="AA390" i="17"/>
  <c r="AB390" i="17"/>
  <c r="AC390" i="17"/>
  <c r="X391" i="17"/>
  <c r="Y391" i="17"/>
  <c r="Z391" i="17"/>
  <c r="AA391" i="17"/>
  <c r="AB391" i="17"/>
  <c r="AC391" i="17"/>
  <c r="AD391" i="17"/>
  <c r="X392" i="17"/>
  <c r="Y392" i="17"/>
  <c r="Z392" i="17"/>
  <c r="AA392" i="17"/>
  <c r="AB392" i="17"/>
  <c r="AC392" i="17"/>
  <c r="AD392" i="17"/>
  <c r="X393" i="17"/>
  <c r="AD393" i="17" s="1"/>
  <c r="Y393" i="17"/>
  <c r="Z393" i="17"/>
  <c r="AA393" i="17"/>
  <c r="AB393" i="17"/>
  <c r="AC393" i="17"/>
  <c r="X394" i="17"/>
  <c r="AD394" i="17" s="1"/>
  <c r="Y394" i="17"/>
  <c r="Z394" i="17"/>
  <c r="AA394" i="17"/>
  <c r="AB394" i="17"/>
  <c r="AC394" i="17"/>
  <c r="X395" i="17"/>
  <c r="Y395" i="17"/>
  <c r="Z395" i="17"/>
  <c r="AA395" i="17"/>
  <c r="AB395" i="17"/>
  <c r="AC395" i="17"/>
  <c r="AD395" i="17"/>
  <c r="X396" i="17"/>
  <c r="Y396" i="17"/>
  <c r="Z396" i="17"/>
  <c r="AA396" i="17"/>
  <c r="AB396" i="17"/>
  <c r="AC396" i="17"/>
  <c r="AD396" i="17"/>
  <c r="X397" i="17"/>
  <c r="AD397" i="17" s="1"/>
  <c r="Y397" i="17"/>
  <c r="Z397" i="17"/>
  <c r="AA397" i="17"/>
  <c r="AB397" i="17"/>
  <c r="AC397" i="17"/>
  <c r="X398" i="17"/>
  <c r="AD398" i="17" s="1"/>
  <c r="Y398" i="17"/>
  <c r="Z398" i="17"/>
  <c r="AA398" i="17"/>
  <c r="AB398" i="17"/>
  <c r="AC398" i="17"/>
  <c r="X399" i="17"/>
  <c r="Y399" i="17"/>
  <c r="Z399" i="17"/>
  <c r="AA399" i="17"/>
  <c r="AB399" i="17"/>
  <c r="AC399" i="17"/>
  <c r="AD399" i="17"/>
  <c r="X400" i="17"/>
  <c r="Y400" i="17"/>
  <c r="Z400" i="17"/>
  <c r="AA400" i="17"/>
  <c r="AB400" i="17"/>
  <c r="AC400" i="17"/>
  <c r="AD400" i="17"/>
  <c r="X401" i="17"/>
  <c r="AD401" i="17" s="1"/>
  <c r="Y401" i="17"/>
  <c r="Z401" i="17"/>
  <c r="AA401" i="17"/>
  <c r="AB401" i="17"/>
  <c r="AC401" i="17"/>
  <c r="X402" i="17"/>
  <c r="AD402" i="17" s="1"/>
  <c r="Y402" i="17"/>
  <c r="Z402" i="17"/>
  <c r="AA402" i="17"/>
  <c r="AB402" i="17"/>
  <c r="AC402" i="17"/>
  <c r="X403" i="17"/>
  <c r="Y403" i="17"/>
  <c r="Z403" i="17"/>
  <c r="AA403" i="17"/>
  <c r="AB403" i="17"/>
  <c r="AC403" i="17"/>
  <c r="AD403" i="17"/>
  <c r="X404" i="17"/>
  <c r="Y404" i="17"/>
  <c r="Z404" i="17"/>
  <c r="AA404" i="17"/>
  <c r="AB404" i="17"/>
  <c r="AC404" i="17"/>
  <c r="AD404" i="17"/>
  <c r="X405" i="17"/>
  <c r="AD405" i="17" s="1"/>
  <c r="Y405" i="17"/>
  <c r="Z405" i="17"/>
  <c r="AA405" i="17"/>
  <c r="AB405" i="17"/>
  <c r="AC405" i="17"/>
  <c r="X406" i="17"/>
  <c r="AD406" i="17" s="1"/>
  <c r="Y406" i="17"/>
  <c r="Z406" i="17"/>
  <c r="AA406" i="17"/>
  <c r="AB406" i="17"/>
  <c r="AC406" i="17"/>
  <c r="X407" i="17"/>
  <c r="Y407" i="17"/>
  <c r="Z407" i="17"/>
  <c r="AA407" i="17"/>
  <c r="AB407" i="17"/>
  <c r="AC407" i="17"/>
  <c r="AD407" i="17"/>
  <c r="X408" i="17"/>
  <c r="Y408" i="17"/>
  <c r="Z408" i="17"/>
  <c r="AA408" i="17"/>
  <c r="AB408" i="17"/>
  <c r="AC408" i="17"/>
  <c r="AD408" i="17"/>
  <c r="X409" i="17"/>
  <c r="AD409" i="17" s="1"/>
  <c r="Y409" i="17"/>
  <c r="Z409" i="17"/>
  <c r="AA409" i="17"/>
  <c r="AB409" i="17"/>
  <c r="AC409" i="17"/>
  <c r="X410" i="17"/>
  <c r="AD410" i="17" s="1"/>
  <c r="Y410" i="17"/>
  <c r="Z410" i="17"/>
  <c r="AA410" i="17"/>
  <c r="AB410" i="17"/>
  <c r="AC410" i="17"/>
  <c r="X411" i="17"/>
  <c r="Y411" i="17"/>
  <c r="Z411" i="17"/>
  <c r="AA411" i="17"/>
  <c r="AB411" i="17"/>
  <c r="AC411" i="17"/>
  <c r="AD411" i="17"/>
  <c r="X412" i="17"/>
  <c r="Y412" i="17"/>
  <c r="Z412" i="17"/>
  <c r="AA412" i="17"/>
  <c r="AB412" i="17"/>
  <c r="AC412" i="17"/>
  <c r="AD412" i="17"/>
  <c r="X413" i="17"/>
  <c r="AD413" i="17" s="1"/>
  <c r="Y413" i="17"/>
  <c r="Z413" i="17"/>
  <c r="AA413" i="17"/>
  <c r="AB413" i="17"/>
  <c r="AC413" i="17"/>
  <c r="X414" i="17"/>
  <c r="AD414" i="17" s="1"/>
  <c r="Y414" i="17"/>
  <c r="Z414" i="17"/>
  <c r="AA414" i="17"/>
  <c r="AB414" i="17"/>
  <c r="AC414" i="17"/>
  <c r="X415" i="17"/>
  <c r="Y415" i="17"/>
  <c r="Z415" i="17"/>
  <c r="AA415" i="17"/>
  <c r="AB415" i="17"/>
  <c r="AC415" i="17"/>
  <c r="AD415" i="17"/>
  <c r="X416" i="17"/>
  <c r="Y416" i="17"/>
  <c r="Z416" i="17"/>
  <c r="AA416" i="17"/>
  <c r="AB416" i="17"/>
  <c r="AC416" i="17"/>
  <c r="AD416" i="17"/>
  <c r="X417" i="17"/>
  <c r="AD417" i="17" s="1"/>
  <c r="Y417" i="17"/>
  <c r="Z417" i="17"/>
  <c r="AA417" i="17"/>
  <c r="AB417" i="17"/>
  <c r="AC417" i="17"/>
  <c r="X418" i="17"/>
  <c r="AD418" i="17" s="1"/>
  <c r="Y418" i="17"/>
  <c r="Z418" i="17"/>
  <c r="AA418" i="17"/>
  <c r="AB418" i="17"/>
  <c r="AC418" i="17"/>
  <c r="X419" i="17"/>
  <c r="Y419" i="17"/>
  <c r="Z419" i="17"/>
  <c r="AA419" i="17"/>
  <c r="AB419" i="17"/>
  <c r="AC419" i="17"/>
  <c r="AD419" i="17"/>
  <c r="X420" i="17"/>
  <c r="Y420" i="17"/>
  <c r="Z420" i="17"/>
  <c r="AA420" i="17"/>
  <c r="AB420" i="17"/>
  <c r="AC420" i="17"/>
  <c r="AD420" i="17"/>
  <c r="X421" i="17"/>
  <c r="AD421" i="17" s="1"/>
  <c r="Y421" i="17"/>
  <c r="Z421" i="17"/>
  <c r="AA421" i="17"/>
  <c r="AB421" i="17"/>
  <c r="AC421" i="17"/>
  <c r="X422" i="17"/>
  <c r="AD422" i="17" s="1"/>
  <c r="Y422" i="17"/>
  <c r="Z422" i="17"/>
  <c r="AA422" i="17"/>
  <c r="AB422" i="17"/>
  <c r="AC422" i="17"/>
  <c r="X423" i="17"/>
  <c r="Y423" i="17"/>
  <c r="Z423" i="17"/>
  <c r="AA423" i="17"/>
  <c r="AB423" i="17"/>
  <c r="AC423" i="17"/>
  <c r="AD423" i="17"/>
  <c r="X424" i="17"/>
  <c r="Y424" i="17"/>
  <c r="Z424" i="17"/>
  <c r="AA424" i="17"/>
  <c r="AB424" i="17"/>
  <c r="AC424" i="17"/>
  <c r="AD424" i="17"/>
  <c r="X425" i="17"/>
  <c r="AD425" i="17" s="1"/>
  <c r="Y425" i="17"/>
  <c r="Z425" i="17"/>
  <c r="AA425" i="17"/>
  <c r="AB425" i="17"/>
  <c r="AC425" i="17"/>
  <c r="X426" i="17"/>
  <c r="AD426" i="17" s="1"/>
  <c r="Y426" i="17"/>
  <c r="Z426" i="17"/>
  <c r="AA426" i="17"/>
  <c r="AB426" i="17"/>
  <c r="AC426" i="17"/>
  <c r="X427" i="17"/>
  <c r="Y427" i="17"/>
  <c r="Z427" i="17"/>
  <c r="AA427" i="17"/>
  <c r="AB427" i="17"/>
  <c r="AC427" i="17"/>
  <c r="AD427" i="17"/>
  <c r="X428" i="17"/>
  <c r="Y428" i="17"/>
  <c r="Z428" i="17"/>
  <c r="AA428" i="17"/>
  <c r="AB428" i="17"/>
  <c r="AC428" i="17"/>
  <c r="AD428" i="17"/>
  <c r="X429" i="17"/>
  <c r="AD429" i="17" s="1"/>
  <c r="Y429" i="17"/>
  <c r="Z429" i="17"/>
  <c r="AA429" i="17"/>
  <c r="AB429" i="17"/>
  <c r="AC429" i="17"/>
  <c r="X430" i="17"/>
  <c r="AD430" i="17" s="1"/>
  <c r="Y430" i="17"/>
  <c r="Z430" i="17"/>
  <c r="AA430" i="17"/>
  <c r="AB430" i="17"/>
  <c r="AC430" i="17"/>
  <c r="X431" i="17"/>
  <c r="Y431" i="17"/>
  <c r="Z431" i="17"/>
  <c r="AA431" i="17"/>
  <c r="AB431" i="17"/>
  <c r="AC431" i="17"/>
  <c r="AD431" i="17"/>
  <c r="X432" i="17"/>
  <c r="Y432" i="17"/>
  <c r="Z432" i="17"/>
  <c r="AA432" i="17"/>
  <c r="AB432" i="17"/>
  <c r="AC432" i="17"/>
  <c r="AD432" i="17"/>
  <c r="X433" i="17"/>
  <c r="AD433" i="17" s="1"/>
  <c r="Y433" i="17"/>
  <c r="Z433" i="17"/>
  <c r="AA433" i="17"/>
  <c r="AB433" i="17"/>
  <c r="AC433" i="17"/>
  <c r="X434" i="17"/>
  <c r="AD434" i="17" s="1"/>
  <c r="Y434" i="17"/>
  <c r="Z434" i="17"/>
  <c r="AA434" i="17"/>
  <c r="AB434" i="17"/>
  <c r="AC434" i="17"/>
  <c r="X435" i="17"/>
  <c r="Y435" i="17"/>
  <c r="Z435" i="17"/>
  <c r="AA435" i="17"/>
  <c r="AB435" i="17"/>
  <c r="AC435" i="17"/>
  <c r="AD435" i="17"/>
  <c r="X436" i="17"/>
  <c r="Y436" i="17"/>
  <c r="Z436" i="17"/>
  <c r="AA436" i="17"/>
  <c r="AB436" i="17"/>
  <c r="AC436" i="17"/>
  <c r="AD436" i="17"/>
  <c r="X437" i="17"/>
  <c r="AD437" i="17" s="1"/>
  <c r="Y437" i="17"/>
  <c r="Z437" i="17"/>
  <c r="AA437" i="17"/>
  <c r="AB437" i="17"/>
  <c r="AC437" i="17"/>
  <c r="X438" i="17"/>
  <c r="AD438" i="17" s="1"/>
  <c r="Y438" i="17"/>
  <c r="Z438" i="17"/>
  <c r="AA438" i="17"/>
  <c r="AB438" i="17"/>
  <c r="AC438" i="17"/>
  <c r="X439" i="17"/>
  <c r="Y439" i="17"/>
  <c r="Z439" i="17"/>
  <c r="AA439" i="17"/>
  <c r="AB439" i="17"/>
  <c r="AC439" i="17"/>
  <c r="AD439" i="17"/>
  <c r="X440" i="17"/>
  <c r="Y440" i="17"/>
  <c r="Z440" i="17"/>
  <c r="AA440" i="17"/>
  <c r="AB440" i="17"/>
  <c r="AC440" i="17"/>
  <c r="AD440" i="17"/>
  <c r="X441" i="17"/>
  <c r="AD441" i="17" s="1"/>
  <c r="Y441" i="17"/>
  <c r="Z441" i="17"/>
  <c r="AA441" i="17"/>
  <c r="AB441" i="17"/>
  <c r="AC441" i="17"/>
  <c r="X442" i="17"/>
  <c r="AD442" i="17" s="1"/>
  <c r="Y442" i="17"/>
  <c r="Z442" i="17"/>
  <c r="AA442" i="17"/>
  <c r="AB442" i="17"/>
  <c r="AC442" i="17"/>
  <c r="X443" i="17"/>
  <c r="Y443" i="17"/>
  <c r="Z443" i="17"/>
  <c r="AA443" i="17"/>
  <c r="AB443" i="17"/>
  <c r="AC443" i="17"/>
  <c r="AD443" i="17"/>
  <c r="X444" i="17"/>
  <c r="Y444" i="17"/>
  <c r="Z444" i="17"/>
  <c r="AA444" i="17"/>
  <c r="AB444" i="17"/>
  <c r="AC444" i="17"/>
  <c r="AD444" i="17"/>
  <c r="X445" i="17"/>
  <c r="AD445" i="17" s="1"/>
  <c r="Y445" i="17"/>
  <c r="Z445" i="17"/>
  <c r="AA445" i="17"/>
  <c r="AB445" i="17"/>
  <c r="AC445" i="17"/>
  <c r="X446" i="17"/>
  <c r="AD446" i="17" s="1"/>
  <c r="Y446" i="17"/>
  <c r="Z446" i="17"/>
  <c r="AA446" i="17"/>
  <c r="AB446" i="17"/>
  <c r="AC446" i="17"/>
  <c r="X447" i="17"/>
  <c r="Y447" i="17"/>
  <c r="Z447" i="17"/>
  <c r="AA447" i="17"/>
  <c r="AB447" i="17"/>
  <c r="AC447" i="17"/>
  <c r="AD447" i="17"/>
  <c r="X448" i="17"/>
  <c r="Y448" i="17"/>
  <c r="Z448" i="17"/>
  <c r="AA448" i="17"/>
  <c r="AB448" i="17"/>
  <c r="AC448" i="17"/>
  <c r="AD448" i="17"/>
  <c r="X449" i="17"/>
  <c r="AD449" i="17" s="1"/>
  <c r="Y449" i="17"/>
  <c r="Z449" i="17"/>
  <c r="AA449" i="17"/>
  <c r="AB449" i="17"/>
  <c r="AC449" i="17"/>
  <c r="X450" i="17"/>
  <c r="AD450" i="17" s="1"/>
  <c r="Y450" i="17"/>
  <c r="Z450" i="17"/>
  <c r="AA450" i="17"/>
  <c r="AB450" i="17"/>
  <c r="AC450" i="17"/>
  <c r="X451" i="17"/>
  <c r="Y451" i="17"/>
  <c r="Z451" i="17"/>
  <c r="AA451" i="17"/>
  <c r="AB451" i="17"/>
  <c r="AC451" i="17"/>
  <c r="AD451" i="17"/>
  <c r="X452" i="17"/>
  <c r="Y452" i="17"/>
  <c r="Z452" i="17"/>
  <c r="AA452" i="17"/>
  <c r="AB452" i="17"/>
  <c r="AC452" i="17"/>
  <c r="AD452" i="17"/>
  <c r="X453" i="17"/>
  <c r="AD453" i="17" s="1"/>
  <c r="Y453" i="17"/>
  <c r="Z453" i="17"/>
  <c r="AA453" i="17"/>
  <c r="AB453" i="17"/>
  <c r="AC453" i="17"/>
  <c r="X454" i="17"/>
  <c r="AD454" i="17" s="1"/>
  <c r="Y454" i="17"/>
  <c r="Z454" i="17"/>
  <c r="AA454" i="17"/>
  <c r="AB454" i="17"/>
  <c r="AC454" i="17"/>
  <c r="X455" i="17"/>
  <c r="Y455" i="17"/>
  <c r="Z455" i="17"/>
  <c r="AA455" i="17"/>
  <c r="AB455" i="17"/>
  <c r="AC455" i="17"/>
  <c r="AD455" i="17"/>
  <c r="X456" i="17"/>
  <c r="Y456" i="17"/>
  <c r="Z456" i="17"/>
  <c r="AA456" i="17"/>
  <c r="AB456" i="17"/>
  <c r="AC456" i="17"/>
  <c r="AD456" i="17"/>
  <c r="X457" i="17"/>
  <c r="AD457" i="17" s="1"/>
  <c r="Y457" i="17"/>
  <c r="Z457" i="17"/>
  <c r="AA457" i="17"/>
  <c r="AB457" i="17"/>
  <c r="AC457" i="17"/>
  <c r="X458" i="17"/>
  <c r="AD458" i="17" s="1"/>
  <c r="Y458" i="17"/>
  <c r="Z458" i="17"/>
  <c r="AA458" i="17"/>
  <c r="AB458" i="17"/>
  <c r="AC458" i="17"/>
  <c r="X459" i="17"/>
  <c r="Y459" i="17"/>
  <c r="Z459" i="17"/>
  <c r="AA459" i="17"/>
  <c r="AB459" i="17"/>
  <c r="AC459" i="17"/>
  <c r="AD459" i="17"/>
  <c r="X460" i="17"/>
  <c r="Y460" i="17"/>
  <c r="Z460" i="17"/>
  <c r="AA460" i="17"/>
  <c r="AB460" i="17"/>
  <c r="AC460" i="17"/>
  <c r="AD460" i="17"/>
  <c r="X461" i="17"/>
  <c r="AD461" i="17" s="1"/>
  <c r="Y461" i="17"/>
  <c r="Z461" i="17"/>
  <c r="AA461" i="17"/>
  <c r="AB461" i="17"/>
  <c r="AC461" i="17"/>
  <c r="X462" i="17"/>
  <c r="AD462" i="17" s="1"/>
  <c r="Y462" i="17"/>
  <c r="Z462" i="17"/>
  <c r="AA462" i="17"/>
  <c r="AB462" i="17"/>
  <c r="AC462" i="17"/>
  <c r="X463" i="17"/>
  <c r="Y463" i="17"/>
  <c r="Z463" i="17"/>
  <c r="AA463" i="17"/>
  <c r="AB463" i="17"/>
  <c r="AC463" i="17"/>
  <c r="AD463" i="17"/>
  <c r="X464" i="17"/>
  <c r="Y464" i="17"/>
  <c r="Z464" i="17"/>
  <c r="AA464" i="17"/>
  <c r="AB464" i="17"/>
  <c r="AC464" i="17"/>
  <c r="AD464" i="17"/>
  <c r="X465" i="17"/>
  <c r="AD465" i="17" s="1"/>
  <c r="Y465" i="17"/>
  <c r="Z465" i="17"/>
  <c r="AA465" i="17"/>
  <c r="AB465" i="17"/>
  <c r="AC465" i="17"/>
  <c r="X466" i="17"/>
  <c r="AD466" i="17" s="1"/>
  <c r="Y466" i="17"/>
  <c r="Z466" i="17"/>
  <c r="AA466" i="17"/>
  <c r="AB466" i="17"/>
  <c r="AC466" i="17"/>
  <c r="X467" i="17"/>
  <c r="Y467" i="17"/>
  <c r="Z467" i="17"/>
  <c r="AA467" i="17"/>
  <c r="AB467" i="17"/>
  <c r="AC467" i="17"/>
  <c r="AD467" i="17"/>
  <c r="X468" i="17"/>
  <c r="Y468" i="17"/>
  <c r="Z468" i="17"/>
  <c r="AA468" i="17"/>
  <c r="AB468" i="17"/>
  <c r="AC468" i="17"/>
  <c r="AD468" i="17"/>
  <c r="X469" i="17"/>
  <c r="AD469" i="17" s="1"/>
  <c r="Y469" i="17"/>
  <c r="Z469" i="17"/>
  <c r="AA469" i="17"/>
  <c r="AB469" i="17"/>
  <c r="AC469" i="17"/>
  <c r="X470" i="17"/>
  <c r="AD470" i="17" s="1"/>
  <c r="Y470" i="17"/>
  <c r="Z470" i="17"/>
  <c r="AA470" i="17"/>
  <c r="AB470" i="17"/>
  <c r="AC470" i="17"/>
  <c r="X471" i="17"/>
  <c r="Y471" i="17"/>
  <c r="Z471" i="17"/>
  <c r="AA471" i="17"/>
  <c r="AB471" i="17"/>
  <c r="AC471" i="17"/>
  <c r="AD471" i="17"/>
  <c r="X472" i="17"/>
  <c r="Y472" i="17"/>
  <c r="Z472" i="17"/>
  <c r="AA472" i="17"/>
  <c r="AB472" i="17"/>
  <c r="AC472" i="17"/>
  <c r="AD472" i="17"/>
  <c r="X473" i="17"/>
  <c r="AD473" i="17" s="1"/>
  <c r="Y473" i="17"/>
  <c r="Z473" i="17"/>
  <c r="AA473" i="17"/>
  <c r="AB473" i="17"/>
  <c r="AC473" i="17"/>
  <c r="X474" i="17"/>
  <c r="AD474" i="17" s="1"/>
  <c r="Y474" i="17"/>
  <c r="Z474" i="17"/>
  <c r="AA474" i="17"/>
  <c r="AB474" i="17"/>
  <c r="AC474" i="17"/>
  <c r="X475" i="17"/>
  <c r="Y475" i="17"/>
  <c r="Z475" i="17"/>
  <c r="AA475" i="17"/>
  <c r="AB475" i="17"/>
  <c r="AC475" i="17"/>
  <c r="AD475" i="17"/>
  <c r="X476" i="17"/>
  <c r="Y476" i="17"/>
  <c r="Z476" i="17"/>
  <c r="AA476" i="17"/>
  <c r="AB476" i="17"/>
  <c r="AC476" i="17"/>
  <c r="AD476" i="17"/>
  <c r="X477" i="17"/>
  <c r="AD477" i="17" s="1"/>
  <c r="Y477" i="17"/>
  <c r="Z477" i="17"/>
  <c r="AA477" i="17"/>
  <c r="AB477" i="17"/>
  <c r="AC477" i="17"/>
  <c r="X478" i="17"/>
  <c r="AD478" i="17" s="1"/>
  <c r="Y478" i="17"/>
  <c r="Z478" i="17"/>
  <c r="AA478" i="17"/>
  <c r="AB478" i="17"/>
  <c r="AC478" i="17"/>
  <c r="X479" i="17"/>
  <c r="Y479" i="17"/>
  <c r="Z479" i="17"/>
  <c r="AA479" i="17"/>
  <c r="AB479" i="17"/>
  <c r="AC479" i="17"/>
  <c r="AD479" i="17"/>
  <c r="X480" i="17"/>
  <c r="Y480" i="17"/>
  <c r="Z480" i="17"/>
  <c r="AA480" i="17"/>
  <c r="AB480" i="17"/>
  <c r="AC480" i="17"/>
  <c r="AD480" i="17"/>
  <c r="X481" i="17"/>
  <c r="AD481" i="17" s="1"/>
  <c r="Y481" i="17"/>
  <c r="Z481" i="17"/>
  <c r="AA481" i="17"/>
  <c r="AB481" i="17"/>
  <c r="AC481" i="17"/>
  <c r="X482" i="17"/>
  <c r="AD482" i="17" s="1"/>
  <c r="Y482" i="17"/>
  <c r="Z482" i="17"/>
  <c r="AA482" i="17"/>
  <c r="AB482" i="17"/>
  <c r="AC482" i="17"/>
  <c r="X483" i="17"/>
  <c r="Y483" i="17"/>
  <c r="Z483" i="17"/>
  <c r="AA483" i="17"/>
  <c r="AB483" i="17"/>
  <c r="AC483" i="17"/>
  <c r="AD483" i="17"/>
  <c r="X484" i="17"/>
  <c r="Y484" i="17"/>
  <c r="Z484" i="17"/>
  <c r="AA484" i="17"/>
  <c r="AB484" i="17"/>
  <c r="AC484" i="17"/>
  <c r="AD484" i="17"/>
  <c r="X485" i="17"/>
  <c r="AD485" i="17" s="1"/>
  <c r="Y485" i="17"/>
  <c r="Z485" i="17"/>
  <c r="AA485" i="17"/>
  <c r="AB485" i="17"/>
  <c r="AC485" i="17"/>
  <c r="X486" i="17"/>
  <c r="AD486" i="17" s="1"/>
  <c r="Y486" i="17"/>
  <c r="Z486" i="17"/>
  <c r="AA486" i="17"/>
  <c r="AB486" i="17"/>
  <c r="AC486" i="17"/>
  <c r="X487" i="17"/>
  <c r="Y487" i="17"/>
  <c r="Z487" i="17"/>
  <c r="AA487" i="17"/>
  <c r="AB487" i="17"/>
  <c r="AC487" i="17"/>
  <c r="AD487" i="17"/>
  <c r="X488" i="17"/>
  <c r="Y488" i="17"/>
  <c r="Z488" i="17"/>
  <c r="AA488" i="17"/>
  <c r="AB488" i="17"/>
  <c r="AC488" i="17"/>
  <c r="AD488" i="17"/>
  <c r="X489" i="17"/>
  <c r="AD489" i="17" s="1"/>
  <c r="Y489" i="17"/>
  <c r="Z489" i="17"/>
  <c r="AA489" i="17"/>
  <c r="AB489" i="17"/>
  <c r="AC489" i="17"/>
  <c r="X490" i="17"/>
  <c r="AD490" i="17" s="1"/>
  <c r="Y490" i="17"/>
  <c r="Z490" i="17"/>
  <c r="AA490" i="17"/>
  <c r="AB490" i="17"/>
  <c r="AC490" i="17"/>
  <c r="X491" i="17"/>
  <c r="Y491" i="17"/>
  <c r="Z491" i="17"/>
  <c r="AA491" i="17"/>
  <c r="AB491" i="17"/>
  <c r="AC491" i="17"/>
  <c r="AD491" i="17"/>
  <c r="X492" i="17"/>
  <c r="Y492" i="17"/>
  <c r="Z492" i="17"/>
  <c r="AA492" i="17"/>
  <c r="AB492" i="17"/>
  <c r="AC492" i="17"/>
  <c r="AD492" i="17"/>
  <c r="X493" i="17"/>
  <c r="AD493" i="17" s="1"/>
  <c r="Y493" i="17"/>
  <c r="Z493" i="17"/>
  <c r="AA493" i="17"/>
  <c r="AB493" i="17"/>
  <c r="AC493" i="17"/>
  <c r="X494" i="17"/>
  <c r="AD494" i="17" s="1"/>
  <c r="Y494" i="17"/>
  <c r="Z494" i="17"/>
  <c r="AA494" i="17"/>
  <c r="AB494" i="17"/>
  <c r="AC494" i="17"/>
  <c r="X495" i="17"/>
  <c r="Y495" i="17"/>
  <c r="Z495" i="17"/>
  <c r="AA495" i="17"/>
  <c r="AB495" i="17"/>
  <c r="AC495" i="17"/>
  <c r="AD495" i="17"/>
  <c r="X496" i="17"/>
  <c r="Y496" i="17"/>
  <c r="Z496" i="17"/>
  <c r="AA496" i="17"/>
  <c r="AB496" i="17"/>
  <c r="AC496" i="17"/>
  <c r="AD496" i="17"/>
  <c r="X497" i="17"/>
  <c r="AD497" i="17" s="1"/>
  <c r="Y497" i="17"/>
  <c r="Z497" i="17"/>
  <c r="AA497" i="17"/>
  <c r="AB497" i="17"/>
  <c r="AC497" i="17"/>
  <c r="X498" i="17"/>
  <c r="AD498" i="17" s="1"/>
  <c r="Y498" i="17"/>
  <c r="Z498" i="17"/>
  <c r="AA498" i="17"/>
  <c r="AB498" i="17"/>
  <c r="AC498" i="17"/>
  <c r="X499" i="17"/>
  <c r="Y499" i="17"/>
  <c r="Z499" i="17"/>
  <c r="AA499" i="17"/>
  <c r="AB499" i="17"/>
  <c r="AC499" i="17"/>
  <c r="AD499" i="17"/>
  <c r="X500" i="17"/>
  <c r="Y500" i="17"/>
  <c r="Z500" i="17"/>
  <c r="AA500" i="17"/>
  <c r="AB500" i="17"/>
  <c r="AC500" i="17"/>
  <c r="AD500" i="17"/>
  <c r="X501" i="17"/>
  <c r="AD501" i="17" s="1"/>
  <c r="Y501" i="17"/>
  <c r="Z501" i="17"/>
  <c r="AA501" i="17"/>
  <c r="AB501" i="17"/>
  <c r="AC501" i="17"/>
  <c r="X502" i="17"/>
  <c r="AD502" i="17" s="1"/>
  <c r="Y502" i="17"/>
  <c r="Z502" i="17"/>
  <c r="AA502" i="17"/>
  <c r="AB502" i="17"/>
  <c r="AC502" i="17"/>
  <c r="X503" i="17"/>
  <c r="Y503" i="17"/>
  <c r="Z503" i="17"/>
  <c r="AA503" i="17"/>
  <c r="AB503" i="17"/>
  <c r="AC503" i="17"/>
  <c r="AD503" i="17"/>
  <c r="X504" i="17"/>
  <c r="Y504" i="17"/>
  <c r="Z504" i="17"/>
  <c r="AA504" i="17"/>
  <c r="AB504" i="17"/>
  <c r="AC504" i="17"/>
  <c r="AD504" i="17"/>
  <c r="X505" i="17"/>
  <c r="AD505" i="17" s="1"/>
  <c r="Y505" i="17"/>
  <c r="Z505" i="17"/>
  <c r="AA505" i="17"/>
  <c r="AB505" i="17"/>
  <c r="AC505" i="17"/>
  <c r="X506" i="17"/>
  <c r="AD506" i="17" s="1"/>
  <c r="Y506" i="17"/>
  <c r="Z506" i="17"/>
  <c r="AA506" i="17"/>
  <c r="AB506" i="17"/>
  <c r="AC506" i="17"/>
  <c r="X507" i="17"/>
  <c r="Y507" i="17"/>
  <c r="Z507" i="17"/>
  <c r="AA507" i="17"/>
  <c r="AB507" i="17"/>
  <c r="AC507" i="17"/>
  <c r="AD507" i="17"/>
  <c r="X508" i="17"/>
  <c r="Y508" i="17"/>
  <c r="Z508" i="17"/>
  <c r="AA508" i="17"/>
  <c r="AB508" i="17"/>
  <c r="AC508" i="17"/>
  <c r="AD508" i="17"/>
  <c r="X509" i="17"/>
  <c r="AD509" i="17" s="1"/>
  <c r="Y509" i="17"/>
  <c r="Z509" i="17"/>
  <c r="AA509" i="17"/>
  <c r="AB509" i="17"/>
  <c r="AC509" i="17"/>
  <c r="X510" i="17"/>
  <c r="AD510" i="17" s="1"/>
  <c r="Y510" i="17"/>
  <c r="Z510" i="17"/>
  <c r="AA510" i="17"/>
  <c r="AB510" i="17"/>
  <c r="AC510" i="17"/>
  <c r="X511" i="17"/>
  <c r="Y511" i="17"/>
  <c r="Z511" i="17"/>
  <c r="AA511" i="17"/>
  <c r="AB511" i="17"/>
  <c r="AC511" i="17"/>
  <c r="AD511" i="17"/>
  <c r="X512" i="17"/>
  <c r="Y512" i="17"/>
  <c r="Z512" i="17"/>
  <c r="AA512" i="17"/>
  <c r="AB512" i="17"/>
  <c r="AC512" i="17"/>
  <c r="AD512" i="17"/>
  <c r="X513" i="17"/>
  <c r="AD513" i="17" s="1"/>
  <c r="Y513" i="17"/>
  <c r="Z513" i="17"/>
  <c r="AA513" i="17"/>
  <c r="AB513" i="17"/>
  <c r="AC513" i="17"/>
  <c r="X514" i="17"/>
  <c r="AD514" i="17" s="1"/>
  <c r="Y514" i="17"/>
  <c r="Z514" i="17"/>
  <c r="AA514" i="17"/>
  <c r="AB514" i="17"/>
  <c r="AC514" i="17"/>
  <c r="X515" i="17"/>
  <c r="Y515" i="17"/>
  <c r="Z515" i="17"/>
  <c r="AA515" i="17"/>
  <c r="AB515" i="17"/>
  <c r="AC515" i="17"/>
  <c r="AD515" i="17"/>
  <c r="X516" i="17"/>
  <c r="Y516" i="17"/>
  <c r="Z516" i="17"/>
  <c r="AA516" i="17"/>
  <c r="AB516" i="17"/>
  <c r="AC516" i="17"/>
  <c r="AD516" i="17"/>
  <c r="X517" i="17"/>
  <c r="AD517" i="17" s="1"/>
  <c r="Y517" i="17"/>
  <c r="Z517" i="17"/>
  <c r="AA517" i="17"/>
  <c r="AB517" i="17"/>
  <c r="AC517" i="17"/>
  <c r="X518" i="17"/>
  <c r="AD518" i="17" s="1"/>
  <c r="Y518" i="17"/>
  <c r="Z518" i="17"/>
  <c r="AA518" i="17"/>
  <c r="AB518" i="17"/>
  <c r="AC518" i="17"/>
  <c r="X519" i="17"/>
  <c r="Y519" i="17"/>
  <c r="Z519" i="17"/>
  <c r="AA519" i="17"/>
  <c r="AB519" i="17"/>
  <c r="AC519" i="17"/>
  <c r="AD519" i="17"/>
  <c r="X520" i="17"/>
  <c r="Y520" i="17"/>
  <c r="Z520" i="17"/>
  <c r="AA520" i="17"/>
  <c r="AB520" i="17"/>
  <c r="AC520" i="17"/>
  <c r="AD520" i="17"/>
  <c r="X521" i="17"/>
  <c r="AD521" i="17" s="1"/>
  <c r="Y521" i="17"/>
  <c r="Z521" i="17"/>
  <c r="AA521" i="17"/>
  <c r="AB521" i="17"/>
  <c r="AC521" i="17"/>
  <c r="X522" i="17"/>
  <c r="AD522" i="17" s="1"/>
  <c r="Y522" i="17"/>
  <c r="Z522" i="17"/>
  <c r="AA522" i="17"/>
  <c r="AB522" i="17"/>
  <c r="AC522" i="17"/>
  <c r="X523" i="17"/>
  <c r="Y523" i="17"/>
  <c r="Z523" i="17"/>
  <c r="AA523" i="17"/>
  <c r="AB523" i="17"/>
  <c r="AC523" i="17"/>
  <c r="AD523" i="17"/>
  <c r="X524" i="17"/>
  <c r="Y524" i="17"/>
  <c r="Z524" i="17"/>
  <c r="AA524" i="17"/>
  <c r="AB524" i="17"/>
  <c r="AC524" i="17"/>
  <c r="AD524" i="17"/>
  <c r="X525" i="17"/>
  <c r="AD525" i="17" s="1"/>
  <c r="Y525" i="17"/>
  <c r="Z525" i="17"/>
  <c r="AA525" i="17"/>
  <c r="AB525" i="17"/>
  <c r="AC525" i="17"/>
  <c r="X526" i="17"/>
  <c r="AD526" i="17" s="1"/>
  <c r="Y526" i="17"/>
  <c r="Z526" i="17"/>
  <c r="AA526" i="17"/>
  <c r="AB526" i="17"/>
  <c r="AC526" i="17"/>
  <c r="X527" i="17"/>
  <c r="Y527" i="17"/>
  <c r="Z527" i="17"/>
  <c r="AA527" i="17"/>
  <c r="AB527" i="17"/>
  <c r="AC527" i="17"/>
  <c r="AD527" i="17"/>
  <c r="X528" i="17"/>
  <c r="Y528" i="17"/>
  <c r="Z528" i="17"/>
  <c r="AA528" i="17"/>
  <c r="AB528" i="17"/>
  <c r="AC528" i="17"/>
  <c r="AD528" i="17"/>
  <c r="X529" i="17"/>
  <c r="AD529" i="17" s="1"/>
  <c r="Y529" i="17"/>
  <c r="Z529" i="17"/>
  <c r="AA529" i="17"/>
  <c r="AB529" i="17"/>
  <c r="AC529" i="17"/>
  <c r="X530" i="17"/>
  <c r="AD530" i="17" s="1"/>
  <c r="Y530" i="17"/>
  <c r="Z530" i="17"/>
  <c r="AA530" i="17"/>
  <c r="AB530" i="17"/>
  <c r="AC530" i="17"/>
  <c r="X531" i="17"/>
  <c r="Y531" i="17"/>
  <c r="Z531" i="17"/>
  <c r="AA531" i="17"/>
  <c r="AB531" i="17"/>
  <c r="AC531" i="17"/>
  <c r="AD531" i="17"/>
  <c r="X532" i="17"/>
  <c r="Y532" i="17"/>
  <c r="Z532" i="17"/>
  <c r="AA532" i="17"/>
  <c r="AB532" i="17"/>
  <c r="AC532" i="17"/>
  <c r="AD532" i="17"/>
  <c r="X533" i="17"/>
  <c r="AD533" i="17" s="1"/>
  <c r="Y533" i="17"/>
  <c r="Z533" i="17"/>
  <c r="AA533" i="17"/>
  <c r="AB533" i="17"/>
  <c r="AC533" i="17"/>
  <c r="X534" i="17"/>
  <c r="AD534" i="17" s="1"/>
  <c r="Y534" i="17"/>
  <c r="Z534" i="17"/>
  <c r="AA534" i="17"/>
  <c r="AB534" i="17"/>
  <c r="AC534" i="17"/>
  <c r="X535" i="17"/>
  <c r="Y535" i="17"/>
  <c r="Z535" i="17"/>
  <c r="AA535" i="17"/>
  <c r="AB535" i="17"/>
  <c r="AC535" i="17"/>
  <c r="AD535" i="17"/>
  <c r="X536" i="17"/>
  <c r="Y536" i="17"/>
  <c r="Z536" i="17"/>
  <c r="AA536" i="17"/>
  <c r="AB536" i="17"/>
  <c r="AC536" i="17"/>
  <c r="AD536" i="17"/>
  <c r="X537" i="17"/>
  <c r="AD537" i="17" s="1"/>
  <c r="Y537" i="17"/>
  <c r="Z537" i="17"/>
  <c r="AA537" i="17"/>
  <c r="AB537" i="17"/>
  <c r="AC537" i="17"/>
  <c r="X538" i="17"/>
  <c r="AD538" i="17" s="1"/>
  <c r="Y538" i="17"/>
  <c r="Z538" i="17"/>
  <c r="AA538" i="17"/>
  <c r="AB538" i="17"/>
  <c r="AC538" i="17"/>
  <c r="X539" i="17"/>
  <c r="Y539" i="17"/>
  <c r="Z539" i="17"/>
  <c r="AA539" i="17"/>
  <c r="AB539" i="17"/>
  <c r="AC539" i="17"/>
  <c r="AD539" i="17"/>
  <c r="X540" i="17"/>
  <c r="Y540" i="17"/>
  <c r="Z540" i="17"/>
  <c r="AA540" i="17"/>
  <c r="AB540" i="17"/>
  <c r="AC540" i="17"/>
  <c r="AD540" i="17"/>
  <c r="X541" i="17"/>
  <c r="AD541" i="17" s="1"/>
  <c r="Y541" i="17"/>
  <c r="Z541" i="17"/>
  <c r="AA541" i="17"/>
  <c r="AB541" i="17"/>
  <c r="AC541" i="17"/>
  <c r="X542" i="17"/>
  <c r="AD542" i="17" s="1"/>
  <c r="Y542" i="17"/>
  <c r="Z542" i="17"/>
  <c r="AA542" i="17"/>
  <c r="AB542" i="17"/>
  <c r="AC542" i="17"/>
  <c r="X543" i="17"/>
  <c r="Y543" i="17"/>
  <c r="Z543" i="17"/>
  <c r="AA543" i="17"/>
  <c r="AB543" i="17"/>
  <c r="AC543" i="17"/>
  <c r="AD543" i="17"/>
  <c r="X544" i="17"/>
  <c r="Y544" i="17"/>
  <c r="Z544" i="17"/>
  <c r="AA544" i="17"/>
  <c r="AB544" i="17"/>
  <c r="AC544" i="17"/>
  <c r="AD544" i="17"/>
  <c r="X545" i="17"/>
  <c r="AD545" i="17" s="1"/>
  <c r="Y545" i="17"/>
  <c r="Z545" i="17"/>
  <c r="AA545" i="17"/>
  <c r="AB545" i="17"/>
  <c r="AC545" i="17"/>
  <c r="X546" i="17"/>
  <c r="AD546" i="17" s="1"/>
  <c r="Y546" i="17"/>
  <c r="Z546" i="17"/>
  <c r="AA546" i="17"/>
  <c r="AB546" i="17"/>
  <c r="AC546" i="17"/>
  <c r="X547" i="17"/>
  <c r="Y547" i="17"/>
  <c r="Z547" i="17"/>
  <c r="AA547" i="17"/>
  <c r="AB547" i="17"/>
  <c r="AC547" i="17"/>
  <c r="AD547" i="17"/>
  <c r="X548" i="17"/>
  <c r="Y548" i="17"/>
  <c r="Z548" i="17"/>
  <c r="AA548" i="17"/>
  <c r="AB548" i="17"/>
  <c r="AC548" i="17"/>
  <c r="AD548" i="17"/>
  <c r="X549" i="17"/>
  <c r="AD549" i="17" s="1"/>
  <c r="Y549" i="17"/>
  <c r="Z549" i="17"/>
  <c r="AA549" i="17"/>
  <c r="AB549" i="17"/>
  <c r="AC549" i="17"/>
  <c r="X550" i="17"/>
  <c r="AD550" i="17" s="1"/>
  <c r="Y550" i="17"/>
  <c r="Z550" i="17"/>
  <c r="AA550" i="17"/>
  <c r="AB550" i="17"/>
  <c r="AC550" i="17"/>
  <c r="X551" i="17"/>
  <c r="Y551" i="17"/>
  <c r="Z551" i="17"/>
  <c r="AA551" i="17"/>
  <c r="AB551" i="17"/>
  <c r="AC551" i="17"/>
  <c r="AD551" i="17"/>
  <c r="X552" i="17"/>
  <c r="Y552" i="17"/>
  <c r="Z552" i="17"/>
  <c r="AA552" i="17"/>
  <c r="AB552" i="17"/>
  <c r="AC552" i="17"/>
  <c r="AD552" i="17"/>
  <c r="X553" i="17"/>
  <c r="AD553" i="17" s="1"/>
  <c r="Y553" i="17"/>
  <c r="Z553" i="17"/>
  <c r="AA553" i="17"/>
  <c r="AB553" i="17"/>
  <c r="AC553" i="17"/>
  <c r="X554" i="17"/>
  <c r="AD554" i="17" s="1"/>
  <c r="Y554" i="17"/>
  <c r="Z554" i="17"/>
  <c r="AA554" i="17"/>
  <c r="AB554" i="17"/>
  <c r="AC554" i="17"/>
  <c r="X555" i="17"/>
  <c r="Y555" i="17"/>
  <c r="Z555" i="17"/>
  <c r="AA555" i="17"/>
  <c r="AB555" i="17"/>
  <c r="AC555" i="17"/>
  <c r="AD555" i="17"/>
  <c r="X556" i="17"/>
  <c r="Y556" i="17"/>
  <c r="Z556" i="17"/>
  <c r="AA556" i="17"/>
  <c r="AB556" i="17"/>
  <c r="AC556" i="17"/>
  <c r="AD556" i="17"/>
  <c r="X557" i="17"/>
  <c r="AD557" i="17" s="1"/>
  <c r="Y557" i="17"/>
  <c r="Z557" i="17"/>
  <c r="AA557" i="17"/>
  <c r="AB557" i="17"/>
  <c r="AC557" i="17"/>
  <c r="X558" i="17"/>
  <c r="AD558" i="17" s="1"/>
  <c r="Y558" i="17"/>
  <c r="Z558" i="17"/>
  <c r="AA558" i="17"/>
  <c r="AB558" i="17"/>
  <c r="AC558" i="17"/>
  <c r="X559" i="17"/>
  <c r="Y559" i="17"/>
  <c r="Z559" i="17"/>
  <c r="AA559" i="17"/>
  <c r="AB559" i="17"/>
  <c r="AC559" i="17"/>
  <c r="AD559" i="17"/>
  <c r="X560" i="17"/>
  <c r="Y560" i="17"/>
  <c r="Z560" i="17"/>
  <c r="AA560" i="17"/>
  <c r="AB560" i="17"/>
  <c r="AC560" i="17"/>
  <c r="AD560" i="17"/>
  <c r="X561" i="17"/>
  <c r="AD561" i="17" s="1"/>
  <c r="Y561" i="17"/>
  <c r="Z561" i="17"/>
  <c r="AA561" i="17"/>
  <c r="AB561" i="17"/>
  <c r="AC561" i="17"/>
  <c r="X562" i="17"/>
  <c r="AD562" i="17" s="1"/>
  <c r="Y562" i="17"/>
  <c r="Z562" i="17"/>
  <c r="AA562" i="17"/>
  <c r="AB562" i="17"/>
  <c r="AC562" i="17"/>
  <c r="X563" i="17"/>
  <c r="Y563" i="17"/>
  <c r="Z563" i="17"/>
  <c r="AA563" i="17"/>
  <c r="AB563" i="17"/>
  <c r="AC563" i="17"/>
  <c r="AD563" i="17"/>
  <c r="X564" i="17"/>
  <c r="Y564" i="17"/>
  <c r="Z564" i="17"/>
  <c r="AA564" i="17"/>
  <c r="AB564" i="17"/>
  <c r="AC564" i="17"/>
  <c r="AD564" i="17"/>
  <c r="X565" i="17"/>
  <c r="AD565" i="17" s="1"/>
  <c r="Y565" i="17"/>
  <c r="Z565" i="17"/>
  <c r="AA565" i="17"/>
  <c r="AB565" i="17"/>
  <c r="AC565" i="17"/>
  <c r="X566" i="17"/>
  <c r="AD566" i="17" s="1"/>
  <c r="Y566" i="17"/>
  <c r="Z566" i="17"/>
  <c r="AA566" i="17"/>
  <c r="AB566" i="17"/>
  <c r="AC566" i="17"/>
  <c r="X567" i="17"/>
  <c r="Y567" i="17"/>
  <c r="Z567" i="17"/>
  <c r="AA567" i="17"/>
  <c r="AB567" i="17"/>
  <c r="AC567" i="17"/>
  <c r="AD567" i="17"/>
  <c r="X568" i="17"/>
  <c r="Y568" i="17"/>
  <c r="Z568" i="17"/>
  <c r="AA568" i="17"/>
  <c r="AB568" i="17"/>
  <c r="AC568" i="17"/>
  <c r="AD568" i="17"/>
  <c r="X569" i="17"/>
  <c r="AD569" i="17" s="1"/>
  <c r="Y569" i="17"/>
  <c r="Z569" i="17"/>
  <c r="AA569" i="17"/>
  <c r="AB569" i="17"/>
  <c r="AC569" i="17"/>
  <c r="X570" i="17"/>
  <c r="AD570" i="17" s="1"/>
  <c r="Y570" i="17"/>
  <c r="Z570" i="17"/>
  <c r="AA570" i="17"/>
  <c r="AB570" i="17"/>
  <c r="AC570" i="17"/>
  <c r="X571" i="17"/>
  <c r="Y571" i="17"/>
  <c r="Z571" i="17"/>
  <c r="AA571" i="17"/>
  <c r="AB571" i="17"/>
  <c r="AC571" i="17"/>
  <c r="AD571" i="17"/>
  <c r="X572" i="17"/>
  <c r="Y572" i="17"/>
  <c r="Z572" i="17"/>
  <c r="AA572" i="17"/>
  <c r="AB572" i="17"/>
  <c r="AC572" i="17"/>
  <c r="AD572" i="17"/>
  <c r="X573" i="17"/>
  <c r="AD573" i="17" s="1"/>
  <c r="Y573" i="17"/>
  <c r="Z573" i="17"/>
  <c r="AA573" i="17"/>
  <c r="AB573" i="17"/>
  <c r="AC573" i="17"/>
  <c r="X574" i="17"/>
  <c r="AD574" i="17" s="1"/>
  <c r="Y574" i="17"/>
  <c r="Z574" i="17"/>
  <c r="AA574" i="17"/>
  <c r="AB574" i="17"/>
  <c r="AC574" i="17"/>
  <c r="X575" i="17"/>
  <c r="Y575" i="17"/>
  <c r="Z575" i="17"/>
  <c r="AA575" i="17"/>
  <c r="AB575" i="17"/>
  <c r="AC575" i="17"/>
  <c r="AD575" i="17"/>
  <c r="X576" i="17"/>
  <c r="Y576" i="17"/>
  <c r="Z576" i="17"/>
  <c r="AA576" i="17"/>
  <c r="AB576" i="17"/>
  <c r="AC576" i="17"/>
  <c r="AD576" i="17"/>
  <c r="X577" i="17"/>
  <c r="AD577" i="17" s="1"/>
  <c r="Y577" i="17"/>
  <c r="Z577" i="17"/>
  <c r="AA577" i="17"/>
  <c r="AB577" i="17"/>
  <c r="AC577" i="17"/>
  <c r="X578" i="17"/>
  <c r="AD578" i="17" s="1"/>
  <c r="Y578" i="17"/>
  <c r="Z578" i="17"/>
  <c r="AA578" i="17"/>
  <c r="AB578" i="17"/>
  <c r="AC578" i="17"/>
  <c r="X579" i="17"/>
  <c r="Y579" i="17"/>
  <c r="Z579" i="17"/>
  <c r="AA579" i="17"/>
  <c r="AB579" i="17"/>
  <c r="AC579" i="17"/>
  <c r="AD579" i="17"/>
  <c r="X580" i="17"/>
  <c r="Y580" i="17"/>
  <c r="Z580" i="17"/>
  <c r="AA580" i="17"/>
  <c r="AB580" i="17"/>
  <c r="AC580" i="17"/>
  <c r="AD580" i="17"/>
  <c r="X581" i="17"/>
  <c r="AD581" i="17" s="1"/>
  <c r="Y581" i="17"/>
  <c r="Z581" i="17"/>
  <c r="AA581" i="17"/>
  <c r="AB581" i="17"/>
  <c r="AC581" i="17"/>
  <c r="X582" i="17"/>
  <c r="AD582" i="17" s="1"/>
  <c r="Y582" i="17"/>
  <c r="Z582" i="17"/>
  <c r="AA582" i="17"/>
  <c r="AB582" i="17"/>
  <c r="AC582" i="17"/>
  <c r="X583" i="17"/>
  <c r="Y583" i="17"/>
  <c r="Z583" i="17"/>
  <c r="AA583" i="17"/>
  <c r="AB583" i="17"/>
  <c r="AC583" i="17"/>
  <c r="AD583" i="17"/>
  <c r="X584" i="17"/>
  <c r="Y584" i="17"/>
  <c r="Z584" i="17"/>
  <c r="AA584" i="17"/>
  <c r="AB584" i="17"/>
  <c r="AC584" i="17"/>
  <c r="AD584" i="17"/>
  <c r="X585" i="17"/>
  <c r="AD585" i="17" s="1"/>
  <c r="Y585" i="17"/>
  <c r="Z585" i="17"/>
  <c r="AA585" i="17"/>
  <c r="AB585" i="17"/>
  <c r="AC585" i="17"/>
  <c r="X586" i="17"/>
  <c r="AD586" i="17" s="1"/>
  <c r="Y586" i="17"/>
  <c r="Z586" i="17"/>
  <c r="AA586" i="17"/>
  <c r="AB586" i="17"/>
  <c r="AC586" i="17"/>
  <c r="X587" i="17"/>
  <c r="Y587" i="17"/>
  <c r="Z587" i="17"/>
  <c r="AA587" i="17"/>
  <c r="AB587" i="17"/>
  <c r="AC587" i="17"/>
  <c r="AD587" i="17"/>
  <c r="X588" i="17"/>
  <c r="Y588" i="17"/>
  <c r="Z588" i="17"/>
  <c r="AA588" i="17"/>
  <c r="AB588" i="17"/>
  <c r="AC588" i="17"/>
  <c r="AD588" i="17"/>
  <c r="X589" i="17"/>
  <c r="AD589" i="17" s="1"/>
  <c r="Y589" i="17"/>
  <c r="Z589" i="17"/>
  <c r="AA589" i="17"/>
  <c r="AB589" i="17"/>
  <c r="AC589" i="17"/>
  <c r="X590" i="17"/>
  <c r="AD590" i="17" s="1"/>
  <c r="Y590" i="17"/>
  <c r="Z590" i="17"/>
  <c r="AA590" i="17"/>
  <c r="AB590" i="17"/>
  <c r="AC590" i="17"/>
  <c r="X591" i="17"/>
  <c r="Y591" i="17"/>
  <c r="Z591" i="17"/>
  <c r="AA591" i="17"/>
  <c r="AB591" i="17"/>
  <c r="AC591" i="17"/>
  <c r="AD591" i="17"/>
  <c r="X592" i="17"/>
  <c r="Y592" i="17"/>
  <c r="Z592" i="17"/>
  <c r="AA592" i="17"/>
  <c r="AB592" i="17"/>
  <c r="AC592" i="17"/>
  <c r="AD592" i="17"/>
  <c r="X593" i="17"/>
  <c r="AD593" i="17" s="1"/>
  <c r="Y593" i="17"/>
  <c r="Z593" i="17"/>
  <c r="AA593" i="17"/>
  <c r="AB593" i="17"/>
  <c r="AC593" i="17"/>
  <c r="X594" i="17"/>
  <c r="AD594" i="17" s="1"/>
  <c r="Y594" i="17"/>
  <c r="Z594" i="17"/>
  <c r="AA594" i="17"/>
  <c r="AB594" i="17"/>
  <c r="AC594" i="17"/>
  <c r="X595" i="17"/>
  <c r="Y595" i="17"/>
  <c r="Z595" i="17"/>
  <c r="AA595" i="17"/>
  <c r="AB595" i="17"/>
  <c r="AC595" i="17"/>
  <c r="AD595" i="17"/>
  <c r="X596" i="17"/>
  <c r="Y596" i="17"/>
  <c r="Z596" i="17"/>
  <c r="AA596" i="17"/>
  <c r="AB596" i="17"/>
  <c r="AC596" i="17"/>
  <c r="AD596" i="17"/>
  <c r="X597" i="17"/>
  <c r="AD597" i="17" s="1"/>
  <c r="Y597" i="17"/>
  <c r="Z597" i="17"/>
  <c r="AA597" i="17"/>
  <c r="AB597" i="17"/>
  <c r="AC597" i="17"/>
  <c r="X598" i="17"/>
  <c r="AD598" i="17" s="1"/>
  <c r="Y598" i="17"/>
  <c r="Z598" i="17"/>
  <c r="AA598" i="17"/>
  <c r="AB598" i="17"/>
  <c r="AC598" i="17"/>
  <c r="X599" i="17"/>
  <c r="Y599" i="17"/>
  <c r="Z599" i="17"/>
  <c r="AA599" i="17"/>
  <c r="AB599" i="17"/>
  <c r="AC599" i="17"/>
  <c r="AD599" i="17"/>
  <c r="X600" i="17"/>
  <c r="Y600" i="17"/>
  <c r="Z600" i="17"/>
  <c r="AA600" i="17"/>
  <c r="AB600" i="17"/>
  <c r="AC600" i="17"/>
  <c r="AD600" i="17"/>
  <c r="X601" i="17"/>
  <c r="AD601" i="17" s="1"/>
  <c r="Y601" i="17"/>
  <c r="Z601" i="17"/>
  <c r="AA601" i="17"/>
  <c r="AB601" i="17"/>
  <c r="AC601" i="17"/>
  <c r="X602" i="17"/>
  <c r="AD602" i="17" s="1"/>
  <c r="Y602" i="17"/>
  <c r="Z602" i="17"/>
  <c r="AA602" i="17"/>
  <c r="AB602" i="17"/>
  <c r="AC602" i="17"/>
  <c r="X603" i="17"/>
  <c r="Y603" i="17"/>
  <c r="Z603" i="17"/>
  <c r="AA603" i="17"/>
  <c r="AB603" i="17"/>
  <c r="AC603" i="17"/>
  <c r="AD603" i="17"/>
  <c r="X604" i="17"/>
  <c r="Y604" i="17"/>
  <c r="Z604" i="17"/>
  <c r="AA604" i="17"/>
  <c r="AB604" i="17"/>
  <c r="AC604" i="17"/>
  <c r="AD604" i="17"/>
  <c r="X605" i="17"/>
  <c r="AD605" i="17" s="1"/>
  <c r="Y605" i="17"/>
  <c r="Z605" i="17"/>
  <c r="AA605" i="17"/>
  <c r="AB605" i="17"/>
  <c r="AC605" i="17"/>
  <c r="X606" i="17"/>
  <c r="AD606" i="17" s="1"/>
  <c r="Y606" i="17"/>
  <c r="Z606" i="17"/>
  <c r="AA606" i="17"/>
  <c r="AB606" i="17"/>
  <c r="AC606" i="17"/>
  <c r="X607" i="17"/>
  <c r="Y607" i="17"/>
  <c r="Z607" i="17"/>
  <c r="AA607" i="17"/>
  <c r="AB607" i="17"/>
  <c r="AC607" i="17"/>
  <c r="AD607" i="17"/>
  <c r="X608" i="17"/>
  <c r="Y608" i="17"/>
  <c r="Z608" i="17"/>
  <c r="AA608" i="17"/>
  <c r="AB608" i="17"/>
  <c r="AC608" i="17"/>
  <c r="AD608" i="17"/>
  <c r="X609" i="17"/>
  <c r="AD609" i="17" s="1"/>
  <c r="Y609" i="17"/>
  <c r="Z609" i="17"/>
  <c r="AA609" i="17"/>
  <c r="AB609" i="17"/>
  <c r="AC609" i="17"/>
  <c r="X610" i="17"/>
  <c r="AD610" i="17" s="1"/>
  <c r="Y610" i="17"/>
  <c r="Z610" i="17"/>
  <c r="AA610" i="17"/>
  <c r="AB610" i="17"/>
  <c r="AC610" i="17"/>
  <c r="X611" i="17"/>
  <c r="Y611" i="17"/>
  <c r="Z611" i="17"/>
  <c r="AA611" i="17"/>
  <c r="AB611" i="17"/>
  <c r="AC611" i="17"/>
  <c r="AD611" i="17"/>
  <c r="X612" i="17"/>
  <c r="Y612" i="17"/>
  <c r="Z612" i="17"/>
  <c r="AA612" i="17"/>
  <c r="AB612" i="17"/>
  <c r="AC612" i="17"/>
  <c r="AD612" i="17"/>
  <c r="X613" i="17"/>
  <c r="AD613" i="17" s="1"/>
  <c r="Y613" i="17"/>
  <c r="Z613" i="17"/>
  <c r="AA613" i="17"/>
  <c r="AB613" i="17"/>
  <c r="AC613" i="17"/>
  <c r="X614" i="17"/>
  <c r="AD614" i="17" s="1"/>
  <c r="Y614" i="17"/>
  <c r="Z614" i="17"/>
  <c r="AA614" i="17"/>
  <c r="AB614" i="17"/>
  <c r="AC614" i="17"/>
  <c r="X615" i="17"/>
  <c r="Y615" i="17"/>
  <c r="Z615" i="17"/>
  <c r="AA615" i="17"/>
  <c r="AB615" i="17"/>
  <c r="AC615" i="17"/>
  <c r="AD615" i="17"/>
  <c r="X616" i="17"/>
  <c r="Y616" i="17"/>
  <c r="Z616" i="17"/>
  <c r="AA616" i="17"/>
  <c r="AB616" i="17"/>
  <c r="AC616" i="17"/>
  <c r="AD616" i="17"/>
  <c r="X617" i="17"/>
  <c r="AD617" i="17" s="1"/>
  <c r="Y617" i="17"/>
  <c r="Z617" i="17"/>
  <c r="AA617" i="17"/>
  <c r="AB617" i="17"/>
  <c r="AC617" i="17"/>
  <c r="X618" i="17"/>
  <c r="AD618" i="17" s="1"/>
  <c r="Y618" i="17"/>
  <c r="Z618" i="17"/>
  <c r="AA618" i="17"/>
  <c r="AB618" i="17"/>
  <c r="AC618" i="17"/>
  <c r="X619" i="17"/>
  <c r="Y619" i="17"/>
  <c r="Z619" i="17"/>
  <c r="AA619" i="17"/>
  <c r="AB619" i="17"/>
  <c r="AC619" i="17"/>
  <c r="AD619" i="17"/>
  <c r="X620" i="17"/>
  <c r="Y620" i="17"/>
  <c r="Z620" i="17"/>
  <c r="AA620" i="17"/>
  <c r="AB620" i="17"/>
  <c r="AC620" i="17"/>
  <c r="AD620" i="17"/>
  <c r="X621" i="17"/>
  <c r="AD621" i="17" s="1"/>
  <c r="Y621" i="17"/>
  <c r="Z621" i="17"/>
  <c r="AA621" i="17"/>
  <c r="AB621" i="17"/>
  <c r="AC621" i="17"/>
  <c r="X622" i="17"/>
  <c r="AD622" i="17" s="1"/>
  <c r="Y622" i="17"/>
  <c r="Z622" i="17"/>
  <c r="AA622" i="17"/>
  <c r="AB622" i="17"/>
  <c r="AC622" i="17"/>
  <c r="X623" i="17"/>
  <c r="Y623" i="17"/>
  <c r="Z623" i="17"/>
  <c r="AA623" i="17"/>
  <c r="AB623" i="17"/>
  <c r="AC623" i="17"/>
  <c r="AD623" i="17"/>
  <c r="X624" i="17"/>
  <c r="Y624" i="17"/>
  <c r="Z624" i="17"/>
  <c r="AA624" i="17"/>
  <c r="AB624" i="17"/>
  <c r="AC624" i="17"/>
  <c r="AD624" i="17"/>
  <c r="X625" i="17"/>
  <c r="AD625" i="17" s="1"/>
  <c r="Y625" i="17"/>
  <c r="Z625" i="17"/>
  <c r="AA625" i="17"/>
  <c r="AB625" i="17"/>
  <c r="AC625" i="17"/>
  <c r="X626" i="17"/>
  <c r="AD626" i="17" s="1"/>
  <c r="Y626" i="17"/>
  <c r="Z626" i="17"/>
  <c r="AA626" i="17"/>
  <c r="AB626" i="17"/>
  <c r="AC626" i="17"/>
  <c r="X627" i="17"/>
  <c r="Y627" i="17"/>
  <c r="Z627" i="17"/>
  <c r="AA627" i="17"/>
  <c r="AB627" i="17"/>
  <c r="AC627" i="17"/>
  <c r="AD627" i="17"/>
  <c r="X628" i="17"/>
  <c r="Y628" i="17"/>
  <c r="Z628" i="17"/>
  <c r="AA628" i="17"/>
  <c r="AB628" i="17"/>
  <c r="AC628" i="17"/>
  <c r="AD628" i="17"/>
  <c r="X629" i="17"/>
  <c r="AD629" i="17" s="1"/>
  <c r="Y629" i="17"/>
  <c r="Z629" i="17"/>
  <c r="AA629" i="17"/>
  <c r="AB629" i="17"/>
  <c r="AC629" i="17"/>
  <c r="X630" i="17"/>
  <c r="AD630" i="17" s="1"/>
  <c r="Y630" i="17"/>
  <c r="Z630" i="17"/>
  <c r="AA630" i="17"/>
  <c r="AB630" i="17"/>
  <c r="AC630" i="17"/>
  <c r="X631" i="17"/>
  <c r="Y631" i="17"/>
  <c r="Z631" i="17"/>
  <c r="AA631" i="17"/>
  <c r="AB631" i="17"/>
  <c r="AC631" i="17"/>
  <c r="AD631" i="17"/>
  <c r="X632" i="17"/>
  <c r="Y632" i="17"/>
  <c r="Z632" i="17"/>
  <c r="AA632" i="17"/>
  <c r="AB632" i="17"/>
  <c r="AC632" i="17"/>
  <c r="AD632" i="17"/>
  <c r="X633" i="17"/>
  <c r="AD633" i="17" s="1"/>
  <c r="Y633" i="17"/>
  <c r="Z633" i="17"/>
  <c r="AA633" i="17"/>
  <c r="AB633" i="17"/>
  <c r="AC633" i="17"/>
  <c r="X634" i="17"/>
  <c r="AD634" i="17" s="1"/>
  <c r="Y634" i="17"/>
  <c r="Z634" i="17"/>
  <c r="AA634" i="17"/>
  <c r="AB634" i="17"/>
  <c r="AC634" i="17"/>
  <c r="X635" i="17"/>
  <c r="Y635" i="17"/>
  <c r="Z635" i="17"/>
  <c r="AA635" i="17"/>
  <c r="AB635" i="17"/>
  <c r="AC635" i="17"/>
  <c r="AD635" i="17"/>
  <c r="X636" i="17"/>
  <c r="Y636" i="17"/>
  <c r="Z636" i="17"/>
  <c r="AA636" i="17"/>
  <c r="AB636" i="17"/>
  <c r="AC636" i="17"/>
  <c r="AD636" i="17"/>
  <c r="X637" i="17"/>
  <c r="AD637" i="17" s="1"/>
  <c r="Y637" i="17"/>
  <c r="Z637" i="17"/>
  <c r="AA637" i="17"/>
  <c r="AB637" i="17"/>
  <c r="AC637" i="17"/>
  <c r="X638" i="17"/>
  <c r="AD638" i="17" s="1"/>
  <c r="Y638" i="17"/>
  <c r="Z638" i="17"/>
  <c r="AA638" i="17"/>
  <c r="AB638" i="17"/>
  <c r="AC638" i="17"/>
  <c r="X639" i="17"/>
  <c r="Y639" i="17"/>
  <c r="Z639" i="17"/>
  <c r="AA639" i="17"/>
  <c r="AB639" i="17"/>
  <c r="AC639" i="17"/>
  <c r="AD639" i="17"/>
  <c r="X640" i="17"/>
  <c r="Y640" i="17"/>
  <c r="Z640" i="17"/>
  <c r="AA640" i="17"/>
  <c r="AB640" i="17"/>
  <c r="AC640" i="17"/>
  <c r="AD640" i="17"/>
  <c r="X641" i="17"/>
  <c r="AD641" i="17" s="1"/>
  <c r="Y641" i="17"/>
  <c r="Z641" i="17"/>
  <c r="AA641" i="17"/>
  <c r="AB641" i="17"/>
  <c r="AC641" i="17"/>
  <c r="X642" i="17"/>
  <c r="AD642" i="17" s="1"/>
  <c r="Y642" i="17"/>
  <c r="Z642" i="17"/>
  <c r="AA642" i="17"/>
  <c r="AB642" i="17"/>
  <c r="AC642" i="17"/>
  <c r="X643" i="17"/>
  <c r="Y643" i="17"/>
  <c r="Z643" i="17"/>
  <c r="AA643" i="17"/>
  <c r="AB643" i="17"/>
  <c r="AC643" i="17"/>
  <c r="AD643" i="17"/>
  <c r="X644" i="17"/>
  <c r="Y644" i="17"/>
  <c r="Z644" i="17"/>
  <c r="AA644" i="17"/>
  <c r="AB644" i="17"/>
  <c r="AC644" i="17"/>
  <c r="AD644" i="17"/>
  <c r="X645" i="17"/>
  <c r="AD645" i="17" s="1"/>
  <c r="Y645" i="17"/>
  <c r="Z645" i="17"/>
  <c r="AA645" i="17"/>
  <c r="AB645" i="17"/>
  <c r="AC645" i="17"/>
  <c r="X646" i="17"/>
  <c r="AD646" i="17" s="1"/>
  <c r="Y646" i="17"/>
  <c r="Z646" i="17"/>
  <c r="AA646" i="17"/>
  <c r="AB646" i="17"/>
  <c r="AC646" i="17"/>
  <c r="X647" i="17"/>
  <c r="Y647" i="17"/>
  <c r="Z647" i="17"/>
  <c r="AA647" i="17"/>
  <c r="AB647" i="17"/>
  <c r="AC647" i="17"/>
  <c r="AD647" i="17"/>
  <c r="X648" i="17"/>
  <c r="Y648" i="17"/>
  <c r="Z648" i="17"/>
  <c r="AA648" i="17"/>
  <c r="AB648" i="17"/>
  <c r="AC648" i="17"/>
  <c r="AD648" i="17"/>
  <c r="X649" i="17"/>
  <c r="AD649" i="17" s="1"/>
  <c r="Y649" i="17"/>
  <c r="Z649" i="17"/>
  <c r="AA649" i="17"/>
  <c r="AB649" i="17"/>
  <c r="AC649" i="17"/>
  <c r="X650" i="17"/>
  <c r="AD650" i="17" s="1"/>
  <c r="Y650" i="17"/>
  <c r="Z650" i="17"/>
  <c r="AA650" i="17"/>
  <c r="AB650" i="17"/>
  <c r="AC650" i="17"/>
  <c r="X651" i="17"/>
  <c r="Y651" i="17"/>
  <c r="Z651" i="17"/>
  <c r="AA651" i="17"/>
  <c r="AB651" i="17"/>
  <c r="AC651" i="17"/>
  <c r="AD651" i="17"/>
  <c r="X652" i="17"/>
  <c r="Y652" i="17"/>
  <c r="Z652" i="17"/>
  <c r="AA652" i="17"/>
  <c r="AB652" i="17"/>
  <c r="AC652" i="17"/>
  <c r="AD652" i="17"/>
  <c r="X653" i="17"/>
  <c r="AD653" i="17" s="1"/>
  <c r="Y653" i="17"/>
  <c r="Z653" i="17"/>
  <c r="AA653" i="17"/>
  <c r="AB653" i="17"/>
  <c r="AC653" i="17"/>
  <c r="X654" i="17"/>
  <c r="AD654" i="17" s="1"/>
  <c r="Y654" i="17"/>
  <c r="Z654" i="17"/>
  <c r="AA654" i="17"/>
  <c r="AB654" i="17"/>
  <c r="AC654" i="17"/>
  <c r="X655" i="17"/>
  <c r="Y655" i="17"/>
  <c r="Z655" i="17"/>
  <c r="AA655" i="17"/>
  <c r="AB655" i="17"/>
  <c r="AC655" i="17"/>
  <c r="AD655" i="17"/>
  <c r="X656" i="17"/>
  <c r="Y656" i="17"/>
  <c r="Z656" i="17"/>
  <c r="AA656" i="17"/>
  <c r="AB656" i="17"/>
  <c r="AC656" i="17"/>
  <c r="AD656" i="17"/>
  <c r="X657" i="17"/>
  <c r="AD657" i="17" s="1"/>
  <c r="Y657" i="17"/>
  <c r="Z657" i="17"/>
  <c r="AA657" i="17"/>
  <c r="AB657" i="17"/>
  <c r="AC657" i="17"/>
  <c r="X658" i="17"/>
  <c r="AD658" i="17" s="1"/>
  <c r="Y658" i="17"/>
  <c r="Z658" i="17"/>
  <c r="AA658" i="17"/>
  <c r="AB658" i="17"/>
  <c r="AC658" i="17"/>
  <c r="X659" i="17"/>
  <c r="Y659" i="17"/>
  <c r="Z659" i="17"/>
  <c r="AA659" i="17"/>
  <c r="AB659" i="17"/>
  <c r="AC659" i="17"/>
  <c r="AD659" i="17"/>
  <c r="X660" i="17"/>
  <c r="Y660" i="17"/>
  <c r="Z660" i="17"/>
  <c r="AA660" i="17"/>
  <c r="AB660" i="17"/>
  <c r="AC660" i="17"/>
  <c r="AD660" i="17"/>
  <c r="X661" i="17"/>
  <c r="AD661" i="17" s="1"/>
  <c r="Y661" i="17"/>
  <c r="Z661" i="17"/>
  <c r="AA661" i="17"/>
  <c r="AB661" i="17"/>
  <c r="AC661" i="17"/>
  <c r="X662" i="17"/>
  <c r="AD662" i="17" s="1"/>
  <c r="Y662" i="17"/>
  <c r="Z662" i="17"/>
  <c r="AA662" i="17"/>
  <c r="AB662" i="17"/>
  <c r="AC662" i="17"/>
  <c r="X663" i="17"/>
  <c r="Y663" i="17"/>
  <c r="Z663" i="17"/>
  <c r="AA663" i="17"/>
  <c r="AB663" i="17"/>
  <c r="AC663" i="17"/>
  <c r="AD663" i="17"/>
  <c r="X664" i="17"/>
  <c r="Y664" i="17"/>
  <c r="Z664" i="17"/>
  <c r="AA664" i="17"/>
  <c r="AB664" i="17"/>
  <c r="AC664" i="17"/>
  <c r="AD664" i="17"/>
  <c r="X665" i="17"/>
  <c r="AD665" i="17" s="1"/>
  <c r="Y665" i="17"/>
  <c r="Z665" i="17"/>
  <c r="AA665" i="17"/>
  <c r="AB665" i="17"/>
  <c r="AC665" i="17"/>
  <c r="X666" i="17"/>
  <c r="AD666" i="17" s="1"/>
  <c r="Y666" i="17"/>
  <c r="Z666" i="17"/>
  <c r="AA666" i="17"/>
  <c r="AB666" i="17"/>
  <c r="AC666" i="17"/>
  <c r="X667" i="17"/>
  <c r="Y667" i="17"/>
  <c r="Z667" i="17"/>
  <c r="AA667" i="17"/>
  <c r="AB667" i="17"/>
  <c r="AC667" i="17"/>
  <c r="AD667" i="17"/>
  <c r="X668" i="17"/>
  <c r="Y668" i="17"/>
  <c r="Z668" i="17"/>
  <c r="AA668" i="17"/>
  <c r="AB668" i="17"/>
  <c r="AC668" i="17"/>
  <c r="AD668" i="17"/>
  <c r="X669" i="17"/>
  <c r="AD669" i="17" s="1"/>
  <c r="Y669" i="17"/>
  <c r="Z669" i="17"/>
  <c r="AA669" i="17"/>
  <c r="AB669" i="17"/>
  <c r="AC669" i="17"/>
  <c r="X670" i="17"/>
  <c r="AD670" i="17" s="1"/>
  <c r="Y670" i="17"/>
  <c r="Z670" i="17"/>
  <c r="AA670" i="17"/>
  <c r="AB670" i="17"/>
  <c r="AC670" i="17"/>
  <c r="X671" i="17"/>
  <c r="Y671" i="17"/>
  <c r="Z671" i="17"/>
  <c r="AA671" i="17"/>
  <c r="AB671" i="17"/>
  <c r="AC671" i="17"/>
  <c r="AD671" i="17"/>
  <c r="X672" i="17"/>
  <c r="Y672" i="17"/>
  <c r="Z672" i="17"/>
  <c r="AA672" i="17"/>
  <c r="AB672" i="17"/>
  <c r="AC672" i="17"/>
  <c r="AD672" i="17"/>
  <c r="X673" i="17"/>
  <c r="AD673" i="17" s="1"/>
  <c r="Y673" i="17"/>
  <c r="Z673" i="17"/>
  <c r="AA673" i="17"/>
  <c r="AB673" i="17"/>
  <c r="AC673" i="17"/>
  <c r="X674" i="17"/>
  <c r="AD674" i="17" s="1"/>
  <c r="Y674" i="17"/>
  <c r="Z674" i="17"/>
  <c r="AA674" i="17"/>
  <c r="AB674" i="17"/>
  <c r="AC674" i="17"/>
  <c r="X675" i="17"/>
  <c r="Y675" i="17"/>
  <c r="Z675" i="17"/>
  <c r="AA675" i="17"/>
  <c r="AB675" i="17"/>
  <c r="AC675" i="17"/>
  <c r="AD675" i="17"/>
  <c r="X676" i="17"/>
  <c r="Y676" i="17"/>
  <c r="Z676" i="17"/>
  <c r="AA676" i="17"/>
  <c r="AB676" i="17"/>
  <c r="AC676" i="17"/>
  <c r="AD676" i="17"/>
  <c r="X677" i="17"/>
  <c r="AD677" i="17" s="1"/>
  <c r="Y677" i="17"/>
  <c r="Z677" i="17"/>
  <c r="AA677" i="17"/>
  <c r="AB677" i="17"/>
  <c r="AC677" i="17"/>
  <c r="X678" i="17"/>
  <c r="AD678" i="17" s="1"/>
  <c r="Y678" i="17"/>
  <c r="Z678" i="17"/>
  <c r="AA678" i="17"/>
  <c r="AB678" i="17"/>
  <c r="AC678" i="17"/>
  <c r="X679" i="17"/>
  <c r="Y679" i="17"/>
  <c r="Z679" i="17"/>
  <c r="AA679" i="17"/>
  <c r="AB679" i="17"/>
  <c r="AC679" i="17"/>
  <c r="AD679" i="17"/>
  <c r="X680" i="17"/>
  <c r="Y680" i="17"/>
  <c r="Z680" i="17"/>
  <c r="AA680" i="17"/>
  <c r="AB680" i="17"/>
  <c r="AC680" i="17"/>
  <c r="AD680" i="17"/>
  <c r="X681" i="17"/>
  <c r="Y681" i="17"/>
  <c r="Z681" i="17"/>
  <c r="AA681" i="17"/>
  <c r="AB681" i="17"/>
  <c r="AC681" i="17"/>
  <c r="AD681" i="17"/>
  <c r="X682" i="17"/>
  <c r="AD682" i="17" s="1"/>
  <c r="Y682" i="17"/>
  <c r="Z682" i="17"/>
  <c r="AA682" i="17"/>
  <c r="AB682" i="17"/>
  <c r="AC682" i="17"/>
  <c r="X683" i="17"/>
  <c r="AD683" i="17" s="1"/>
  <c r="Y683" i="17"/>
  <c r="Z683" i="17"/>
  <c r="AA683" i="17"/>
  <c r="AB683" i="17"/>
  <c r="AC683" i="17"/>
  <c r="X684" i="17"/>
  <c r="Y684" i="17"/>
  <c r="Z684" i="17"/>
  <c r="AA684" i="17"/>
  <c r="AB684" i="17"/>
  <c r="AC684" i="17"/>
  <c r="AD684" i="17"/>
  <c r="X685" i="17"/>
  <c r="Y685" i="17"/>
  <c r="Z685" i="17"/>
  <c r="AA685" i="17"/>
  <c r="AB685" i="17"/>
  <c r="AC685" i="17"/>
  <c r="AD685" i="17"/>
  <c r="X686" i="17"/>
  <c r="AD686" i="17" s="1"/>
  <c r="Y686" i="17"/>
  <c r="Z686" i="17"/>
  <c r="AA686" i="17"/>
  <c r="AB686" i="17"/>
  <c r="AC686" i="17"/>
  <c r="X687" i="17"/>
  <c r="AD687" i="17" s="1"/>
  <c r="Y687" i="17"/>
  <c r="Z687" i="17"/>
  <c r="AA687" i="17"/>
  <c r="AB687" i="17"/>
  <c r="AC687" i="17"/>
  <c r="X688" i="17"/>
  <c r="Y688" i="17"/>
  <c r="Z688" i="17"/>
  <c r="AA688" i="17"/>
  <c r="AB688" i="17"/>
  <c r="AC688" i="17"/>
  <c r="AD688" i="17"/>
  <c r="X689" i="17"/>
  <c r="AD689" i="17" s="1"/>
  <c r="Y689" i="17"/>
  <c r="Z689" i="17"/>
  <c r="AA689" i="17"/>
  <c r="AB689" i="17"/>
  <c r="AC689" i="17"/>
  <c r="X690" i="17"/>
  <c r="AD690" i="17" s="1"/>
  <c r="Y690" i="17"/>
  <c r="Z690" i="17"/>
  <c r="AA690" i="17"/>
  <c r="AB690" i="17"/>
  <c r="AC690" i="17"/>
  <c r="X691" i="17"/>
  <c r="AD691" i="17" s="1"/>
  <c r="Y691" i="17"/>
  <c r="Z691" i="17"/>
  <c r="AA691" i="17"/>
  <c r="AB691" i="17"/>
  <c r="AC691" i="17"/>
  <c r="X692" i="17"/>
  <c r="Y692" i="17"/>
  <c r="Z692" i="17"/>
  <c r="AA692" i="17"/>
  <c r="AB692" i="17"/>
  <c r="AC692" i="17"/>
  <c r="AD692" i="17"/>
  <c r="X693" i="17"/>
  <c r="Y693" i="17"/>
  <c r="Z693" i="17"/>
  <c r="AA693" i="17"/>
  <c r="AB693" i="17"/>
  <c r="AC693" i="17"/>
  <c r="AD693" i="17"/>
  <c r="X694" i="17"/>
  <c r="AD694" i="17" s="1"/>
  <c r="Y694" i="17"/>
  <c r="Z694" i="17"/>
  <c r="AA694" i="17"/>
  <c r="AB694" i="17"/>
  <c r="AC694" i="17"/>
  <c r="X695" i="17"/>
  <c r="AD695" i="17" s="1"/>
  <c r="Y695" i="17"/>
  <c r="Z695" i="17"/>
  <c r="AA695" i="17"/>
  <c r="AB695" i="17"/>
  <c r="AC695" i="17"/>
  <c r="X696" i="17"/>
  <c r="Y696" i="17"/>
  <c r="Z696" i="17"/>
  <c r="AA696" i="17"/>
  <c r="AB696" i="17"/>
  <c r="AC696" i="17"/>
  <c r="AD696" i="17"/>
  <c r="X697" i="17"/>
  <c r="AD697" i="17" s="1"/>
  <c r="Y697" i="17"/>
  <c r="Z697" i="17"/>
  <c r="AA697" i="17"/>
  <c r="AB697" i="17"/>
  <c r="AC697" i="17"/>
  <c r="X698" i="17"/>
  <c r="AD698" i="17" s="1"/>
  <c r="Y698" i="17"/>
  <c r="Z698" i="17"/>
  <c r="AA698" i="17"/>
  <c r="AB698" i="17"/>
  <c r="AC698" i="17"/>
  <c r="X699" i="17"/>
  <c r="AD699" i="17" s="1"/>
  <c r="Y699" i="17"/>
  <c r="Z699" i="17"/>
  <c r="AA699" i="17"/>
  <c r="AB699" i="17"/>
  <c r="AC699" i="17"/>
  <c r="X700" i="17"/>
  <c r="Y700" i="17"/>
  <c r="Z700" i="17"/>
  <c r="AA700" i="17"/>
  <c r="AB700" i="17"/>
  <c r="AC700" i="17"/>
  <c r="AD700" i="17"/>
  <c r="X701" i="17"/>
  <c r="Y701" i="17"/>
  <c r="Z701" i="17"/>
  <c r="AA701" i="17"/>
  <c r="AB701" i="17"/>
  <c r="AC701" i="17"/>
  <c r="AD701" i="17"/>
  <c r="X702" i="17"/>
  <c r="AD702" i="17" s="1"/>
  <c r="Y702" i="17"/>
  <c r="Z702" i="17"/>
  <c r="AA702" i="17"/>
  <c r="AB702" i="17"/>
  <c r="AC702" i="17"/>
  <c r="X703" i="17"/>
  <c r="AD703" i="17" s="1"/>
  <c r="Y703" i="17"/>
  <c r="Z703" i="17"/>
  <c r="AA703" i="17"/>
  <c r="AB703" i="17"/>
  <c r="AC703" i="17"/>
  <c r="X704" i="17"/>
  <c r="Y704" i="17"/>
  <c r="Z704" i="17"/>
  <c r="AA704" i="17"/>
  <c r="AB704" i="17"/>
  <c r="AC704" i="17"/>
  <c r="AD704" i="17"/>
  <c r="X705" i="17"/>
  <c r="AD705" i="17" s="1"/>
  <c r="Y705" i="17"/>
  <c r="Z705" i="17"/>
  <c r="AA705" i="17"/>
  <c r="AB705" i="17"/>
  <c r="AC705" i="17"/>
  <c r="X706" i="17"/>
  <c r="AD706" i="17" s="1"/>
  <c r="Y706" i="17"/>
  <c r="Z706" i="17"/>
  <c r="AA706" i="17"/>
  <c r="AB706" i="17"/>
  <c r="AC706" i="17"/>
  <c r="X707" i="17"/>
  <c r="AD707" i="17" s="1"/>
  <c r="Y707" i="17"/>
  <c r="Z707" i="17"/>
  <c r="AA707" i="17"/>
  <c r="AB707" i="17"/>
  <c r="AC707" i="17"/>
  <c r="X708" i="17"/>
  <c r="Y708" i="17"/>
  <c r="Z708" i="17"/>
  <c r="AA708" i="17"/>
  <c r="AB708" i="17"/>
  <c r="AC708" i="17"/>
  <c r="AD708" i="17"/>
  <c r="X709" i="17"/>
  <c r="Y709" i="17"/>
  <c r="Z709" i="17"/>
  <c r="AA709" i="17"/>
  <c r="AB709" i="17"/>
  <c r="AC709" i="17"/>
  <c r="AD709" i="17"/>
  <c r="X710" i="17"/>
  <c r="AD710" i="17" s="1"/>
  <c r="Y710" i="17"/>
  <c r="Z710" i="17"/>
  <c r="AA710" i="17"/>
  <c r="AB710" i="17"/>
  <c r="AC710" i="17"/>
  <c r="X711" i="17"/>
  <c r="AD711" i="17" s="1"/>
  <c r="Y711" i="17"/>
  <c r="Z711" i="17"/>
  <c r="AA711" i="17"/>
  <c r="AB711" i="17"/>
  <c r="AC711" i="17"/>
  <c r="X712" i="17"/>
  <c r="Y712" i="17"/>
  <c r="Z712" i="17"/>
  <c r="AA712" i="17"/>
  <c r="AB712" i="17"/>
  <c r="AC712" i="17"/>
  <c r="AD712" i="17"/>
  <c r="X713" i="17"/>
  <c r="AD713" i="17" s="1"/>
  <c r="Y713" i="17"/>
  <c r="Z713" i="17"/>
  <c r="AA713" i="17"/>
  <c r="AB713" i="17"/>
  <c r="AC713" i="17"/>
  <c r="X714" i="17"/>
  <c r="AD714" i="17" s="1"/>
  <c r="Y714" i="17"/>
  <c r="Z714" i="17"/>
  <c r="AA714" i="17"/>
  <c r="AB714" i="17"/>
  <c r="AC714" i="17"/>
  <c r="X715" i="17"/>
  <c r="AD715" i="17" s="1"/>
  <c r="Y715" i="17"/>
  <c r="Z715" i="17"/>
  <c r="AA715" i="17"/>
  <c r="AB715" i="17"/>
  <c r="AC715" i="17"/>
  <c r="X716" i="17"/>
  <c r="Y716" i="17"/>
  <c r="Z716" i="17"/>
  <c r="AA716" i="17"/>
  <c r="AB716" i="17"/>
  <c r="AC716" i="17"/>
  <c r="AD716" i="17"/>
  <c r="X717" i="17"/>
  <c r="Y717" i="17"/>
  <c r="Z717" i="17"/>
  <c r="AA717" i="17"/>
  <c r="AB717" i="17"/>
  <c r="AC717" i="17"/>
  <c r="AD717" i="17"/>
  <c r="X718" i="17"/>
  <c r="AD718" i="17" s="1"/>
  <c r="Y718" i="17"/>
  <c r="Z718" i="17"/>
  <c r="AA718" i="17"/>
  <c r="AB718" i="17"/>
  <c r="AC718" i="17"/>
  <c r="X719" i="17"/>
  <c r="AD719" i="17" s="1"/>
  <c r="Y719" i="17"/>
  <c r="Z719" i="17"/>
  <c r="AA719" i="17"/>
  <c r="AB719" i="17"/>
  <c r="AC719" i="17"/>
  <c r="X720" i="17"/>
  <c r="Y720" i="17"/>
  <c r="Z720" i="17"/>
  <c r="AA720" i="17"/>
  <c r="AB720" i="17"/>
  <c r="AC720" i="17"/>
  <c r="AD720" i="17"/>
  <c r="X721" i="17"/>
  <c r="AD721" i="17" s="1"/>
  <c r="Y721" i="17"/>
  <c r="Z721" i="17"/>
  <c r="AA721" i="17"/>
  <c r="AB721" i="17"/>
  <c r="AC721" i="17"/>
  <c r="X722" i="17"/>
  <c r="AD722" i="17" s="1"/>
  <c r="Y722" i="17"/>
  <c r="Z722" i="17"/>
  <c r="AA722" i="17"/>
  <c r="AB722" i="17"/>
  <c r="AC722" i="17"/>
  <c r="X723" i="17"/>
  <c r="AD723" i="17" s="1"/>
  <c r="Y723" i="17"/>
  <c r="Z723" i="17"/>
  <c r="AA723" i="17"/>
  <c r="AB723" i="17"/>
  <c r="AC723" i="17"/>
  <c r="X724" i="17"/>
  <c r="Y724" i="17"/>
  <c r="Z724" i="17"/>
  <c r="AA724" i="17"/>
  <c r="AB724" i="17"/>
  <c r="AC724" i="17"/>
  <c r="AD724" i="17"/>
  <c r="X725" i="17"/>
  <c r="Y725" i="17"/>
  <c r="Z725" i="17"/>
  <c r="AA725" i="17"/>
  <c r="AB725" i="17"/>
  <c r="AC725" i="17"/>
  <c r="AD725" i="17"/>
  <c r="X726" i="17"/>
  <c r="AD726" i="17" s="1"/>
  <c r="Y726" i="17"/>
  <c r="Z726" i="17"/>
  <c r="AA726" i="17"/>
  <c r="AB726" i="17"/>
  <c r="AC726" i="17"/>
  <c r="X727" i="17"/>
  <c r="AD727" i="17" s="1"/>
  <c r="Y727" i="17"/>
  <c r="Z727" i="17"/>
  <c r="AA727" i="17"/>
  <c r="AB727" i="17"/>
  <c r="AC727" i="17"/>
  <c r="X728" i="17"/>
  <c r="Y728" i="17"/>
  <c r="Z728" i="17"/>
  <c r="AA728" i="17"/>
  <c r="AB728" i="17"/>
  <c r="AC728" i="17"/>
  <c r="AD728" i="17"/>
  <c r="X729" i="17"/>
  <c r="AD729" i="17" s="1"/>
  <c r="Y729" i="17"/>
  <c r="Z729" i="17"/>
  <c r="AA729" i="17"/>
  <c r="AB729" i="17"/>
  <c r="AC729" i="17"/>
  <c r="X730" i="17"/>
  <c r="AD730" i="17" s="1"/>
  <c r="Y730" i="17"/>
  <c r="Z730" i="17"/>
  <c r="AA730" i="17"/>
  <c r="AB730" i="17"/>
  <c r="AC730" i="17"/>
  <c r="X731" i="17"/>
  <c r="AD731" i="17" s="1"/>
  <c r="Y731" i="17"/>
  <c r="Z731" i="17"/>
  <c r="AA731" i="17"/>
  <c r="AB731" i="17"/>
  <c r="AC731" i="17"/>
  <c r="X732" i="17"/>
  <c r="Y732" i="17"/>
  <c r="Z732" i="17"/>
  <c r="AA732" i="17"/>
  <c r="AB732" i="17"/>
  <c r="AC732" i="17"/>
  <c r="AD732" i="17"/>
  <c r="X733" i="17"/>
  <c r="Y733" i="17"/>
  <c r="Z733" i="17"/>
  <c r="AA733" i="17"/>
  <c r="AB733" i="17"/>
  <c r="AC733" i="17"/>
  <c r="AD733" i="17"/>
  <c r="X734" i="17"/>
  <c r="AD734" i="17" s="1"/>
  <c r="Y734" i="17"/>
  <c r="Z734" i="17"/>
  <c r="AA734" i="17"/>
  <c r="AB734" i="17"/>
  <c r="AC734" i="17"/>
  <c r="X735" i="17"/>
  <c r="AD735" i="17" s="1"/>
  <c r="Y735" i="17"/>
  <c r="Z735" i="17"/>
  <c r="AA735" i="17"/>
  <c r="AB735" i="17"/>
  <c r="AC735" i="17"/>
  <c r="X736" i="17"/>
  <c r="Y736" i="17"/>
  <c r="Z736" i="17"/>
  <c r="AA736" i="17"/>
  <c r="AB736" i="17"/>
  <c r="AC736" i="17"/>
  <c r="AD736" i="17"/>
  <c r="X737" i="17"/>
  <c r="AD737" i="17" s="1"/>
  <c r="Y737" i="17"/>
  <c r="Z737" i="17"/>
  <c r="AA737" i="17"/>
  <c r="AB737" i="17"/>
  <c r="AC737" i="17"/>
  <c r="X738" i="17"/>
  <c r="AD738" i="17" s="1"/>
  <c r="Y738" i="17"/>
  <c r="Z738" i="17"/>
  <c r="AA738" i="17"/>
  <c r="AB738" i="17"/>
  <c r="AC738" i="17"/>
  <c r="X739" i="17"/>
  <c r="AD739" i="17" s="1"/>
  <c r="Y739" i="17"/>
  <c r="Z739" i="17"/>
  <c r="AA739" i="17"/>
  <c r="AB739" i="17"/>
  <c r="AC739" i="17"/>
  <c r="X740" i="17"/>
  <c r="Y740" i="17"/>
  <c r="Z740" i="17"/>
  <c r="AA740" i="17"/>
  <c r="AB740" i="17"/>
  <c r="AC740" i="17"/>
  <c r="AD740" i="17"/>
  <c r="X741" i="17"/>
  <c r="Y741" i="17"/>
  <c r="Z741" i="17"/>
  <c r="AA741" i="17"/>
  <c r="AB741" i="17"/>
  <c r="AC741" i="17"/>
  <c r="AD741" i="17"/>
  <c r="X742" i="17"/>
  <c r="AD742" i="17" s="1"/>
  <c r="Y742" i="17"/>
  <c r="Z742" i="17"/>
  <c r="AA742" i="17"/>
  <c r="AB742" i="17"/>
  <c r="AC742" i="17"/>
  <c r="X743" i="17"/>
  <c r="AD743" i="17" s="1"/>
  <c r="Y743" i="17"/>
  <c r="Z743" i="17"/>
  <c r="AA743" i="17"/>
  <c r="AB743" i="17"/>
  <c r="AC743" i="17"/>
  <c r="X744" i="17"/>
  <c r="Y744" i="17"/>
  <c r="Z744" i="17"/>
  <c r="AA744" i="17"/>
  <c r="AB744" i="17"/>
  <c r="AC744" i="17"/>
  <c r="AD744" i="17"/>
  <c r="X745" i="17"/>
  <c r="AD745" i="17" s="1"/>
  <c r="Y745" i="17"/>
  <c r="Z745" i="17"/>
  <c r="AA745" i="17"/>
  <c r="AB745" i="17"/>
  <c r="AC745" i="17"/>
  <c r="X746" i="17"/>
  <c r="AD746" i="17" s="1"/>
  <c r="Y746" i="17"/>
  <c r="Z746" i="17"/>
  <c r="AA746" i="17"/>
  <c r="AB746" i="17"/>
  <c r="AC746" i="17"/>
  <c r="X747" i="17"/>
  <c r="AD747" i="17" s="1"/>
  <c r="Y747" i="17"/>
  <c r="Z747" i="17"/>
  <c r="AA747" i="17"/>
  <c r="AB747" i="17"/>
  <c r="AC747" i="17"/>
  <c r="X748" i="17"/>
  <c r="Y748" i="17"/>
  <c r="Z748" i="17"/>
  <c r="AA748" i="17"/>
  <c r="AB748" i="17"/>
  <c r="AC748" i="17"/>
  <c r="AD748" i="17"/>
  <c r="X749" i="17"/>
  <c r="Y749" i="17"/>
  <c r="Z749" i="17"/>
  <c r="AA749" i="17"/>
  <c r="AB749" i="17"/>
  <c r="AC749" i="17"/>
  <c r="AD749" i="17"/>
  <c r="X750" i="17"/>
  <c r="AD750" i="17" s="1"/>
  <c r="Y750" i="17"/>
  <c r="Z750" i="17"/>
  <c r="AA750" i="17"/>
  <c r="AB750" i="17"/>
  <c r="AC750" i="17"/>
  <c r="X751" i="17"/>
  <c r="AD751" i="17" s="1"/>
  <c r="Y751" i="17"/>
  <c r="Z751" i="17"/>
  <c r="AA751" i="17"/>
  <c r="AB751" i="17"/>
  <c r="AC751" i="17"/>
  <c r="X752" i="17"/>
  <c r="Y752" i="17"/>
  <c r="Z752" i="17"/>
  <c r="AA752" i="17"/>
  <c r="AB752" i="17"/>
  <c r="AC752" i="17"/>
  <c r="AD752" i="17"/>
  <c r="X753" i="17"/>
  <c r="AD753" i="17" s="1"/>
  <c r="Y753" i="17"/>
  <c r="Z753" i="17"/>
  <c r="AA753" i="17"/>
  <c r="AB753" i="17"/>
  <c r="AC753" i="17"/>
  <c r="X754" i="17"/>
  <c r="AD754" i="17" s="1"/>
  <c r="Y754" i="17"/>
  <c r="Z754" i="17"/>
  <c r="AA754" i="17"/>
  <c r="AB754" i="17"/>
  <c r="AC754" i="17"/>
  <c r="X755" i="17"/>
  <c r="AD755" i="17" s="1"/>
  <c r="Y755" i="17"/>
  <c r="Z755" i="17"/>
  <c r="AA755" i="17"/>
  <c r="AB755" i="17"/>
  <c r="AC755" i="17"/>
  <c r="X756" i="17"/>
  <c r="Y756" i="17"/>
  <c r="Z756" i="17"/>
  <c r="AA756" i="17"/>
  <c r="AB756" i="17"/>
  <c r="AC756" i="17"/>
  <c r="AD756" i="17"/>
  <c r="X757" i="17"/>
  <c r="Y757" i="17"/>
  <c r="Z757" i="17"/>
  <c r="AA757" i="17"/>
  <c r="AB757" i="17"/>
  <c r="AC757" i="17"/>
  <c r="AD757" i="17"/>
  <c r="X758" i="17"/>
  <c r="AD758" i="17" s="1"/>
  <c r="Y758" i="17"/>
  <c r="Z758" i="17"/>
  <c r="AA758" i="17"/>
  <c r="AB758" i="17"/>
  <c r="AC758" i="17"/>
  <c r="X759" i="17"/>
  <c r="AD759" i="17" s="1"/>
  <c r="Y759" i="17"/>
  <c r="Z759" i="17"/>
  <c r="AA759" i="17"/>
  <c r="AB759" i="17"/>
  <c r="AC759" i="17"/>
  <c r="X760" i="17"/>
  <c r="Y760" i="17"/>
  <c r="Z760" i="17"/>
  <c r="AA760" i="17"/>
  <c r="AB760" i="17"/>
  <c r="AC760" i="17"/>
  <c r="AD760" i="17"/>
  <c r="X761" i="17"/>
  <c r="AD761" i="17" s="1"/>
  <c r="Y761" i="17"/>
  <c r="Z761" i="17"/>
  <c r="AA761" i="17"/>
  <c r="AB761" i="17"/>
  <c r="AC761" i="17"/>
  <c r="X762" i="17"/>
  <c r="AD762" i="17" s="1"/>
  <c r="Y762" i="17"/>
  <c r="Z762" i="17"/>
  <c r="AA762" i="17"/>
  <c r="AB762" i="17"/>
  <c r="AC762" i="17"/>
  <c r="X763" i="17"/>
  <c r="AD763" i="17" s="1"/>
  <c r="Y763" i="17"/>
  <c r="Z763" i="17"/>
  <c r="AA763" i="17"/>
  <c r="AB763" i="17"/>
  <c r="AC763" i="17"/>
  <c r="X764" i="17"/>
  <c r="Y764" i="17"/>
  <c r="Z764" i="17"/>
  <c r="AA764" i="17"/>
  <c r="AB764" i="17"/>
  <c r="AC764" i="17"/>
  <c r="AD764" i="17"/>
  <c r="X765" i="17"/>
  <c r="Y765" i="17"/>
  <c r="Z765" i="17"/>
  <c r="AA765" i="17"/>
  <c r="AB765" i="17"/>
  <c r="AC765" i="17"/>
  <c r="AD765" i="17"/>
  <c r="X766" i="17"/>
  <c r="AD766" i="17" s="1"/>
  <c r="Y766" i="17"/>
  <c r="Z766" i="17"/>
  <c r="AA766" i="17"/>
  <c r="AB766" i="17"/>
  <c r="AC766" i="17"/>
  <c r="X767" i="17"/>
  <c r="AD767" i="17" s="1"/>
  <c r="Y767" i="17"/>
  <c r="Z767" i="17"/>
  <c r="AA767" i="17"/>
  <c r="AB767" i="17"/>
  <c r="AC767" i="17"/>
  <c r="X768" i="17"/>
  <c r="Y768" i="17"/>
  <c r="Z768" i="17"/>
  <c r="AA768" i="17"/>
  <c r="AB768" i="17"/>
  <c r="AC768" i="17"/>
  <c r="AD768" i="17"/>
  <c r="X769" i="17"/>
  <c r="AD769" i="17" s="1"/>
  <c r="Y769" i="17"/>
  <c r="Z769" i="17"/>
  <c r="AA769" i="17"/>
  <c r="AB769" i="17"/>
  <c r="AC769" i="17"/>
  <c r="X770" i="17"/>
  <c r="AD770" i="17" s="1"/>
  <c r="Y770" i="17"/>
  <c r="Z770" i="17"/>
  <c r="AA770" i="17"/>
  <c r="AB770" i="17"/>
  <c r="AC770" i="17"/>
  <c r="X771" i="17"/>
  <c r="AD771" i="17" s="1"/>
  <c r="Y771" i="17"/>
  <c r="Z771" i="17"/>
  <c r="AA771" i="17"/>
  <c r="AB771" i="17"/>
  <c r="AC771" i="17"/>
  <c r="X772" i="17"/>
  <c r="Y772" i="17"/>
  <c r="Z772" i="17"/>
  <c r="AA772" i="17"/>
  <c r="AB772" i="17"/>
  <c r="AC772" i="17"/>
  <c r="AD772" i="17"/>
  <c r="X773" i="17"/>
  <c r="Y773" i="17"/>
  <c r="Z773" i="17"/>
  <c r="AA773" i="17"/>
  <c r="AB773" i="17"/>
  <c r="AC773" i="17"/>
  <c r="AD773" i="17"/>
  <c r="X774" i="17"/>
  <c r="AD774" i="17" s="1"/>
  <c r="Y774" i="17"/>
  <c r="Z774" i="17"/>
  <c r="AA774" i="17"/>
  <c r="AB774" i="17"/>
  <c r="AC774" i="17"/>
  <c r="X775" i="17"/>
  <c r="AD775" i="17" s="1"/>
  <c r="Y775" i="17"/>
  <c r="Z775" i="17"/>
  <c r="AA775" i="17"/>
  <c r="AB775" i="17"/>
  <c r="AC775" i="17"/>
  <c r="X776" i="17"/>
  <c r="Y776" i="17"/>
  <c r="Z776" i="17"/>
  <c r="AA776" i="17"/>
  <c r="AB776" i="17"/>
  <c r="AC776" i="17"/>
  <c r="AD776" i="17"/>
  <c r="X777" i="17"/>
  <c r="AD777" i="17" s="1"/>
  <c r="Y777" i="17"/>
  <c r="Z777" i="17"/>
  <c r="AA777" i="17"/>
  <c r="AB777" i="17"/>
  <c r="AC777" i="17"/>
  <c r="X778" i="17"/>
  <c r="AD778" i="17" s="1"/>
  <c r="Y778" i="17"/>
  <c r="Z778" i="17"/>
  <c r="AA778" i="17"/>
  <c r="AB778" i="17"/>
  <c r="AC778" i="17"/>
  <c r="X779" i="17"/>
  <c r="Y779" i="17"/>
  <c r="Z779" i="17"/>
  <c r="AA779" i="17"/>
  <c r="AB779" i="17"/>
  <c r="AC779" i="17"/>
  <c r="AD779" i="17"/>
  <c r="X780" i="17"/>
  <c r="Y780" i="17"/>
  <c r="Z780" i="17"/>
  <c r="AA780" i="17"/>
  <c r="AB780" i="17"/>
  <c r="AC780" i="17"/>
  <c r="AD780" i="17"/>
  <c r="X781" i="17"/>
  <c r="Y781" i="17"/>
  <c r="Z781" i="17"/>
  <c r="AA781" i="17"/>
  <c r="AB781" i="17"/>
  <c r="AC781" i="17"/>
  <c r="AD781" i="17"/>
  <c r="X782" i="17"/>
  <c r="AD782" i="17" s="1"/>
  <c r="Y782" i="17"/>
  <c r="Z782" i="17"/>
  <c r="AA782" i="17"/>
  <c r="AB782" i="17"/>
  <c r="AC782" i="17"/>
  <c r="X783" i="17"/>
  <c r="AD783" i="17" s="1"/>
  <c r="Y783" i="17"/>
  <c r="Z783" i="17"/>
  <c r="AA783" i="17"/>
  <c r="AB783" i="17"/>
  <c r="AC783" i="17"/>
  <c r="X784" i="17"/>
  <c r="Y784" i="17"/>
  <c r="Z784" i="17"/>
  <c r="AA784" i="17"/>
  <c r="AB784" i="17"/>
  <c r="AC784" i="17"/>
  <c r="AD784" i="17"/>
  <c r="X785" i="17"/>
  <c r="AD785" i="17" s="1"/>
  <c r="Y785" i="17"/>
  <c r="Z785" i="17"/>
  <c r="AA785" i="17"/>
  <c r="AB785" i="17"/>
  <c r="AC785" i="17"/>
  <c r="X786" i="17"/>
  <c r="AD786" i="17" s="1"/>
  <c r="Y786" i="17"/>
  <c r="Z786" i="17"/>
  <c r="AA786" i="17"/>
  <c r="AB786" i="17"/>
  <c r="AC786" i="17"/>
  <c r="X787" i="17"/>
  <c r="Y787" i="17"/>
  <c r="Z787" i="17"/>
  <c r="AA787" i="17"/>
  <c r="AB787" i="17"/>
  <c r="AC787" i="17"/>
  <c r="AD787" i="17"/>
  <c r="X788" i="17"/>
  <c r="Y788" i="17"/>
  <c r="Z788" i="17"/>
  <c r="AA788" i="17"/>
  <c r="AB788" i="17"/>
  <c r="AC788" i="17"/>
  <c r="AD788" i="17"/>
  <c r="X789" i="17"/>
  <c r="Y789" i="17"/>
  <c r="Z789" i="17"/>
  <c r="AA789" i="17"/>
  <c r="AB789" i="17"/>
  <c r="AC789" i="17"/>
  <c r="AD789" i="17"/>
  <c r="X790" i="17"/>
  <c r="AD790" i="17" s="1"/>
  <c r="Y790" i="17"/>
  <c r="Z790" i="17"/>
  <c r="AA790" i="17"/>
  <c r="AB790" i="17"/>
  <c r="AC790" i="17"/>
  <c r="X791" i="17"/>
  <c r="AD791" i="17" s="1"/>
  <c r="Y791" i="17"/>
  <c r="Z791" i="17"/>
  <c r="AA791" i="17"/>
  <c r="AB791" i="17"/>
  <c r="AC791" i="17"/>
  <c r="X792" i="17"/>
  <c r="Y792" i="17"/>
  <c r="Z792" i="17"/>
  <c r="AA792" i="17"/>
  <c r="AB792" i="17"/>
  <c r="AC792" i="17"/>
  <c r="AD792" i="17"/>
  <c r="X793" i="17"/>
  <c r="AD793" i="17" s="1"/>
  <c r="Y793" i="17"/>
  <c r="Z793" i="17"/>
  <c r="AA793" i="17"/>
  <c r="AB793" i="17"/>
  <c r="AC793" i="17"/>
  <c r="X794" i="17"/>
  <c r="AD794" i="17" s="1"/>
  <c r="Y794" i="17"/>
  <c r="Z794" i="17"/>
  <c r="AA794" i="17"/>
  <c r="AB794" i="17"/>
  <c r="AC794" i="17"/>
  <c r="X795" i="17"/>
  <c r="Y795" i="17"/>
  <c r="Z795" i="17"/>
  <c r="AA795" i="17"/>
  <c r="AB795" i="17"/>
  <c r="AC795" i="17"/>
  <c r="AD795" i="17"/>
  <c r="X796" i="17"/>
  <c r="Y796" i="17"/>
  <c r="Z796" i="17"/>
  <c r="AA796" i="17"/>
  <c r="AB796" i="17"/>
  <c r="AC796" i="17"/>
  <c r="AD796" i="17"/>
  <c r="X797" i="17"/>
  <c r="Y797" i="17"/>
  <c r="Z797" i="17"/>
  <c r="AA797" i="17"/>
  <c r="AB797" i="17"/>
  <c r="AC797" i="17"/>
  <c r="AD797" i="17"/>
  <c r="X798" i="17"/>
  <c r="AD798" i="17" s="1"/>
  <c r="Y798" i="17"/>
  <c r="Z798" i="17"/>
  <c r="AA798" i="17"/>
  <c r="AB798" i="17"/>
  <c r="AC798" i="17"/>
  <c r="X799" i="17"/>
  <c r="AD799" i="17" s="1"/>
  <c r="Y799" i="17"/>
  <c r="Z799" i="17"/>
  <c r="AA799" i="17"/>
  <c r="AB799" i="17"/>
  <c r="AC799" i="17"/>
  <c r="X800" i="17"/>
  <c r="Y800" i="17"/>
  <c r="Z800" i="17"/>
  <c r="AA800" i="17"/>
  <c r="AB800" i="17"/>
  <c r="AC800" i="17"/>
  <c r="AD800" i="17"/>
  <c r="X801" i="17"/>
  <c r="AD801" i="17" s="1"/>
  <c r="Y801" i="17"/>
  <c r="Z801" i="17"/>
  <c r="AA801" i="17"/>
  <c r="AB801" i="17"/>
  <c r="AC801" i="17"/>
  <c r="X802" i="17"/>
  <c r="AD802" i="17" s="1"/>
  <c r="Y802" i="17"/>
  <c r="Z802" i="17"/>
  <c r="AA802" i="17"/>
  <c r="AB802" i="17"/>
  <c r="AC802" i="17"/>
  <c r="X803" i="17"/>
  <c r="Y803" i="17"/>
  <c r="Z803" i="17"/>
  <c r="AA803" i="17"/>
  <c r="AB803" i="17"/>
  <c r="AC803" i="17"/>
  <c r="AD803" i="17"/>
  <c r="X804" i="17"/>
  <c r="Y804" i="17"/>
  <c r="Z804" i="17"/>
  <c r="AA804" i="17"/>
  <c r="AB804" i="17"/>
  <c r="AC804" i="17"/>
  <c r="AD804" i="17"/>
  <c r="X805" i="17"/>
  <c r="Y805" i="17"/>
  <c r="Z805" i="17"/>
  <c r="AA805" i="17"/>
  <c r="AB805" i="17"/>
  <c r="AC805" i="17"/>
  <c r="AD805" i="17"/>
  <c r="X806" i="17"/>
  <c r="AD806" i="17" s="1"/>
  <c r="Y806" i="17"/>
  <c r="Z806" i="17"/>
  <c r="AA806" i="17"/>
  <c r="AB806" i="17"/>
  <c r="AC806" i="17"/>
  <c r="X807" i="17"/>
  <c r="AD807" i="17" s="1"/>
  <c r="Y807" i="17"/>
  <c r="Z807" i="17"/>
  <c r="AA807" i="17"/>
  <c r="AB807" i="17"/>
  <c r="AC807" i="17"/>
  <c r="X808" i="17"/>
  <c r="Y808" i="17"/>
  <c r="Z808" i="17"/>
  <c r="AA808" i="17"/>
  <c r="AB808" i="17"/>
  <c r="AC808" i="17"/>
  <c r="AD808" i="17"/>
  <c r="X809" i="17"/>
  <c r="AD809" i="17" s="1"/>
  <c r="Y809" i="17"/>
  <c r="Z809" i="17"/>
  <c r="AA809" i="17"/>
  <c r="AB809" i="17"/>
  <c r="AC809" i="17"/>
  <c r="X810" i="17"/>
  <c r="AD810" i="17" s="1"/>
  <c r="Y810" i="17"/>
  <c r="Z810" i="17"/>
  <c r="AA810" i="17"/>
  <c r="AB810" i="17"/>
  <c r="AC810" i="17"/>
  <c r="X811" i="17"/>
  <c r="Y811" i="17"/>
  <c r="Z811" i="17"/>
  <c r="AA811" i="17"/>
  <c r="AB811" i="17"/>
  <c r="AC811" i="17"/>
  <c r="AD811" i="17"/>
  <c r="X812" i="17"/>
  <c r="Y812" i="17"/>
  <c r="Z812" i="17"/>
  <c r="AA812" i="17"/>
  <c r="AB812" i="17"/>
  <c r="AC812" i="17"/>
  <c r="AD812" i="17"/>
  <c r="X813" i="17"/>
  <c r="Y813" i="17"/>
  <c r="Z813" i="17"/>
  <c r="AA813" i="17"/>
  <c r="AB813" i="17"/>
  <c r="AC813" i="17"/>
  <c r="AD813" i="17"/>
  <c r="X814" i="17"/>
  <c r="AD814" i="17" s="1"/>
  <c r="Y814" i="17"/>
  <c r="Z814" i="17"/>
  <c r="AA814" i="17"/>
  <c r="AB814" i="17"/>
  <c r="AC814" i="17"/>
  <c r="X815" i="17"/>
  <c r="AD815" i="17" s="1"/>
  <c r="Y815" i="17"/>
  <c r="Z815" i="17"/>
  <c r="AA815" i="17"/>
  <c r="AB815" i="17"/>
  <c r="AC815" i="17"/>
  <c r="X816" i="17"/>
  <c r="Y816" i="17"/>
  <c r="Z816" i="17"/>
  <c r="AA816" i="17"/>
  <c r="AB816" i="17"/>
  <c r="AC816" i="17"/>
  <c r="AD816" i="17"/>
  <c r="X817" i="17"/>
  <c r="AD817" i="17" s="1"/>
  <c r="Y817" i="17"/>
  <c r="Z817" i="17"/>
  <c r="AA817" i="17"/>
  <c r="AB817" i="17"/>
  <c r="AC817" i="17"/>
  <c r="X818" i="17"/>
  <c r="AD818" i="17" s="1"/>
  <c r="Y818" i="17"/>
  <c r="Z818" i="17"/>
  <c r="AA818" i="17"/>
  <c r="AB818" i="17"/>
  <c r="AC818" i="17"/>
  <c r="X819" i="17"/>
  <c r="Y819" i="17"/>
  <c r="Z819" i="17"/>
  <c r="AA819" i="17"/>
  <c r="AB819" i="17"/>
  <c r="AC819" i="17"/>
  <c r="AD819" i="17"/>
  <c r="X820" i="17"/>
  <c r="Y820" i="17"/>
  <c r="Z820" i="17"/>
  <c r="AA820" i="17"/>
  <c r="AB820" i="17"/>
  <c r="AC820" i="17"/>
  <c r="AD820" i="17"/>
  <c r="X821" i="17"/>
  <c r="Y821" i="17"/>
  <c r="Z821" i="17"/>
  <c r="AA821" i="17"/>
  <c r="AB821" i="17"/>
  <c r="AC821" i="17"/>
  <c r="AD821" i="17"/>
  <c r="X822" i="17"/>
  <c r="AD822" i="17" s="1"/>
  <c r="Y822" i="17"/>
  <c r="Z822" i="17"/>
  <c r="AA822" i="17"/>
  <c r="AB822" i="17"/>
  <c r="AC822" i="17"/>
  <c r="X823" i="17"/>
  <c r="AD823" i="17" s="1"/>
  <c r="Y823" i="17"/>
  <c r="Z823" i="17"/>
  <c r="AA823" i="17"/>
  <c r="AB823" i="17"/>
  <c r="AC823" i="17"/>
  <c r="X824" i="17"/>
  <c r="Y824" i="17"/>
  <c r="Z824" i="17"/>
  <c r="AA824" i="17"/>
  <c r="AB824" i="17"/>
  <c r="AC824" i="17"/>
  <c r="AD824" i="17"/>
  <c r="X825" i="17"/>
  <c r="Y825" i="17"/>
  <c r="Z825" i="17"/>
  <c r="AA825" i="17"/>
  <c r="AB825" i="17"/>
  <c r="AC825" i="17"/>
  <c r="AD825" i="17"/>
  <c r="X826" i="17"/>
  <c r="AD826" i="17" s="1"/>
  <c r="Y826" i="17"/>
  <c r="Z826" i="17"/>
  <c r="AA826" i="17"/>
  <c r="AB826" i="17"/>
  <c r="AC826" i="17"/>
  <c r="X827" i="17"/>
  <c r="Y827" i="17"/>
  <c r="Z827" i="17"/>
  <c r="AA827" i="17"/>
  <c r="AB827" i="17"/>
  <c r="AC827" i="17"/>
  <c r="AD827" i="17"/>
  <c r="X828" i="17"/>
  <c r="Y828" i="17"/>
  <c r="Z828" i="17"/>
  <c r="AA828" i="17"/>
  <c r="AB828" i="17"/>
  <c r="AC828" i="17"/>
  <c r="AD828" i="17"/>
  <c r="X829" i="17"/>
  <c r="Y829" i="17"/>
  <c r="Z829" i="17"/>
  <c r="AA829" i="17"/>
  <c r="AB829" i="17"/>
  <c r="AC829" i="17"/>
  <c r="AD829" i="17"/>
  <c r="X830" i="17"/>
  <c r="AD830" i="17" s="1"/>
  <c r="Y830" i="17"/>
  <c r="Z830" i="17"/>
  <c r="AA830" i="17"/>
  <c r="AB830" i="17"/>
  <c r="AC830" i="17"/>
  <c r="X831" i="17"/>
  <c r="AD831" i="17" s="1"/>
  <c r="Y831" i="17"/>
  <c r="Z831" i="17"/>
  <c r="AA831" i="17"/>
  <c r="AB831" i="17"/>
  <c r="AC831" i="17"/>
  <c r="X832" i="17"/>
  <c r="Y832" i="17"/>
  <c r="Z832" i="17"/>
  <c r="AA832" i="17"/>
  <c r="AB832" i="17"/>
  <c r="AC832" i="17"/>
  <c r="AD832" i="17"/>
  <c r="X833" i="17"/>
  <c r="Y833" i="17"/>
  <c r="Z833" i="17"/>
  <c r="AA833" i="17"/>
  <c r="AB833" i="17"/>
  <c r="AC833" i="17"/>
  <c r="AD833" i="17"/>
  <c r="X834" i="17"/>
  <c r="AD834" i="17" s="1"/>
  <c r="Y834" i="17"/>
  <c r="Z834" i="17"/>
  <c r="AA834" i="17"/>
  <c r="AB834" i="17"/>
  <c r="AC834" i="17"/>
  <c r="X835" i="17"/>
  <c r="AD835" i="17" s="1"/>
  <c r="Y835" i="17"/>
  <c r="Z835" i="17"/>
  <c r="AA835" i="17"/>
  <c r="AB835" i="17"/>
  <c r="AC835" i="17"/>
  <c r="X836" i="17"/>
  <c r="Y836" i="17"/>
  <c r="Z836" i="17"/>
  <c r="AA836" i="17"/>
  <c r="AB836" i="17"/>
  <c r="AC836" i="17"/>
  <c r="AD836" i="17"/>
  <c r="X837" i="17"/>
  <c r="Y837" i="17"/>
  <c r="Z837" i="17"/>
  <c r="AA837" i="17"/>
  <c r="AB837" i="17"/>
  <c r="AC837" i="17"/>
  <c r="AD837" i="17"/>
  <c r="X838" i="17"/>
  <c r="AD838" i="17" s="1"/>
  <c r="Y838" i="17"/>
  <c r="Z838" i="17"/>
  <c r="AA838" i="17"/>
  <c r="AB838" i="17"/>
  <c r="AC838" i="17"/>
  <c r="X839" i="17"/>
  <c r="AD839" i="17" s="1"/>
  <c r="Y839" i="17"/>
  <c r="Z839" i="17"/>
  <c r="AA839" i="17"/>
  <c r="AB839" i="17"/>
  <c r="AC839" i="17"/>
  <c r="X840" i="17"/>
  <c r="Y840" i="17"/>
  <c r="Z840" i="17"/>
  <c r="AA840" i="17"/>
  <c r="AB840" i="17"/>
  <c r="AC840" i="17"/>
  <c r="AD840" i="17"/>
  <c r="X841" i="17"/>
  <c r="Y841" i="17"/>
  <c r="Z841" i="17"/>
  <c r="AA841" i="17"/>
  <c r="AB841" i="17"/>
  <c r="AC841" i="17"/>
  <c r="AD841" i="17"/>
  <c r="X842" i="17"/>
  <c r="AD842" i="17" s="1"/>
  <c r="Y842" i="17"/>
  <c r="Z842" i="17"/>
  <c r="AA842" i="17"/>
  <c r="AB842" i="17"/>
  <c r="AC842" i="17"/>
  <c r="X843" i="17"/>
  <c r="AD843" i="17" s="1"/>
  <c r="Y843" i="17"/>
  <c r="Z843" i="17"/>
  <c r="AA843" i="17"/>
  <c r="AB843" i="17"/>
  <c r="AC843" i="17"/>
  <c r="X844" i="17"/>
  <c r="Y844" i="17"/>
  <c r="Z844" i="17"/>
  <c r="AA844" i="17"/>
  <c r="AB844" i="17"/>
  <c r="AC844" i="17"/>
  <c r="AD844" i="17"/>
  <c r="X845" i="17"/>
  <c r="Y845" i="17"/>
  <c r="Z845" i="17"/>
  <c r="AA845" i="17"/>
  <c r="AB845" i="17"/>
  <c r="AC845" i="17"/>
  <c r="AD845" i="17"/>
  <c r="X846" i="17"/>
  <c r="AD846" i="17" s="1"/>
  <c r="Y846" i="17"/>
  <c r="Z846" i="17"/>
  <c r="AA846" i="17"/>
  <c r="AB846" i="17"/>
  <c r="AC846" i="17"/>
  <c r="X847" i="17"/>
  <c r="AD847" i="17" s="1"/>
  <c r="Y847" i="17"/>
  <c r="Z847" i="17"/>
  <c r="AA847" i="17"/>
  <c r="AB847" i="17"/>
  <c r="AC847" i="17"/>
  <c r="X848" i="17"/>
  <c r="Y848" i="17"/>
  <c r="Z848" i="17"/>
  <c r="AA848" i="17"/>
  <c r="AB848" i="17"/>
  <c r="AC848" i="17"/>
  <c r="AD848" i="17"/>
  <c r="X849" i="17"/>
  <c r="Y849" i="17"/>
  <c r="Z849" i="17"/>
  <c r="AA849" i="17"/>
  <c r="AB849" i="17"/>
  <c r="AC849" i="17"/>
  <c r="AD849" i="17"/>
  <c r="X850" i="17"/>
  <c r="AD850" i="17" s="1"/>
  <c r="Y850" i="17"/>
  <c r="Z850" i="17"/>
  <c r="AA850" i="17"/>
  <c r="AB850" i="17"/>
  <c r="AC850" i="17"/>
  <c r="X851" i="17"/>
  <c r="AD851" i="17" s="1"/>
  <c r="Y851" i="17"/>
  <c r="Z851" i="17"/>
  <c r="AA851" i="17"/>
  <c r="AB851" i="17"/>
  <c r="AC851" i="17"/>
  <c r="X852" i="17"/>
  <c r="Y852" i="17"/>
  <c r="Z852" i="17"/>
  <c r="AA852" i="17"/>
  <c r="AB852" i="17"/>
  <c r="AC852" i="17"/>
  <c r="AD852" i="17"/>
  <c r="X853" i="17"/>
  <c r="Y853" i="17"/>
  <c r="Z853" i="17"/>
  <c r="AA853" i="17"/>
  <c r="AB853" i="17"/>
  <c r="AC853" i="17"/>
  <c r="AD853" i="17"/>
  <c r="X854" i="17"/>
  <c r="AD854" i="17" s="1"/>
  <c r="Y854" i="17"/>
  <c r="Z854" i="17"/>
  <c r="AA854" i="17"/>
  <c r="AB854" i="17"/>
  <c r="AC854" i="17"/>
  <c r="X855" i="17"/>
  <c r="AD855" i="17" s="1"/>
  <c r="Y855" i="17"/>
  <c r="Z855" i="17"/>
  <c r="AA855" i="17"/>
  <c r="AB855" i="17"/>
  <c r="AC855" i="17"/>
  <c r="X856" i="17"/>
  <c r="Y856" i="17"/>
  <c r="Z856" i="17"/>
  <c r="AA856" i="17"/>
  <c r="AB856" i="17"/>
  <c r="AC856" i="17"/>
  <c r="AD856" i="17"/>
  <c r="X857" i="17"/>
  <c r="Y857" i="17"/>
  <c r="Z857" i="17"/>
  <c r="AA857" i="17"/>
  <c r="AB857" i="17"/>
  <c r="AC857" i="17"/>
  <c r="AD857" i="17"/>
  <c r="X858" i="17"/>
  <c r="AD858" i="17" s="1"/>
  <c r="Y858" i="17"/>
  <c r="Z858" i="17"/>
  <c r="AA858" i="17"/>
  <c r="AB858" i="17"/>
  <c r="AC858" i="17"/>
  <c r="X859" i="17"/>
  <c r="AD859" i="17" s="1"/>
  <c r="Y859" i="17"/>
  <c r="Z859" i="17"/>
  <c r="AA859" i="17"/>
  <c r="AB859" i="17"/>
  <c r="AC859" i="17"/>
  <c r="X860" i="17"/>
  <c r="Y860" i="17"/>
  <c r="Z860" i="17"/>
  <c r="AA860" i="17"/>
  <c r="AB860" i="17"/>
  <c r="AC860" i="17"/>
  <c r="AD860" i="17"/>
  <c r="X861" i="17"/>
  <c r="Y861" i="17"/>
  <c r="Z861" i="17"/>
  <c r="AA861" i="17"/>
  <c r="AB861" i="17"/>
  <c r="AC861" i="17"/>
  <c r="AD861" i="17"/>
  <c r="X862" i="17"/>
  <c r="AD862" i="17" s="1"/>
  <c r="Y862" i="17"/>
  <c r="Z862" i="17"/>
  <c r="AA862" i="17"/>
  <c r="AB862" i="17"/>
  <c r="AC862" i="17"/>
  <c r="X863" i="17"/>
  <c r="AD863" i="17" s="1"/>
  <c r="Y863" i="17"/>
  <c r="Z863" i="17"/>
  <c r="AA863" i="17"/>
  <c r="AB863" i="17"/>
  <c r="AC863" i="17"/>
  <c r="X864" i="17"/>
  <c r="Y864" i="17"/>
  <c r="Z864" i="17"/>
  <c r="AA864" i="17"/>
  <c r="AB864" i="17"/>
  <c r="AC864" i="17"/>
  <c r="AD864" i="17"/>
  <c r="X865" i="17"/>
  <c r="Y865" i="17"/>
  <c r="Z865" i="17"/>
  <c r="AA865" i="17"/>
  <c r="AB865" i="17"/>
  <c r="AC865" i="17"/>
  <c r="AD865" i="17"/>
  <c r="X866" i="17"/>
  <c r="AD866" i="17" s="1"/>
  <c r="Y866" i="17"/>
  <c r="Z866" i="17"/>
  <c r="AA866" i="17"/>
  <c r="AB866" i="17"/>
  <c r="AC866" i="17"/>
  <c r="X867" i="17"/>
  <c r="AD867" i="17" s="1"/>
  <c r="Y867" i="17"/>
  <c r="Z867" i="17"/>
  <c r="AA867" i="17"/>
  <c r="AB867" i="17"/>
  <c r="AC867" i="17"/>
  <c r="X868" i="17"/>
  <c r="Y868" i="17"/>
  <c r="Z868" i="17"/>
  <c r="AA868" i="17"/>
  <c r="AB868" i="17"/>
  <c r="AC868" i="17"/>
  <c r="AD868" i="17"/>
  <c r="X869" i="17"/>
  <c r="Y869" i="17"/>
  <c r="Z869" i="17"/>
  <c r="AA869" i="17"/>
  <c r="AB869" i="17"/>
  <c r="AC869" i="17"/>
  <c r="AD869" i="17"/>
  <c r="X870" i="17"/>
  <c r="AD870" i="17" s="1"/>
  <c r="Y870" i="17"/>
  <c r="Z870" i="17"/>
  <c r="AA870" i="17"/>
  <c r="AB870" i="17"/>
  <c r="AC870" i="17"/>
  <c r="X871" i="17"/>
  <c r="AD871" i="17" s="1"/>
  <c r="Y871" i="17"/>
  <c r="Z871" i="17"/>
  <c r="AA871" i="17"/>
  <c r="AB871" i="17"/>
  <c r="AC871" i="17"/>
  <c r="X872" i="17"/>
  <c r="Y872" i="17"/>
  <c r="Z872" i="17"/>
  <c r="AA872" i="17"/>
  <c r="AB872" i="17"/>
  <c r="AC872" i="17"/>
  <c r="AD872" i="17"/>
  <c r="X873" i="17"/>
  <c r="Y873" i="17"/>
  <c r="Z873" i="17"/>
  <c r="AA873" i="17"/>
  <c r="AB873" i="17"/>
  <c r="AC873" i="17"/>
  <c r="AD873" i="17"/>
  <c r="X874" i="17"/>
  <c r="AD874" i="17" s="1"/>
  <c r="Y874" i="17"/>
  <c r="Z874" i="17"/>
  <c r="AA874" i="17"/>
  <c r="AB874" i="17"/>
  <c r="AC874" i="17"/>
  <c r="X875" i="17"/>
  <c r="AD875" i="17" s="1"/>
  <c r="Y875" i="17"/>
  <c r="Z875" i="17"/>
  <c r="AA875" i="17"/>
  <c r="AB875" i="17"/>
  <c r="AC875" i="17"/>
  <c r="X876" i="17"/>
  <c r="Y876" i="17"/>
  <c r="Z876" i="17"/>
  <c r="AA876" i="17"/>
  <c r="AB876" i="17"/>
  <c r="AC876" i="17"/>
  <c r="AD876" i="17"/>
  <c r="X877" i="17"/>
  <c r="Y877" i="17"/>
  <c r="Z877" i="17"/>
  <c r="AA877" i="17"/>
  <c r="AB877" i="17"/>
  <c r="AC877" i="17"/>
  <c r="AD877" i="17"/>
  <c r="X878" i="17"/>
  <c r="AD878" i="17" s="1"/>
  <c r="Y878" i="17"/>
  <c r="Z878" i="17"/>
  <c r="AA878" i="17"/>
  <c r="AB878" i="17"/>
  <c r="AC878" i="17"/>
  <c r="X879" i="17"/>
  <c r="AD879" i="17" s="1"/>
  <c r="Y879" i="17"/>
  <c r="Z879" i="17"/>
  <c r="AA879" i="17"/>
  <c r="AB879" i="17"/>
  <c r="AC879" i="17"/>
  <c r="X880" i="17"/>
  <c r="Y880" i="17"/>
  <c r="Z880" i="17"/>
  <c r="AA880" i="17"/>
  <c r="AB880" i="17"/>
  <c r="AC880" i="17"/>
  <c r="AD880" i="17"/>
  <c r="X881" i="17"/>
  <c r="Y881" i="17"/>
  <c r="Z881" i="17"/>
  <c r="AA881" i="17"/>
  <c r="AB881" i="17"/>
  <c r="AC881" i="17"/>
  <c r="AD881" i="17"/>
  <c r="X882" i="17"/>
  <c r="AD882" i="17" s="1"/>
  <c r="Y882" i="17"/>
  <c r="Z882" i="17"/>
  <c r="AA882" i="17"/>
  <c r="AB882" i="17"/>
  <c r="AC882" i="17"/>
  <c r="X883" i="17"/>
  <c r="AD883" i="17" s="1"/>
  <c r="Y883" i="17"/>
  <c r="Z883" i="17"/>
  <c r="AA883" i="17"/>
  <c r="AB883" i="17"/>
  <c r="AC883" i="17"/>
  <c r="X884" i="17"/>
  <c r="Y884" i="17"/>
  <c r="Z884" i="17"/>
  <c r="AA884" i="17"/>
  <c r="AB884" i="17"/>
  <c r="AC884" i="17"/>
  <c r="AD884" i="17"/>
  <c r="X885" i="17"/>
  <c r="Y885" i="17"/>
  <c r="Z885" i="17"/>
  <c r="AA885" i="17"/>
  <c r="AB885" i="17"/>
  <c r="AC885" i="17"/>
  <c r="AD885" i="17"/>
  <c r="X886" i="17"/>
  <c r="AD886" i="17" s="1"/>
  <c r="Y886" i="17"/>
  <c r="Z886" i="17"/>
  <c r="AA886" i="17"/>
  <c r="AB886" i="17"/>
  <c r="AC886" i="17"/>
  <c r="X887" i="17"/>
  <c r="AD887" i="17" s="1"/>
  <c r="Y887" i="17"/>
  <c r="Z887" i="17"/>
  <c r="AA887" i="17"/>
  <c r="AB887" i="17"/>
  <c r="AC887" i="17"/>
  <c r="X888" i="17"/>
  <c r="Y888" i="17"/>
  <c r="Z888" i="17"/>
  <c r="AA888" i="17"/>
  <c r="AB888" i="17"/>
  <c r="AC888" i="17"/>
  <c r="AD888" i="17"/>
  <c r="X889" i="17"/>
  <c r="Y889" i="17"/>
  <c r="Z889" i="17"/>
  <c r="AA889" i="17"/>
  <c r="AB889" i="17"/>
  <c r="AC889" i="17"/>
  <c r="AD889" i="17"/>
  <c r="X890" i="17"/>
  <c r="AD890" i="17" s="1"/>
  <c r="Y890" i="17"/>
  <c r="Z890" i="17"/>
  <c r="AA890" i="17"/>
  <c r="AB890" i="17"/>
  <c r="AC890" i="17"/>
  <c r="X891" i="17"/>
  <c r="AD891" i="17" s="1"/>
  <c r="Y891" i="17"/>
  <c r="Z891" i="17"/>
  <c r="AA891" i="17"/>
  <c r="AB891" i="17"/>
  <c r="AC891" i="17"/>
  <c r="X892" i="17"/>
  <c r="Y892" i="17"/>
  <c r="Z892" i="17"/>
  <c r="AA892" i="17"/>
  <c r="AB892" i="17"/>
  <c r="AC892" i="17"/>
  <c r="AD892" i="17"/>
  <c r="X893" i="17"/>
  <c r="Y893" i="17"/>
  <c r="Z893" i="17"/>
  <c r="AA893" i="17"/>
  <c r="AB893" i="17"/>
  <c r="AC893" i="17"/>
  <c r="AD893" i="17"/>
  <c r="X894" i="17"/>
  <c r="AD894" i="17" s="1"/>
  <c r="Y894" i="17"/>
  <c r="Z894" i="17"/>
  <c r="AA894" i="17"/>
  <c r="AB894" i="17"/>
  <c r="AC894" i="17"/>
  <c r="X895" i="17"/>
  <c r="AD895" i="17" s="1"/>
  <c r="Y895" i="17"/>
  <c r="Z895" i="17"/>
  <c r="AA895" i="17"/>
  <c r="AB895" i="17"/>
  <c r="AC895" i="17"/>
  <c r="X896" i="17"/>
  <c r="Y896" i="17"/>
  <c r="Z896" i="17"/>
  <c r="AA896" i="17"/>
  <c r="AB896" i="17"/>
  <c r="AC896" i="17"/>
  <c r="AD896" i="17"/>
  <c r="X897" i="17"/>
  <c r="Y897" i="17"/>
  <c r="Z897" i="17"/>
  <c r="AA897" i="17"/>
  <c r="AB897" i="17"/>
  <c r="AC897" i="17"/>
  <c r="AD897" i="17"/>
  <c r="X898" i="17"/>
  <c r="AD898" i="17" s="1"/>
  <c r="Y898" i="17"/>
  <c r="Z898" i="17"/>
  <c r="AA898" i="17"/>
  <c r="AB898" i="17"/>
  <c r="AC898" i="17"/>
  <c r="X899" i="17"/>
  <c r="AD899" i="17" s="1"/>
  <c r="Y899" i="17"/>
  <c r="Z899" i="17"/>
  <c r="AA899" i="17"/>
  <c r="AB899" i="17"/>
  <c r="AC899" i="17"/>
  <c r="X900" i="17"/>
  <c r="Y900" i="17"/>
  <c r="Z900" i="17"/>
  <c r="AA900" i="17"/>
  <c r="AB900" i="17"/>
  <c r="AC900" i="17"/>
  <c r="AD900" i="17"/>
  <c r="X901" i="17"/>
  <c r="Y901" i="17"/>
  <c r="Z901" i="17"/>
  <c r="AA901" i="17"/>
  <c r="AB901" i="17"/>
  <c r="AC901" i="17"/>
  <c r="AD901" i="17"/>
  <c r="X902" i="17"/>
  <c r="AD902" i="17" s="1"/>
  <c r="Y902" i="17"/>
  <c r="Z902" i="17"/>
  <c r="AA902" i="17"/>
  <c r="AB902" i="17"/>
  <c r="AC902" i="17"/>
  <c r="X903" i="17"/>
  <c r="AD903" i="17" s="1"/>
  <c r="Y903" i="17"/>
  <c r="Z903" i="17"/>
  <c r="AA903" i="17"/>
  <c r="AB903" i="17"/>
  <c r="AC903" i="17"/>
  <c r="X904" i="17"/>
  <c r="Y904" i="17"/>
  <c r="Z904" i="17"/>
  <c r="AA904" i="17"/>
  <c r="AB904" i="17"/>
  <c r="AC904" i="17"/>
  <c r="AD904" i="17"/>
  <c r="X905" i="17"/>
  <c r="Y905" i="17"/>
  <c r="Z905" i="17"/>
  <c r="AA905" i="17"/>
  <c r="AB905" i="17"/>
  <c r="AC905" i="17"/>
  <c r="AD905" i="17"/>
  <c r="X906" i="17"/>
  <c r="AD906" i="17" s="1"/>
  <c r="Y906" i="17"/>
  <c r="Z906" i="17"/>
  <c r="AA906" i="17"/>
  <c r="AB906" i="17"/>
  <c r="AC906" i="17"/>
  <c r="X907" i="17"/>
  <c r="AD907" i="17" s="1"/>
  <c r="Y907" i="17"/>
  <c r="Z907" i="17"/>
  <c r="AA907" i="17"/>
  <c r="AB907" i="17"/>
  <c r="AC907" i="17"/>
  <c r="X908" i="17"/>
  <c r="Y908" i="17"/>
  <c r="Z908" i="17"/>
  <c r="AA908" i="17"/>
  <c r="AB908" i="17"/>
  <c r="AC908" i="17"/>
  <c r="AD908" i="17"/>
  <c r="X909" i="17"/>
  <c r="Y909" i="17"/>
  <c r="Z909" i="17"/>
  <c r="AA909" i="17"/>
  <c r="AB909" i="17"/>
  <c r="AC909" i="17"/>
  <c r="AD909" i="17"/>
  <c r="X910" i="17"/>
  <c r="AD910" i="17" s="1"/>
  <c r="Y910" i="17"/>
  <c r="Z910" i="17"/>
  <c r="AA910" i="17"/>
  <c r="AB910" i="17"/>
  <c r="AC910" i="17"/>
  <c r="X911" i="17"/>
  <c r="AD911" i="17" s="1"/>
  <c r="Y911" i="17"/>
  <c r="Z911" i="17"/>
  <c r="AA911" i="17"/>
  <c r="AB911" i="17"/>
  <c r="AC911" i="17"/>
  <c r="X912" i="17"/>
  <c r="Y912" i="17"/>
  <c r="Z912" i="17"/>
  <c r="AA912" i="17"/>
  <c r="AB912" i="17"/>
  <c r="AC912" i="17"/>
  <c r="AD912" i="17"/>
  <c r="X913" i="17"/>
  <c r="Y913" i="17"/>
  <c r="Z913" i="17"/>
  <c r="AA913" i="17"/>
  <c r="AB913" i="17"/>
  <c r="AC913" i="17"/>
  <c r="AD913" i="17"/>
  <c r="X914" i="17"/>
  <c r="AD914" i="17" s="1"/>
  <c r="Y914" i="17"/>
  <c r="Z914" i="17"/>
  <c r="AA914" i="17"/>
  <c r="AB914" i="17"/>
  <c r="AC914" i="17"/>
  <c r="X915" i="17"/>
  <c r="AD915" i="17" s="1"/>
  <c r="Y915" i="17"/>
  <c r="Z915" i="17"/>
  <c r="AA915" i="17"/>
  <c r="AB915" i="17"/>
  <c r="AC915" i="17"/>
  <c r="X916" i="17"/>
  <c r="Y916" i="17"/>
  <c r="Z916" i="17"/>
  <c r="AA916" i="17"/>
  <c r="AB916" i="17"/>
  <c r="AC916" i="17"/>
  <c r="AD916" i="17"/>
  <c r="X917" i="17"/>
  <c r="Y917" i="17"/>
  <c r="Z917" i="17"/>
  <c r="AA917" i="17"/>
  <c r="AB917" i="17"/>
  <c r="AC917" i="17"/>
  <c r="AD917" i="17"/>
  <c r="X918" i="17"/>
  <c r="AD918" i="17" s="1"/>
  <c r="Y918" i="17"/>
  <c r="Z918" i="17"/>
  <c r="AA918" i="17"/>
  <c r="AB918" i="17"/>
  <c r="AC918" i="17"/>
  <c r="X919" i="17"/>
  <c r="AD919" i="17" s="1"/>
  <c r="Y919" i="17"/>
  <c r="Z919" i="17"/>
  <c r="AA919" i="17"/>
  <c r="AB919" i="17"/>
  <c r="AC919" i="17"/>
  <c r="X920" i="17"/>
  <c r="Y920" i="17"/>
  <c r="Z920" i="17"/>
  <c r="AA920" i="17"/>
  <c r="AB920" i="17"/>
  <c r="AC920" i="17"/>
  <c r="AD920" i="17"/>
  <c r="X921" i="17"/>
  <c r="Y921" i="17"/>
  <c r="Z921" i="17"/>
  <c r="AA921" i="17"/>
  <c r="AB921" i="17"/>
  <c r="AC921" i="17"/>
  <c r="AD921" i="17"/>
  <c r="X922" i="17"/>
  <c r="AD922" i="17" s="1"/>
  <c r="Y922" i="17"/>
  <c r="Z922" i="17"/>
  <c r="AA922" i="17"/>
  <c r="AB922" i="17"/>
  <c r="AC922" i="17"/>
  <c r="X923" i="17"/>
  <c r="AD923" i="17" s="1"/>
  <c r="Y923" i="17"/>
  <c r="Z923" i="17"/>
  <c r="AA923" i="17"/>
  <c r="AB923" i="17"/>
  <c r="AC923" i="17"/>
  <c r="X924" i="17"/>
  <c r="Y924" i="17"/>
  <c r="Z924" i="17"/>
  <c r="AA924" i="17"/>
  <c r="AB924" i="17"/>
  <c r="AC924" i="17"/>
  <c r="AD924" i="17"/>
  <c r="X925" i="17"/>
  <c r="Y925" i="17"/>
  <c r="Z925" i="17"/>
  <c r="AA925" i="17"/>
  <c r="AB925" i="17"/>
  <c r="AC925" i="17"/>
  <c r="AD925" i="17"/>
  <c r="X926" i="17"/>
  <c r="AD926" i="17" s="1"/>
  <c r="Y926" i="17"/>
  <c r="Z926" i="17"/>
  <c r="AA926" i="17"/>
  <c r="AB926" i="17"/>
  <c r="AC926" i="17"/>
  <c r="X927" i="17"/>
  <c r="AD927" i="17" s="1"/>
  <c r="Y927" i="17"/>
  <c r="Z927" i="17"/>
  <c r="AA927" i="17"/>
  <c r="AB927" i="17"/>
  <c r="AC927" i="17"/>
  <c r="X928" i="17"/>
  <c r="Y928" i="17"/>
  <c r="Z928" i="17"/>
  <c r="AA928" i="17"/>
  <c r="AB928" i="17"/>
  <c r="AC928" i="17"/>
  <c r="AD928" i="17"/>
  <c r="X929" i="17"/>
  <c r="Y929" i="17"/>
  <c r="Z929" i="17"/>
  <c r="AA929" i="17"/>
  <c r="AB929" i="17"/>
  <c r="AC929" i="17"/>
  <c r="AD929" i="17"/>
  <c r="X930" i="17"/>
  <c r="AD930" i="17" s="1"/>
  <c r="Y930" i="17"/>
  <c r="Z930" i="17"/>
  <c r="AA930" i="17"/>
  <c r="AB930" i="17"/>
  <c r="AC930" i="17"/>
  <c r="X931" i="17"/>
  <c r="AD931" i="17" s="1"/>
  <c r="Y931" i="17"/>
  <c r="Z931" i="17"/>
  <c r="AA931" i="17"/>
  <c r="AB931" i="17"/>
  <c r="AC931" i="17"/>
  <c r="X932" i="17"/>
  <c r="Y932" i="17"/>
  <c r="Z932" i="17"/>
  <c r="AA932" i="17"/>
  <c r="AB932" i="17"/>
  <c r="AC932" i="17"/>
  <c r="AD932" i="17"/>
  <c r="X933" i="17"/>
  <c r="Y933" i="17"/>
  <c r="Z933" i="17"/>
  <c r="AA933" i="17"/>
  <c r="AB933" i="17"/>
  <c r="AC933" i="17"/>
  <c r="AD933" i="17"/>
  <c r="X934" i="17"/>
  <c r="AD934" i="17" s="1"/>
  <c r="Y934" i="17"/>
  <c r="Z934" i="17"/>
  <c r="AA934" i="17"/>
  <c r="AB934" i="17"/>
  <c r="AC934" i="17"/>
  <c r="X935" i="17"/>
  <c r="AD935" i="17" s="1"/>
  <c r="Y935" i="17"/>
  <c r="Z935" i="17"/>
  <c r="AA935" i="17"/>
  <c r="AB935" i="17"/>
  <c r="AC935" i="17"/>
  <c r="X936" i="17"/>
  <c r="Y936" i="17"/>
  <c r="Z936" i="17"/>
  <c r="AA936" i="17"/>
  <c r="AB936" i="17"/>
  <c r="AC936" i="17"/>
  <c r="AD936" i="17"/>
  <c r="X937" i="17"/>
  <c r="Y937" i="17"/>
  <c r="Z937" i="17"/>
  <c r="AA937" i="17"/>
  <c r="AB937" i="17"/>
  <c r="AC937" i="17"/>
  <c r="AD937" i="17"/>
  <c r="X938" i="17"/>
  <c r="AD938" i="17" s="1"/>
  <c r="Y938" i="17"/>
  <c r="Z938" i="17"/>
  <c r="AA938" i="17"/>
  <c r="AB938" i="17"/>
  <c r="AC938" i="17"/>
  <c r="X939" i="17"/>
  <c r="AD939" i="17" s="1"/>
  <c r="Y939" i="17"/>
  <c r="Z939" i="17"/>
  <c r="AA939" i="17"/>
  <c r="AB939" i="17"/>
  <c r="AC939" i="17"/>
  <c r="X940" i="17"/>
  <c r="Y940" i="17"/>
  <c r="Z940" i="17"/>
  <c r="AA940" i="17"/>
  <c r="AB940" i="17"/>
  <c r="AC940" i="17"/>
  <c r="AD940" i="17"/>
  <c r="X941" i="17"/>
  <c r="Y941" i="17"/>
  <c r="Z941" i="17"/>
  <c r="AA941" i="17"/>
  <c r="AB941" i="17"/>
  <c r="AC941" i="17"/>
  <c r="AD941" i="17"/>
  <c r="X942" i="17"/>
  <c r="AD942" i="17" s="1"/>
  <c r="Y942" i="17"/>
  <c r="Z942" i="17"/>
  <c r="AA942" i="17"/>
  <c r="AB942" i="17"/>
  <c r="AC942" i="17"/>
  <c r="X943" i="17"/>
  <c r="AD943" i="17" s="1"/>
  <c r="Y943" i="17"/>
  <c r="Z943" i="17"/>
  <c r="AA943" i="17"/>
  <c r="AB943" i="17"/>
  <c r="AC943" i="17"/>
  <c r="X944" i="17"/>
  <c r="Y944" i="17"/>
  <c r="Z944" i="17"/>
  <c r="AA944" i="17"/>
  <c r="AB944" i="17"/>
  <c r="AC944" i="17"/>
  <c r="AD944" i="17"/>
  <c r="X945" i="17"/>
  <c r="Y945" i="17"/>
  <c r="Z945" i="17"/>
  <c r="AA945" i="17"/>
  <c r="AB945" i="17"/>
  <c r="AC945" i="17"/>
  <c r="AD945" i="17"/>
  <c r="X946" i="17"/>
  <c r="AD946" i="17" s="1"/>
  <c r="Y946" i="17"/>
  <c r="Z946" i="17"/>
  <c r="AA946" i="17"/>
  <c r="AB946" i="17"/>
  <c r="AC946" i="17"/>
  <c r="X947" i="17"/>
  <c r="Y947" i="17"/>
  <c r="Z947" i="17"/>
  <c r="AA947" i="17"/>
  <c r="AB947" i="17"/>
  <c r="AC947" i="17"/>
  <c r="AD947" i="17"/>
  <c r="X948" i="17"/>
  <c r="Y948" i="17"/>
  <c r="Z948" i="17"/>
  <c r="AA948" i="17"/>
  <c r="AB948" i="17"/>
  <c r="AC948" i="17"/>
  <c r="AD948" i="17"/>
  <c r="X949" i="17"/>
  <c r="Y949" i="17"/>
  <c r="Z949" i="17"/>
  <c r="AA949" i="17"/>
  <c r="AB949" i="17"/>
  <c r="AC949" i="17"/>
  <c r="AD949" i="17"/>
  <c r="X950" i="17"/>
  <c r="AD950" i="17" s="1"/>
  <c r="Y950" i="17"/>
  <c r="Z950" i="17"/>
  <c r="AA950" i="17"/>
  <c r="AB950" i="17"/>
  <c r="AC950" i="17"/>
  <c r="X951" i="17"/>
  <c r="AD951" i="17" s="1"/>
  <c r="Y951" i="17"/>
  <c r="Z951" i="17"/>
  <c r="AA951" i="17"/>
  <c r="AB951" i="17"/>
  <c r="AC951" i="17"/>
  <c r="X952" i="17"/>
  <c r="Y952" i="17"/>
  <c r="Z952" i="17"/>
  <c r="AA952" i="17"/>
  <c r="AB952" i="17"/>
  <c r="AC952" i="17"/>
  <c r="AD952" i="17"/>
  <c r="X953" i="17"/>
  <c r="Y953" i="17"/>
  <c r="Z953" i="17"/>
  <c r="AA953" i="17"/>
  <c r="AB953" i="17"/>
  <c r="AC953" i="17"/>
  <c r="AD953" i="17"/>
  <c r="X954" i="17"/>
  <c r="AD954" i="17" s="1"/>
  <c r="Y954" i="17"/>
  <c r="Z954" i="17"/>
  <c r="AA954" i="17"/>
  <c r="AB954" i="17"/>
  <c r="AC954" i="17"/>
  <c r="X955" i="17"/>
  <c r="Y955" i="17"/>
  <c r="Z955" i="17"/>
  <c r="AA955" i="17"/>
  <c r="AB955" i="17"/>
  <c r="AC955" i="17"/>
  <c r="AD955" i="17"/>
  <c r="X956" i="17"/>
  <c r="Y956" i="17"/>
  <c r="Z956" i="17"/>
  <c r="AA956" i="17"/>
  <c r="AB956" i="17"/>
  <c r="AC956" i="17"/>
  <c r="AD956" i="17"/>
  <c r="X957" i="17"/>
  <c r="Y957" i="17"/>
  <c r="Z957" i="17"/>
  <c r="AA957" i="17"/>
  <c r="AB957" i="17"/>
  <c r="AC957" i="17"/>
  <c r="AD957" i="17"/>
  <c r="X958" i="17"/>
  <c r="AD958" i="17" s="1"/>
  <c r="Y958" i="17"/>
  <c r="Z958" i="17"/>
  <c r="AA958" i="17"/>
  <c r="AB958" i="17"/>
  <c r="AC958" i="17"/>
  <c r="X959" i="17"/>
  <c r="AD959" i="17" s="1"/>
  <c r="Y959" i="17"/>
  <c r="Z959" i="17"/>
  <c r="AA959" i="17"/>
  <c r="AB959" i="17"/>
  <c r="AC959" i="17"/>
  <c r="X960" i="17"/>
  <c r="Y960" i="17"/>
  <c r="Z960" i="17"/>
  <c r="AA960" i="17"/>
  <c r="AB960" i="17"/>
  <c r="AC960" i="17"/>
  <c r="AD960" i="17"/>
  <c r="X961" i="17"/>
  <c r="Y961" i="17"/>
  <c r="Z961" i="17"/>
  <c r="AA961" i="17"/>
  <c r="AB961" i="17"/>
  <c r="AC961" i="17"/>
  <c r="AD961" i="17"/>
  <c r="X962" i="17"/>
  <c r="AD962" i="17" s="1"/>
  <c r="Y962" i="17"/>
  <c r="Z962" i="17"/>
  <c r="AA962" i="17"/>
  <c r="AB962" i="17"/>
  <c r="AC962" i="17"/>
  <c r="X963" i="17"/>
  <c r="Y963" i="17"/>
  <c r="Z963" i="17"/>
  <c r="AA963" i="17"/>
  <c r="AB963" i="17"/>
  <c r="AC963" i="17"/>
  <c r="AD963" i="17"/>
  <c r="X964" i="17"/>
  <c r="Y964" i="17"/>
  <c r="Z964" i="17"/>
  <c r="AA964" i="17"/>
  <c r="AB964" i="17"/>
  <c r="AC964" i="17"/>
  <c r="AD964" i="17"/>
  <c r="X965" i="17"/>
  <c r="Y965" i="17"/>
  <c r="Z965" i="17"/>
  <c r="AA965" i="17"/>
  <c r="AB965" i="17"/>
  <c r="AC965" i="17"/>
  <c r="AD965" i="17"/>
  <c r="X966" i="17"/>
  <c r="AD966" i="17" s="1"/>
  <c r="Y966" i="17"/>
  <c r="Z966" i="17"/>
  <c r="AA966" i="17"/>
  <c r="AB966" i="17"/>
  <c r="AC966" i="17"/>
  <c r="X967" i="17"/>
  <c r="AD967" i="17" s="1"/>
  <c r="Y967" i="17"/>
  <c r="Z967" i="17"/>
  <c r="AA967" i="17"/>
  <c r="AB967" i="17"/>
  <c r="AC967" i="17"/>
  <c r="X968" i="17"/>
  <c r="Y968" i="17"/>
  <c r="Z968" i="17"/>
  <c r="AA968" i="17"/>
  <c r="AB968" i="17"/>
  <c r="AC968" i="17"/>
  <c r="AD968" i="17"/>
  <c r="X969" i="17"/>
  <c r="Y969" i="17"/>
  <c r="Z969" i="17"/>
  <c r="AA969" i="17"/>
  <c r="AB969" i="17"/>
  <c r="AC969" i="17"/>
  <c r="AD969" i="17"/>
  <c r="X970" i="17"/>
  <c r="AD970" i="17" s="1"/>
  <c r="Y970" i="17"/>
  <c r="Z970" i="17"/>
  <c r="AA970" i="17"/>
  <c r="AB970" i="17"/>
  <c r="AC970" i="17"/>
  <c r="X971" i="17"/>
  <c r="Y971" i="17"/>
  <c r="Z971" i="17"/>
  <c r="AA971" i="17"/>
  <c r="AB971" i="17"/>
  <c r="AC971" i="17"/>
  <c r="AD971" i="17"/>
  <c r="X972" i="17"/>
  <c r="Y972" i="17"/>
  <c r="Z972" i="17"/>
  <c r="AA972" i="17"/>
  <c r="AB972" i="17"/>
  <c r="AC972" i="17"/>
  <c r="AD972" i="17"/>
  <c r="X973" i="17"/>
  <c r="Y973" i="17"/>
  <c r="Z973" i="17"/>
  <c r="AA973" i="17"/>
  <c r="AB973" i="17"/>
  <c r="AC973" i="17"/>
  <c r="AD973" i="17"/>
  <c r="X974" i="17"/>
  <c r="AD974" i="17" s="1"/>
  <c r="Y974" i="17"/>
  <c r="Z974" i="17"/>
  <c r="AA974" i="17"/>
  <c r="AB974" i="17"/>
  <c r="AC974" i="17"/>
  <c r="X975" i="17"/>
  <c r="AD975" i="17" s="1"/>
  <c r="Y975" i="17"/>
  <c r="Z975" i="17"/>
  <c r="AA975" i="17"/>
  <c r="AB975" i="17"/>
  <c r="AC975" i="17"/>
  <c r="X976" i="17"/>
  <c r="Y976" i="17"/>
  <c r="Z976" i="17"/>
  <c r="AA976" i="17"/>
  <c r="AB976" i="17"/>
  <c r="AC976" i="17"/>
  <c r="AD976" i="17"/>
  <c r="X977" i="17"/>
  <c r="Y977" i="17"/>
  <c r="Z977" i="17"/>
  <c r="AA977" i="17"/>
  <c r="AB977" i="17"/>
  <c r="AC977" i="17"/>
  <c r="AD977" i="17"/>
  <c r="X978" i="17"/>
  <c r="AD978" i="17" s="1"/>
  <c r="Y978" i="17"/>
  <c r="Z978" i="17"/>
  <c r="AA978" i="17"/>
  <c r="AB978" i="17"/>
  <c r="AC978" i="17"/>
  <c r="X979" i="17"/>
  <c r="Y979" i="17"/>
  <c r="Z979" i="17"/>
  <c r="AA979" i="17"/>
  <c r="AB979" i="17"/>
  <c r="AC979" i="17"/>
  <c r="AD979" i="17"/>
  <c r="X980" i="17"/>
  <c r="Y980" i="17"/>
  <c r="Z980" i="17"/>
  <c r="AA980" i="17"/>
  <c r="AB980" i="17"/>
  <c r="AC980" i="17"/>
  <c r="AD980" i="17"/>
  <c r="X981" i="17"/>
  <c r="Y981" i="17"/>
  <c r="Z981" i="17"/>
  <c r="AA981" i="17"/>
  <c r="AB981" i="17"/>
  <c r="AC981" i="17"/>
  <c r="AD981" i="17"/>
  <c r="X982" i="17"/>
  <c r="AD982" i="17" s="1"/>
  <c r="Y982" i="17"/>
  <c r="Z982" i="17"/>
  <c r="AA982" i="17"/>
  <c r="AB982" i="17"/>
  <c r="AC982" i="17"/>
  <c r="X983" i="17"/>
  <c r="AD983" i="17" s="1"/>
  <c r="Y983" i="17"/>
  <c r="Z983" i="17"/>
  <c r="AA983" i="17"/>
  <c r="AB983" i="17"/>
  <c r="AC983" i="17"/>
  <c r="X984" i="17"/>
  <c r="Y984" i="17"/>
  <c r="Z984" i="17"/>
  <c r="AA984" i="17"/>
  <c r="AB984" i="17"/>
  <c r="AC984" i="17"/>
  <c r="AD984" i="17"/>
  <c r="X985" i="17"/>
  <c r="Y985" i="17"/>
  <c r="Z985" i="17"/>
  <c r="AA985" i="17"/>
  <c r="AB985" i="17"/>
  <c r="AC985" i="17"/>
  <c r="AD985" i="17"/>
  <c r="X986" i="17"/>
  <c r="AD986" i="17" s="1"/>
  <c r="Y986" i="17"/>
  <c r="Z986" i="17"/>
  <c r="AA986" i="17"/>
  <c r="AB986" i="17"/>
  <c r="AC986" i="17"/>
  <c r="X987" i="17"/>
  <c r="AD987" i="17" s="1"/>
  <c r="Y987" i="17"/>
  <c r="Z987" i="17"/>
  <c r="AA987" i="17"/>
  <c r="AB987" i="17"/>
  <c r="AC987" i="17"/>
  <c r="X988" i="17"/>
  <c r="Y988" i="17"/>
  <c r="Z988" i="17"/>
  <c r="AA988" i="17"/>
  <c r="AB988" i="17"/>
  <c r="AC988" i="17"/>
  <c r="AD988" i="17"/>
  <c r="X989" i="17"/>
  <c r="Y989" i="17"/>
  <c r="Z989" i="17"/>
  <c r="AA989" i="17"/>
  <c r="AB989" i="17"/>
  <c r="AC989" i="17"/>
  <c r="AD989" i="17"/>
  <c r="X990" i="17"/>
  <c r="AD990" i="17" s="1"/>
  <c r="Y990" i="17"/>
  <c r="Z990" i="17"/>
  <c r="AA990" i="17"/>
  <c r="AB990" i="17"/>
  <c r="AC990" i="17"/>
  <c r="X991" i="17"/>
  <c r="AD991" i="17" s="1"/>
  <c r="Y991" i="17"/>
  <c r="Z991" i="17"/>
  <c r="AA991" i="17"/>
  <c r="AB991" i="17"/>
  <c r="AC991" i="17"/>
  <c r="X992" i="17"/>
  <c r="Y992" i="17"/>
  <c r="Z992" i="17"/>
  <c r="AA992" i="17"/>
  <c r="AB992" i="17"/>
  <c r="AC992" i="17"/>
  <c r="AD992" i="17"/>
  <c r="X993" i="17"/>
  <c r="Y993" i="17"/>
  <c r="Z993" i="17"/>
  <c r="AA993" i="17"/>
  <c r="AB993" i="17"/>
  <c r="AC993" i="17"/>
  <c r="AD993" i="17"/>
  <c r="X994" i="17"/>
  <c r="AD994" i="17" s="1"/>
  <c r="Y994" i="17"/>
  <c r="Z994" i="17"/>
  <c r="AA994" i="17"/>
  <c r="AB994" i="17"/>
  <c r="AC994" i="17"/>
  <c r="X995" i="17"/>
  <c r="AD995" i="17" s="1"/>
  <c r="Y995" i="17"/>
  <c r="Z995" i="17"/>
  <c r="AA995" i="17"/>
  <c r="AB995" i="17"/>
  <c r="AC995" i="17"/>
  <c r="X996" i="17"/>
  <c r="Y996" i="17"/>
  <c r="Z996" i="17"/>
  <c r="AA996" i="17"/>
  <c r="AB996" i="17"/>
  <c r="AC996" i="17"/>
  <c r="AD996" i="17"/>
  <c r="X997" i="17"/>
  <c r="Y997" i="17"/>
  <c r="Z997" i="17"/>
  <c r="AA997" i="17"/>
  <c r="AB997" i="17"/>
  <c r="AC997" i="17"/>
  <c r="AD997" i="17"/>
  <c r="X998" i="17"/>
  <c r="AD998" i="17" s="1"/>
  <c r="Y998" i="17"/>
  <c r="Z998" i="17"/>
  <c r="AA998" i="17"/>
  <c r="AB998" i="17"/>
  <c r="AC998" i="17"/>
  <c r="X999" i="17"/>
  <c r="AD999" i="17" s="1"/>
  <c r="Y999" i="17"/>
  <c r="Z999" i="17"/>
  <c r="AA999" i="17"/>
  <c r="AB999" i="17"/>
  <c r="AC999" i="17"/>
  <c r="X1000" i="17"/>
  <c r="Y1000" i="17"/>
  <c r="Z1000" i="17"/>
  <c r="AA1000" i="17"/>
  <c r="AB1000" i="17"/>
  <c r="AC1000" i="17"/>
  <c r="AD1000" i="17"/>
  <c r="AA7" i="17"/>
  <c r="AB7" i="17"/>
  <c r="AC7" i="17"/>
  <c r="A5" i="20"/>
  <c r="G23" i="21"/>
  <c r="I23" i="21"/>
  <c r="D23" i="21"/>
  <c r="D21" i="21"/>
  <c r="H9" i="21"/>
  <c r="I9" i="21"/>
  <c r="J9" i="21"/>
  <c r="D19" i="21"/>
  <c r="D18" i="21"/>
  <c r="D17" i="21"/>
  <c r="D16" i="21"/>
  <c r="D15" i="21"/>
  <c r="D14" i="21"/>
  <c r="D13" i="21"/>
  <c r="D12" i="21"/>
  <c r="D11" i="21"/>
  <c r="D10" i="21"/>
  <c r="D23" i="6" l="1"/>
  <c r="K10" i="6"/>
  <c r="N9" i="6"/>
  <c r="C4" i="18"/>
  <c r="N2" i="17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108" i="17"/>
  <c r="N109" i="17"/>
  <c r="N110" i="17"/>
  <c r="N111" i="17"/>
  <c r="N112" i="17"/>
  <c r="N113" i="17"/>
  <c r="N114" i="17"/>
  <c r="N115" i="17"/>
  <c r="N116" i="17"/>
  <c r="N117" i="17"/>
  <c r="N118" i="17"/>
  <c r="N119" i="17"/>
  <c r="N120" i="17"/>
  <c r="N121" i="17"/>
  <c r="N122" i="17"/>
  <c r="N123" i="17"/>
  <c r="N124" i="17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39" i="17"/>
  <c r="N140" i="17"/>
  <c r="N141" i="17"/>
  <c r="N142" i="17"/>
  <c r="N143" i="17"/>
  <c r="N144" i="17"/>
  <c r="N145" i="17"/>
  <c r="N146" i="17"/>
  <c r="N147" i="17"/>
  <c r="N148" i="17"/>
  <c r="N149" i="17"/>
  <c r="N150" i="17"/>
  <c r="N151" i="17"/>
  <c r="N152" i="17"/>
  <c r="N153" i="17"/>
  <c r="N154" i="17"/>
  <c r="N155" i="17"/>
  <c r="N156" i="17"/>
  <c r="N157" i="17"/>
  <c r="N158" i="17"/>
  <c r="N159" i="17"/>
  <c r="N160" i="17"/>
  <c r="N161" i="17"/>
  <c r="N162" i="17"/>
  <c r="N163" i="17"/>
  <c r="N164" i="17"/>
  <c r="N165" i="17"/>
  <c r="N166" i="17"/>
  <c r="N167" i="17"/>
  <c r="N168" i="17"/>
  <c r="N169" i="17"/>
  <c r="N170" i="17"/>
  <c r="N171" i="17"/>
  <c r="N172" i="17"/>
  <c r="N173" i="17"/>
  <c r="N174" i="17"/>
  <c r="N175" i="17"/>
  <c r="N176" i="17"/>
  <c r="N177" i="17"/>
  <c r="N178" i="17"/>
  <c r="N179" i="17"/>
  <c r="N180" i="17"/>
  <c r="N181" i="17"/>
  <c r="N182" i="17"/>
  <c r="N183" i="17"/>
  <c r="N184" i="17"/>
  <c r="N185" i="17"/>
  <c r="N186" i="17"/>
  <c r="N187" i="17"/>
  <c r="N188" i="17"/>
  <c r="N189" i="17"/>
  <c r="N190" i="17"/>
  <c r="N191" i="17"/>
  <c r="N192" i="17"/>
  <c r="N193" i="17"/>
  <c r="N194" i="17"/>
  <c r="N195" i="17"/>
  <c r="N196" i="17"/>
  <c r="N197" i="17"/>
  <c r="N198" i="17"/>
  <c r="N199" i="17"/>
  <c r="N200" i="17"/>
  <c r="N201" i="17"/>
  <c r="N202" i="17"/>
  <c r="N203" i="17"/>
  <c r="N204" i="17"/>
  <c r="N205" i="17"/>
  <c r="N206" i="17"/>
  <c r="N207" i="17"/>
  <c r="N208" i="17"/>
  <c r="N209" i="17"/>
  <c r="N210" i="17"/>
  <c r="N211" i="17"/>
  <c r="N212" i="17"/>
  <c r="N213" i="17"/>
  <c r="N214" i="17"/>
  <c r="N215" i="17"/>
  <c r="N216" i="17"/>
  <c r="N217" i="17"/>
  <c r="N218" i="17"/>
  <c r="N219" i="17"/>
  <c r="N220" i="17"/>
  <c r="N221" i="17"/>
  <c r="N222" i="17"/>
  <c r="N223" i="17"/>
  <c r="N224" i="17"/>
  <c r="N225" i="17"/>
  <c r="N226" i="17"/>
  <c r="N227" i="17"/>
  <c r="N228" i="17"/>
  <c r="N229" i="17"/>
  <c r="N230" i="17"/>
  <c r="N231" i="17"/>
  <c r="N232" i="17"/>
  <c r="N233" i="17"/>
  <c r="N234" i="17"/>
  <c r="N235" i="17"/>
  <c r="N236" i="17"/>
  <c r="N237" i="17"/>
  <c r="N238" i="17"/>
  <c r="N239" i="17"/>
  <c r="N240" i="17"/>
  <c r="N241" i="17"/>
  <c r="N242" i="17"/>
  <c r="N243" i="17"/>
  <c r="N244" i="17"/>
  <c r="N245" i="17"/>
  <c r="N246" i="17"/>
  <c r="N247" i="17"/>
  <c r="N248" i="17"/>
  <c r="N249" i="17"/>
  <c r="N250" i="17"/>
  <c r="N251" i="17"/>
  <c r="N252" i="17"/>
  <c r="N253" i="17"/>
  <c r="N254" i="17"/>
  <c r="N255" i="17"/>
  <c r="N256" i="17"/>
  <c r="N257" i="17"/>
  <c r="N258" i="17"/>
  <c r="N259" i="17"/>
  <c r="N260" i="17"/>
  <c r="N261" i="17"/>
  <c r="N262" i="17"/>
  <c r="N263" i="17"/>
  <c r="N264" i="17"/>
  <c r="N265" i="17"/>
  <c r="N266" i="17"/>
  <c r="N267" i="17"/>
  <c r="N268" i="17"/>
  <c r="N269" i="17"/>
  <c r="N270" i="17"/>
  <c r="N271" i="17"/>
  <c r="N272" i="17"/>
  <c r="N273" i="17"/>
  <c r="N274" i="17"/>
  <c r="N275" i="17"/>
  <c r="N276" i="17"/>
  <c r="N277" i="17"/>
  <c r="N278" i="17"/>
  <c r="N279" i="17"/>
  <c r="N280" i="17"/>
  <c r="N281" i="17"/>
  <c r="N282" i="17"/>
  <c r="N283" i="17"/>
  <c r="N284" i="17"/>
  <c r="N285" i="17"/>
  <c r="N286" i="17"/>
  <c r="N287" i="17"/>
  <c r="N288" i="17"/>
  <c r="N289" i="17"/>
  <c r="N290" i="17"/>
  <c r="N291" i="17"/>
  <c r="N292" i="17"/>
  <c r="N293" i="17"/>
  <c r="N294" i="17"/>
  <c r="N295" i="17"/>
  <c r="N296" i="17"/>
  <c r="N297" i="17"/>
  <c r="N298" i="17"/>
  <c r="N299" i="17"/>
  <c r="N300" i="17"/>
  <c r="N301" i="17"/>
  <c r="N302" i="17"/>
  <c r="N303" i="17"/>
  <c r="N304" i="17"/>
  <c r="N305" i="17"/>
  <c r="N306" i="17"/>
  <c r="N307" i="17"/>
  <c r="N308" i="17"/>
  <c r="N309" i="17"/>
  <c r="N310" i="17"/>
  <c r="N311" i="17"/>
  <c r="N312" i="17"/>
  <c r="N313" i="17"/>
  <c r="N314" i="17"/>
  <c r="N315" i="17"/>
  <c r="N316" i="17"/>
  <c r="N317" i="17"/>
  <c r="N318" i="17"/>
  <c r="N319" i="17"/>
  <c r="N320" i="17"/>
  <c r="N321" i="17"/>
  <c r="N322" i="17"/>
  <c r="N323" i="17"/>
  <c r="N324" i="17"/>
  <c r="N325" i="17"/>
  <c r="N326" i="17"/>
  <c r="N327" i="17"/>
  <c r="N328" i="17"/>
  <c r="N329" i="17"/>
  <c r="N330" i="17"/>
  <c r="N331" i="17"/>
  <c r="N332" i="17"/>
  <c r="N333" i="17"/>
  <c r="N334" i="17"/>
  <c r="N335" i="17"/>
  <c r="N336" i="17"/>
  <c r="N337" i="17"/>
  <c r="N338" i="17"/>
  <c r="N339" i="17"/>
  <c r="N340" i="17"/>
  <c r="N341" i="17"/>
  <c r="N342" i="17"/>
  <c r="N343" i="17"/>
  <c r="N344" i="17"/>
  <c r="N345" i="17"/>
  <c r="N346" i="17"/>
  <c r="N347" i="17"/>
  <c r="N348" i="17"/>
  <c r="N349" i="17"/>
  <c r="N350" i="17"/>
  <c r="N351" i="17"/>
  <c r="N352" i="17"/>
  <c r="N353" i="17"/>
  <c r="N354" i="17"/>
  <c r="N355" i="17"/>
  <c r="N356" i="17"/>
  <c r="N357" i="17"/>
  <c r="N358" i="17"/>
  <c r="N359" i="17"/>
  <c r="N360" i="17"/>
  <c r="N361" i="17"/>
  <c r="N362" i="17"/>
  <c r="N363" i="17"/>
  <c r="N364" i="17"/>
  <c r="N365" i="17"/>
  <c r="N366" i="17"/>
  <c r="N367" i="17"/>
  <c r="N368" i="17"/>
  <c r="N369" i="17"/>
  <c r="N370" i="17"/>
  <c r="N371" i="17"/>
  <c r="N372" i="17"/>
  <c r="N373" i="17"/>
  <c r="N374" i="17"/>
  <c r="N375" i="17"/>
  <c r="N376" i="17"/>
  <c r="N377" i="17"/>
  <c r="N378" i="17"/>
  <c r="N379" i="17"/>
  <c r="N380" i="17"/>
  <c r="N381" i="17"/>
  <c r="N382" i="17"/>
  <c r="N383" i="17"/>
  <c r="N384" i="17"/>
  <c r="N385" i="17"/>
  <c r="N386" i="17"/>
  <c r="N387" i="17"/>
  <c r="N388" i="17"/>
  <c r="N389" i="17"/>
  <c r="N390" i="17"/>
  <c r="N391" i="17"/>
  <c r="N392" i="17"/>
  <c r="N393" i="17"/>
  <c r="N394" i="17"/>
  <c r="N395" i="17"/>
  <c r="N396" i="17"/>
  <c r="N397" i="17"/>
  <c r="N398" i="17"/>
  <c r="N399" i="17"/>
  <c r="N400" i="17"/>
  <c r="N401" i="17"/>
  <c r="N402" i="17"/>
  <c r="N403" i="17"/>
  <c r="N404" i="17"/>
  <c r="N405" i="17"/>
  <c r="N406" i="17"/>
  <c r="N407" i="17"/>
  <c r="N408" i="17"/>
  <c r="N409" i="17"/>
  <c r="N410" i="17"/>
  <c r="N411" i="17"/>
  <c r="N412" i="17"/>
  <c r="N413" i="17"/>
  <c r="N414" i="17"/>
  <c r="N415" i="17"/>
  <c r="N416" i="17"/>
  <c r="N417" i="17"/>
  <c r="N418" i="17"/>
  <c r="N419" i="17"/>
  <c r="N420" i="17"/>
  <c r="N421" i="17"/>
  <c r="N422" i="17"/>
  <c r="N423" i="17"/>
  <c r="N424" i="17"/>
  <c r="N425" i="17"/>
  <c r="N426" i="17"/>
  <c r="N427" i="17"/>
  <c r="N428" i="17"/>
  <c r="N429" i="17"/>
  <c r="N430" i="17"/>
  <c r="N431" i="17"/>
  <c r="N432" i="17"/>
  <c r="N433" i="17"/>
  <c r="N434" i="17"/>
  <c r="N435" i="17"/>
  <c r="N436" i="17"/>
  <c r="N437" i="17"/>
  <c r="N438" i="17"/>
  <c r="N439" i="17"/>
  <c r="N440" i="17"/>
  <c r="N441" i="17"/>
  <c r="N442" i="17"/>
  <c r="N443" i="17"/>
  <c r="N444" i="17"/>
  <c r="N445" i="17"/>
  <c r="N446" i="17"/>
  <c r="N447" i="17"/>
  <c r="N448" i="17"/>
  <c r="N449" i="17"/>
  <c r="N450" i="17"/>
  <c r="N451" i="17"/>
  <c r="N452" i="17"/>
  <c r="N453" i="17"/>
  <c r="N454" i="17"/>
  <c r="N455" i="17"/>
  <c r="N456" i="17"/>
  <c r="N457" i="17"/>
  <c r="N458" i="17"/>
  <c r="N459" i="17"/>
  <c r="N460" i="17"/>
  <c r="N461" i="17"/>
  <c r="N462" i="17"/>
  <c r="N463" i="17"/>
  <c r="N464" i="17"/>
  <c r="N465" i="17"/>
  <c r="N466" i="17"/>
  <c r="N467" i="17"/>
  <c r="N468" i="17"/>
  <c r="N469" i="17"/>
  <c r="N470" i="17"/>
  <c r="N471" i="17"/>
  <c r="N472" i="17"/>
  <c r="N473" i="17"/>
  <c r="N474" i="17"/>
  <c r="N475" i="17"/>
  <c r="N476" i="17"/>
  <c r="N477" i="17"/>
  <c r="N478" i="17"/>
  <c r="N479" i="17"/>
  <c r="N480" i="17"/>
  <c r="N481" i="17"/>
  <c r="N482" i="17"/>
  <c r="N483" i="17"/>
  <c r="N484" i="17"/>
  <c r="N485" i="17"/>
  <c r="N486" i="17"/>
  <c r="N487" i="17"/>
  <c r="N488" i="17"/>
  <c r="N489" i="17"/>
  <c r="N490" i="17"/>
  <c r="N491" i="17"/>
  <c r="N492" i="17"/>
  <c r="N493" i="17"/>
  <c r="N494" i="17"/>
  <c r="N495" i="17"/>
  <c r="N496" i="17"/>
  <c r="N497" i="17"/>
  <c r="N498" i="17"/>
  <c r="N499" i="17"/>
  <c r="N500" i="17"/>
  <c r="N501" i="17"/>
  <c r="N502" i="17"/>
  <c r="N503" i="17"/>
  <c r="N504" i="17"/>
  <c r="N505" i="17"/>
  <c r="N506" i="17"/>
  <c r="N507" i="17"/>
  <c r="N508" i="17"/>
  <c r="N509" i="17"/>
  <c r="N510" i="17"/>
  <c r="N511" i="17"/>
  <c r="N512" i="17"/>
  <c r="N513" i="17"/>
  <c r="N514" i="17"/>
  <c r="N515" i="17"/>
  <c r="N516" i="17"/>
  <c r="N517" i="17"/>
  <c r="N518" i="17"/>
  <c r="N519" i="17"/>
  <c r="N520" i="17"/>
  <c r="N521" i="17"/>
  <c r="N522" i="17"/>
  <c r="N523" i="17"/>
  <c r="N524" i="17"/>
  <c r="N525" i="17"/>
  <c r="N526" i="17"/>
  <c r="N527" i="17"/>
  <c r="N528" i="17"/>
  <c r="N529" i="17"/>
  <c r="N530" i="17"/>
  <c r="N531" i="17"/>
  <c r="N532" i="17"/>
  <c r="N533" i="17"/>
  <c r="N534" i="17"/>
  <c r="N535" i="17"/>
  <c r="N536" i="17"/>
  <c r="N537" i="17"/>
  <c r="N538" i="17"/>
  <c r="N539" i="17"/>
  <c r="N540" i="17"/>
  <c r="N541" i="17"/>
  <c r="N542" i="17"/>
  <c r="N543" i="17"/>
  <c r="N544" i="17"/>
  <c r="N545" i="17"/>
  <c r="N546" i="17"/>
  <c r="N547" i="17"/>
  <c r="N548" i="17"/>
  <c r="N549" i="17"/>
  <c r="N550" i="17"/>
  <c r="N551" i="17"/>
  <c r="N552" i="17"/>
  <c r="N553" i="17"/>
  <c r="N554" i="17"/>
  <c r="N555" i="17"/>
  <c r="N556" i="17"/>
  <c r="N557" i="17"/>
  <c r="N558" i="17"/>
  <c r="N559" i="17"/>
  <c r="N560" i="17"/>
  <c r="N561" i="17"/>
  <c r="N562" i="17"/>
  <c r="N563" i="17"/>
  <c r="N564" i="17"/>
  <c r="N565" i="17"/>
  <c r="N566" i="17"/>
  <c r="N567" i="17"/>
  <c r="N568" i="17"/>
  <c r="N569" i="17"/>
  <c r="N570" i="17"/>
  <c r="N571" i="17"/>
  <c r="N572" i="17"/>
  <c r="N573" i="17"/>
  <c r="N574" i="17"/>
  <c r="N575" i="17"/>
  <c r="N576" i="17"/>
  <c r="N577" i="17"/>
  <c r="N578" i="17"/>
  <c r="N579" i="17"/>
  <c r="N580" i="17"/>
  <c r="N581" i="17"/>
  <c r="N582" i="17"/>
  <c r="N583" i="17"/>
  <c r="N584" i="17"/>
  <c r="N585" i="17"/>
  <c r="N586" i="17"/>
  <c r="N587" i="17"/>
  <c r="N588" i="17"/>
  <c r="N589" i="17"/>
  <c r="N590" i="17"/>
  <c r="N591" i="17"/>
  <c r="N592" i="17"/>
  <c r="N593" i="17"/>
  <c r="N594" i="17"/>
  <c r="N595" i="17"/>
  <c r="N596" i="17"/>
  <c r="N597" i="17"/>
  <c r="N598" i="17"/>
  <c r="N599" i="17"/>
  <c r="N600" i="17"/>
  <c r="N601" i="17"/>
  <c r="N602" i="17"/>
  <c r="N603" i="17"/>
  <c r="N604" i="17"/>
  <c r="N605" i="17"/>
  <c r="N606" i="17"/>
  <c r="N607" i="17"/>
  <c r="N608" i="17"/>
  <c r="N609" i="17"/>
  <c r="N610" i="17"/>
  <c r="N611" i="17"/>
  <c r="N612" i="17"/>
  <c r="N613" i="17"/>
  <c r="N614" i="17"/>
  <c r="N615" i="17"/>
  <c r="N616" i="17"/>
  <c r="N617" i="17"/>
  <c r="N618" i="17"/>
  <c r="N619" i="17"/>
  <c r="N620" i="17"/>
  <c r="N621" i="17"/>
  <c r="N622" i="17"/>
  <c r="N623" i="17"/>
  <c r="N624" i="17"/>
  <c r="N625" i="17"/>
  <c r="N626" i="17"/>
  <c r="N627" i="17"/>
  <c r="N628" i="17"/>
  <c r="N629" i="17"/>
  <c r="N630" i="17"/>
  <c r="N631" i="17"/>
  <c r="N632" i="17"/>
  <c r="N633" i="17"/>
  <c r="N634" i="17"/>
  <c r="N635" i="17"/>
  <c r="N636" i="17"/>
  <c r="N637" i="17"/>
  <c r="N638" i="17"/>
  <c r="N639" i="17"/>
  <c r="N640" i="17"/>
  <c r="N641" i="17"/>
  <c r="N642" i="17"/>
  <c r="N643" i="17"/>
  <c r="N644" i="17"/>
  <c r="N645" i="17"/>
  <c r="N646" i="17"/>
  <c r="N647" i="17"/>
  <c r="N648" i="17"/>
  <c r="N649" i="17"/>
  <c r="N650" i="17"/>
  <c r="N651" i="17"/>
  <c r="N652" i="17"/>
  <c r="N653" i="17"/>
  <c r="N654" i="17"/>
  <c r="N655" i="17"/>
  <c r="N656" i="17"/>
  <c r="N657" i="17"/>
  <c r="N658" i="17"/>
  <c r="N659" i="17"/>
  <c r="N660" i="17"/>
  <c r="N661" i="17"/>
  <c r="N662" i="17"/>
  <c r="N663" i="17"/>
  <c r="N664" i="17"/>
  <c r="N665" i="17"/>
  <c r="N666" i="17"/>
  <c r="N667" i="17"/>
  <c r="N668" i="17"/>
  <c r="N669" i="17"/>
  <c r="N670" i="17"/>
  <c r="N671" i="17"/>
  <c r="N672" i="17"/>
  <c r="N673" i="17"/>
  <c r="N674" i="17"/>
  <c r="N675" i="17"/>
  <c r="N676" i="17"/>
  <c r="N677" i="17"/>
  <c r="N678" i="17"/>
  <c r="N679" i="17"/>
  <c r="N680" i="17"/>
  <c r="N681" i="17"/>
  <c r="N682" i="17"/>
  <c r="N683" i="17"/>
  <c r="N684" i="17"/>
  <c r="N685" i="17"/>
  <c r="N686" i="17"/>
  <c r="N687" i="17"/>
  <c r="N688" i="17"/>
  <c r="N689" i="17"/>
  <c r="N690" i="17"/>
  <c r="N691" i="17"/>
  <c r="N692" i="17"/>
  <c r="N693" i="17"/>
  <c r="N694" i="17"/>
  <c r="N695" i="17"/>
  <c r="N696" i="17"/>
  <c r="N697" i="17"/>
  <c r="N698" i="17"/>
  <c r="N699" i="17"/>
  <c r="N700" i="17"/>
  <c r="N701" i="17"/>
  <c r="N702" i="17"/>
  <c r="N703" i="17"/>
  <c r="N704" i="17"/>
  <c r="N705" i="17"/>
  <c r="N706" i="17"/>
  <c r="N707" i="17"/>
  <c r="N708" i="17"/>
  <c r="N709" i="17"/>
  <c r="N710" i="17"/>
  <c r="N711" i="17"/>
  <c r="N712" i="17"/>
  <c r="N713" i="17"/>
  <c r="N714" i="17"/>
  <c r="N715" i="17"/>
  <c r="N716" i="17"/>
  <c r="N717" i="17"/>
  <c r="N718" i="17"/>
  <c r="N719" i="17"/>
  <c r="N720" i="17"/>
  <c r="N721" i="17"/>
  <c r="N722" i="17"/>
  <c r="N723" i="17"/>
  <c r="N724" i="17"/>
  <c r="N725" i="17"/>
  <c r="N726" i="17"/>
  <c r="N727" i="17"/>
  <c r="N728" i="17"/>
  <c r="N729" i="17"/>
  <c r="N730" i="17"/>
  <c r="N731" i="17"/>
  <c r="N732" i="17"/>
  <c r="N733" i="17"/>
  <c r="N734" i="17"/>
  <c r="N735" i="17"/>
  <c r="N736" i="17"/>
  <c r="N737" i="17"/>
  <c r="N738" i="17"/>
  <c r="N739" i="17"/>
  <c r="N740" i="17"/>
  <c r="N741" i="17"/>
  <c r="N742" i="17"/>
  <c r="N743" i="17"/>
  <c r="N744" i="17"/>
  <c r="N745" i="17"/>
  <c r="N746" i="17"/>
  <c r="N747" i="17"/>
  <c r="N748" i="17"/>
  <c r="N749" i="17"/>
  <c r="N750" i="17"/>
  <c r="N751" i="17"/>
  <c r="N752" i="17"/>
  <c r="N753" i="17"/>
  <c r="N754" i="17"/>
  <c r="N755" i="17"/>
  <c r="N756" i="17"/>
  <c r="N757" i="17"/>
  <c r="N758" i="17"/>
  <c r="N759" i="17"/>
  <c r="N760" i="17"/>
  <c r="N761" i="17"/>
  <c r="N762" i="17"/>
  <c r="N763" i="17"/>
  <c r="N764" i="17"/>
  <c r="N765" i="17"/>
  <c r="N766" i="17"/>
  <c r="N767" i="17"/>
  <c r="N768" i="17"/>
  <c r="N769" i="17"/>
  <c r="N770" i="17"/>
  <c r="N771" i="17"/>
  <c r="N772" i="17"/>
  <c r="N773" i="17"/>
  <c r="N774" i="17"/>
  <c r="N775" i="17"/>
  <c r="N776" i="17"/>
  <c r="N777" i="17"/>
  <c r="N778" i="17"/>
  <c r="N779" i="17"/>
  <c r="N780" i="17"/>
  <c r="N781" i="17"/>
  <c r="N782" i="17"/>
  <c r="N783" i="17"/>
  <c r="N784" i="17"/>
  <c r="N785" i="17"/>
  <c r="N786" i="17"/>
  <c r="N787" i="17"/>
  <c r="N788" i="17"/>
  <c r="N789" i="17"/>
  <c r="N790" i="17"/>
  <c r="N791" i="17"/>
  <c r="N792" i="17"/>
  <c r="N793" i="17"/>
  <c r="N794" i="17"/>
  <c r="N795" i="17"/>
  <c r="N796" i="17"/>
  <c r="N797" i="17"/>
  <c r="N798" i="17"/>
  <c r="N799" i="17"/>
  <c r="N800" i="17"/>
  <c r="N801" i="17"/>
  <c r="N802" i="17"/>
  <c r="N803" i="17"/>
  <c r="N804" i="17"/>
  <c r="N805" i="17"/>
  <c r="N806" i="17"/>
  <c r="N807" i="17"/>
  <c r="N808" i="17"/>
  <c r="N809" i="17"/>
  <c r="N810" i="17"/>
  <c r="N811" i="17"/>
  <c r="N812" i="17"/>
  <c r="N813" i="17"/>
  <c r="N814" i="17"/>
  <c r="N815" i="17"/>
  <c r="N816" i="17"/>
  <c r="N817" i="17"/>
  <c r="N818" i="17"/>
  <c r="N819" i="17"/>
  <c r="N820" i="17"/>
  <c r="N821" i="17"/>
  <c r="N822" i="17"/>
  <c r="N823" i="17"/>
  <c r="N824" i="17"/>
  <c r="N825" i="17"/>
  <c r="N826" i="17"/>
  <c r="N827" i="17"/>
  <c r="N828" i="17"/>
  <c r="N829" i="17"/>
  <c r="N830" i="17"/>
  <c r="N831" i="17"/>
  <c r="N832" i="17"/>
  <c r="N833" i="17"/>
  <c r="N834" i="17"/>
  <c r="N835" i="17"/>
  <c r="N836" i="17"/>
  <c r="N837" i="17"/>
  <c r="N838" i="17"/>
  <c r="N839" i="17"/>
  <c r="N840" i="17"/>
  <c r="N841" i="17"/>
  <c r="N842" i="17"/>
  <c r="N843" i="17"/>
  <c r="N844" i="17"/>
  <c r="N845" i="17"/>
  <c r="N846" i="17"/>
  <c r="N847" i="17"/>
  <c r="N848" i="17"/>
  <c r="N849" i="17"/>
  <c r="N850" i="17"/>
  <c r="N851" i="17"/>
  <c r="N852" i="17"/>
  <c r="N853" i="17"/>
  <c r="N854" i="17"/>
  <c r="N855" i="17"/>
  <c r="N856" i="17"/>
  <c r="N857" i="17"/>
  <c r="N858" i="17"/>
  <c r="N859" i="17"/>
  <c r="N860" i="17"/>
  <c r="N861" i="17"/>
  <c r="N862" i="17"/>
  <c r="N863" i="17"/>
  <c r="N864" i="17"/>
  <c r="N865" i="17"/>
  <c r="N866" i="17"/>
  <c r="N867" i="17"/>
  <c r="N868" i="17"/>
  <c r="N869" i="17"/>
  <c r="N870" i="17"/>
  <c r="N871" i="17"/>
  <c r="N872" i="17"/>
  <c r="N873" i="17"/>
  <c r="N874" i="17"/>
  <c r="N875" i="17"/>
  <c r="N876" i="17"/>
  <c r="N877" i="17"/>
  <c r="N878" i="17"/>
  <c r="N879" i="17"/>
  <c r="N880" i="17"/>
  <c r="N881" i="17"/>
  <c r="N882" i="17"/>
  <c r="N883" i="17"/>
  <c r="N884" i="17"/>
  <c r="N885" i="17"/>
  <c r="N886" i="17"/>
  <c r="N887" i="17"/>
  <c r="N888" i="17"/>
  <c r="N889" i="17"/>
  <c r="N890" i="17"/>
  <c r="N891" i="17"/>
  <c r="N892" i="17"/>
  <c r="N893" i="17"/>
  <c r="N894" i="17"/>
  <c r="N895" i="17"/>
  <c r="N896" i="17"/>
  <c r="N897" i="17"/>
  <c r="N898" i="17"/>
  <c r="N899" i="17"/>
  <c r="N900" i="17"/>
  <c r="N901" i="17"/>
  <c r="N902" i="17"/>
  <c r="N903" i="17"/>
  <c r="N904" i="17"/>
  <c r="N905" i="17"/>
  <c r="N906" i="17"/>
  <c r="N907" i="17"/>
  <c r="N908" i="17"/>
  <c r="N909" i="17"/>
  <c r="N910" i="17"/>
  <c r="N911" i="17"/>
  <c r="N912" i="17"/>
  <c r="N913" i="17"/>
  <c r="N914" i="17"/>
  <c r="N915" i="17"/>
  <c r="N916" i="17"/>
  <c r="N917" i="17"/>
  <c r="N918" i="17"/>
  <c r="N919" i="17"/>
  <c r="N920" i="17"/>
  <c r="N921" i="17"/>
  <c r="N922" i="17"/>
  <c r="N923" i="17"/>
  <c r="N924" i="17"/>
  <c r="N925" i="17"/>
  <c r="N926" i="17"/>
  <c r="N927" i="17"/>
  <c r="N928" i="17"/>
  <c r="N929" i="17"/>
  <c r="N930" i="17"/>
  <c r="N931" i="17"/>
  <c r="N932" i="17"/>
  <c r="N933" i="17"/>
  <c r="N934" i="17"/>
  <c r="N935" i="17"/>
  <c r="N936" i="17"/>
  <c r="N937" i="17"/>
  <c r="N938" i="17"/>
  <c r="N939" i="17"/>
  <c r="N940" i="17"/>
  <c r="N941" i="17"/>
  <c r="N942" i="17"/>
  <c r="N943" i="17"/>
  <c r="N944" i="17"/>
  <c r="N945" i="17"/>
  <c r="N946" i="17"/>
  <c r="N947" i="17"/>
  <c r="N948" i="17"/>
  <c r="N949" i="17"/>
  <c r="N950" i="17"/>
  <c r="N951" i="17"/>
  <c r="N952" i="17"/>
  <c r="N953" i="17"/>
  <c r="N954" i="17"/>
  <c r="N955" i="17"/>
  <c r="N956" i="17"/>
  <c r="N957" i="17"/>
  <c r="N958" i="17"/>
  <c r="N959" i="17"/>
  <c r="N960" i="17"/>
  <c r="N961" i="17"/>
  <c r="N962" i="17"/>
  <c r="N963" i="17"/>
  <c r="N964" i="17"/>
  <c r="N965" i="17"/>
  <c r="N966" i="17"/>
  <c r="N967" i="17"/>
  <c r="N968" i="17"/>
  <c r="N969" i="17"/>
  <c r="N970" i="17"/>
  <c r="N971" i="17"/>
  <c r="N972" i="17"/>
  <c r="N973" i="17"/>
  <c r="N974" i="17"/>
  <c r="N975" i="17"/>
  <c r="N976" i="17"/>
  <c r="N977" i="17"/>
  <c r="N978" i="17"/>
  <c r="N979" i="17"/>
  <c r="N980" i="17"/>
  <c r="N981" i="17"/>
  <c r="N982" i="17"/>
  <c r="N983" i="17"/>
  <c r="N984" i="17"/>
  <c r="N985" i="17"/>
  <c r="N986" i="17"/>
  <c r="N987" i="17"/>
  <c r="N988" i="17"/>
  <c r="N989" i="17"/>
  <c r="N990" i="17"/>
  <c r="N991" i="17"/>
  <c r="N992" i="17"/>
  <c r="N993" i="17"/>
  <c r="N994" i="17"/>
  <c r="N995" i="17"/>
  <c r="N996" i="17"/>
  <c r="N997" i="17"/>
  <c r="N998" i="17"/>
  <c r="N999" i="17"/>
  <c r="N1000" i="17"/>
  <c r="N1" i="17"/>
  <c r="I17" i="17"/>
  <c r="J17" i="17"/>
  <c r="H17" i="17"/>
  <c r="H7" i="17"/>
  <c r="I7" i="17"/>
  <c r="J7" i="17"/>
  <c r="H8" i="17"/>
  <c r="I8" i="17"/>
  <c r="J8" i="17"/>
  <c r="H9" i="17"/>
  <c r="I9" i="17"/>
  <c r="J9" i="17"/>
  <c r="H10" i="17"/>
  <c r="I10" i="17"/>
  <c r="J10" i="17"/>
  <c r="H11" i="17"/>
  <c r="I11" i="17"/>
  <c r="J11" i="17"/>
  <c r="H12" i="17"/>
  <c r="I12" i="17"/>
  <c r="J12" i="17"/>
  <c r="H13" i="17"/>
  <c r="I13" i="17"/>
  <c r="J13" i="17"/>
  <c r="H14" i="17"/>
  <c r="I14" i="17"/>
  <c r="J14" i="17"/>
  <c r="I6" i="17"/>
  <c r="J6" i="17"/>
  <c r="H6" i="17"/>
  <c r="H15" i="17" l="1"/>
  <c r="J15" i="17"/>
  <c r="I15" i="17"/>
  <c r="E6" i="21"/>
  <c r="D6" i="18"/>
  <c r="G10" i="21" s="1"/>
  <c r="D12" i="18"/>
  <c r="G16" i="21" s="1"/>
  <c r="B10" i="18"/>
  <c r="E14" i="21" s="1"/>
  <c r="C6" i="18"/>
  <c r="F10" i="21" s="1"/>
  <c r="C12" i="18"/>
  <c r="F16" i="21" s="1"/>
  <c r="D9" i="18"/>
  <c r="G13" i="21" s="1"/>
  <c r="B7" i="18"/>
  <c r="E11" i="21" s="1"/>
  <c r="D14" i="18"/>
  <c r="G18" i="21" s="1"/>
  <c r="B12" i="18"/>
  <c r="E16" i="21" s="1"/>
  <c r="C9" i="18"/>
  <c r="F13" i="21" s="1"/>
  <c r="C14" i="18"/>
  <c r="F18" i="21" s="1"/>
  <c r="D11" i="18"/>
  <c r="G15" i="21" s="1"/>
  <c r="B9" i="18"/>
  <c r="E13" i="21" s="1"/>
  <c r="C13" i="18"/>
  <c r="F17" i="21" s="1"/>
  <c r="B14" i="18"/>
  <c r="E18" i="21" s="1"/>
  <c r="D8" i="18"/>
  <c r="G12" i="21" s="1"/>
  <c r="D13" i="18"/>
  <c r="G17" i="21" s="1"/>
  <c r="B11" i="18"/>
  <c r="E15" i="21" s="1"/>
  <c r="C8" i="18"/>
  <c r="F12" i="21" s="1"/>
  <c r="D10" i="18"/>
  <c r="G14" i="21" s="1"/>
  <c r="B8" i="18"/>
  <c r="E12" i="21" s="1"/>
  <c r="B13" i="18"/>
  <c r="E17" i="21" s="1"/>
  <c r="C10" i="18"/>
  <c r="F14" i="21" s="1"/>
  <c r="D7" i="18"/>
  <c r="G11" i="21" s="1"/>
  <c r="C7" i="18"/>
  <c r="F11" i="21" s="1"/>
  <c r="O2" i="17"/>
  <c r="P2" i="17"/>
  <c r="Q2" i="17"/>
  <c r="O3" i="17"/>
  <c r="P3" i="17"/>
  <c r="Q3" i="17"/>
  <c r="O4" i="17"/>
  <c r="P4" i="17"/>
  <c r="Q4" i="17"/>
  <c r="O5" i="17"/>
  <c r="P5" i="17"/>
  <c r="Q5" i="17"/>
  <c r="O6" i="17"/>
  <c r="P6" i="17"/>
  <c r="Q6" i="17"/>
  <c r="O7" i="17"/>
  <c r="R7" i="17" s="1"/>
  <c r="X7" i="17" s="1"/>
  <c r="AD7" i="17" s="1"/>
  <c r="P7" i="17"/>
  <c r="S7" i="17" s="1"/>
  <c r="Y7" i="17" s="1"/>
  <c r="Q7" i="17"/>
  <c r="T7" i="17" s="1"/>
  <c r="Z7" i="17" s="1"/>
  <c r="O8" i="17"/>
  <c r="R8" i="17" s="1"/>
  <c r="X8" i="17" s="1"/>
  <c r="AD8" i="17" s="1"/>
  <c r="P8" i="17"/>
  <c r="S8" i="17" s="1"/>
  <c r="Y8" i="17" s="1"/>
  <c r="Q8" i="17"/>
  <c r="T8" i="17" s="1"/>
  <c r="Z8" i="17" s="1"/>
  <c r="O9" i="17"/>
  <c r="R9" i="17" s="1"/>
  <c r="X9" i="17" s="1"/>
  <c r="AD9" i="17" s="1"/>
  <c r="P9" i="17"/>
  <c r="S9" i="17" s="1"/>
  <c r="Y9" i="17" s="1"/>
  <c r="Q9" i="17"/>
  <c r="T9" i="17" s="1"/>
  <c r="Z9" i="17" s="1"/>
  <c r="O10" i="17"/>
  <c r="R10" i="17" s="1"/>
  <c r="X10" i="17" s="1"/>
  <c r="AD10" i="17" s="1"/>
  <c r="P10" i="17"/>
  <c r="S10" i="17" s="1"/>
  <c r="Y10" i="17" s="1"/>
  <c r="Q10" i="17"/>
  <c r="T10" i="17" s="1"/>
  <c r="Z10" i="17" s="1"/>
  <c r="O11" i="17"/>
  <c r="R11" i="17" s="1"/>
  <c r="X11" i="17" s="1"/>
  <c r="AD11" i="17" s="1"/>
  <c r="P11" i="17"/>
  <c r="S11" i="17" s="1"/>
  <c r="Y11" i="17" s="1"/>
  <c r="Q11" i="17"/>
  <c r="T11" i="17" s="1"/>
  <c r="Z11" i="17" s="1"/>
  <c r="O12" i="17"/>
  <c r="R12" i="17" s="1"/>
  <c r="X12" i="17" s="1"/>
  <c r="AD12" i="17" s="1"/>
  <c r="P12" i="17"/>
  <c r="S12" i="17" s="1"/>
  <c r="Y12" i="17" s="1"/>
  <c r="Q12" i="17"/>
  <c r="T12" i="17" s="1"/>
  <c r="Z12" i="17" s="1"/>
  <c r="O13" i="17"/>
  <c r="R13" i="17" s="1"/>
  <c r="X13" i="17" s="1"/>
  <c r="AD13" i="17" s="1"/>
  <c r="P13" i="17"/>
  <c r="S13" i="17" s="1"/>
  <c r="Y13" i="17" s="1"/>
  <c r="Q13" i="17"/>
  <c r="T13" i="17" s="1"/>
  <c r="Z13" i="17" s="1"/>
  <c r="O14" i="17"/>
  <c r="R14" i="17" s="1"/>
  <c r="X14" i="17" s="1"/>
  <c r="AD14" i="17" s="1"/>
  <c r="P14" i="17"/>
  <c r="S14" i="17" s="1"/>
  <c r="Y14" i="17" s="1"/>
  <c r="Q14" i="17"/>
  <c r="T14" i="17" s="1"/>
  <c r="Z14" i="17" s="1"/>
  <c r="O15" i="17"/>
  <c r="R15" i="17" s="1"/>
  <c r="X15" i="17" s="1"/>
  <c r="AD15" i="17" s="1"/>
  <c r="P15" i="17"/>
  <c r="S15" i="17" s="1"/>
  <c r="Y15" i="17" s="1"/>
  <c r="Q15" i="17"/>
  <c r="T15" i="17" s="1"/>
  <c r="Z15" i="17" s="1"/>
  <c r="O16" i="17"/>
  <c r="P16" i="17"/>
  <c r="Q16" i="17"/>
  <c r="O17" i="17"/>
  <c r="P17" i="17"/>
  <c r="Q17" i="17"/>
  <c r="O18" i="17"/>
  <c r="P18" i="17"/>
  <c r="Q18" i="17"/>
  <c r="O19" i="17"/>
  <c r="P19" i="17"/>
  <c r="Q19" i="17"/>
  <c r="O20" i="17"/>
  <c r="P20" i="17"/>
  <c r="Q20" i="17"/>
  <c r="O21" i="17"/>
  <c r="P21" i="17"/>
  <c r="Q21" i="17"/>
  <c r="O22" i="17"/>
  <c r="P22" i="17"/>
  <c r="Q22" i="17"/>
  <c r="O23" i="17"/>
  <c r="P23" i="17"/>
  <c r="Q23" i="17"/>
  <c r="O24" i="17"/>
  <c r="P24" i="17"/>
  <c r="Q24" i="17"/>
  <c r="O25" i="17"/>
  <c r="P25" i="17"/>
  <c r="Q25" i="17"/>
  <c r="O26" i="17"/>
  <c r="P26" i="17"/>
  <c r="Q26" i="17"/>
  <c r="O27" i="17"/>
  <c r="R27" i="17" s="1"/>
  <c r="X27" i="17" s="1"/>
  <c r="AD27" i="17" s="1"/>
  <c r="P27" i="17"/>
  <c r="S27" i="17" s="1"/>
  <c r="Y27" i="17" s="1"/>
  <c r="Q27" i="17"/>
  <c r="T27" i="17" s="1"/>
  <c r="Z27" i="17" s="1"/>
  <c r="O28" i="17"/>
  <c r="R28" i="17" s="1"/>
  <c r="X28" i="17" s="1"/>
  <c r="AD28" i="17" s="1"/>
  <c r="P28" i="17"/>
  <c r="S28" i="17" s="1"/>
  <c r="Y28" i="17" s="1"/>
  <c r="Q28" i="17"/>
  <c r="T28" i="17" s="1"/>
  <c r="Z28" i="17" s="1"/>
  <c r="O29" i="17"/>
  <c r="R29" i="17" s="1"/>
  <c r="X29" i="17" s="1"/>
  <c r="AD29" i="17" s="1"/>
  <c r="P29" i="17"/>
  <c r="S29" i="17" s="1"/>
  <c r="Y29" i="17" s="1"/>
  <c r="Q29" i="17"/>
  <c r="T29" i="17" s="1"/>
  <c r="Z29" i="17" s="1"/>
  <c r="O30" i="17"/>
  <c r="R30" i="17" s="1"/>
  <c r="X30" i="17" s="1"/>
  <c r="AD30" i="17" s="1"/>
  <c r="P30" i="17"/>
  <c r="S30" i="17" s="1"/>
  <c r="Y30" i="17" s="1"/>
  <c r="Q30" i="17"/>
  <c r="T30" i="17" s="1"/>
  <c r="Z30" i="17" s="1"/>
  <c r="O31" i="17"/>
  <c r="R31" i="17" s="1"/>
  <c r="X31" i="17" s="1"/>
  <c r="AD31" i="17" s="1"/>
  <c r="P31" i="17"/>
  <c r="S31" i="17" s="1"/>
  <c r="Y31" i="17" s="1"/>
  <c r="Q31" i="17"/>
  <c r="T31" i="17" s="1"/>
  <c r="Z31" i="17" s="1"/>
  <c r="O32" i="17"/>
  <c r="R32" i="17" s="1"/>
  <c r="X32" i="17" s="1"/>
  <c r="AD32" i="17" s="1"/>
  <c r="P32" i="17"/>
  <c r="Q32" i="17"/>
  <c r="O33" i="17"/>
  <c r="R33" i="17" s="1"/>
  <c r="X33" i="17" s="1"/>
  <c r="AD33" i="17" s="1"/>
  <c r="P33" i="17"/>
  <c r="S33" i="17" s="1"/>
  <c r="Q33" i="17"/>
  <c r="T33" i="17" s="1"/>
  <c r="Z33" i="17" s="1"/>
  <c r="O34" i="17"/>
  <c r="P34" i="17"/>
  <c r="Q34" i="17"/>
  <c r="O35" i="17"/>
  <c r="R35" i="17" s="1"/>
  <c r="X35" i="17" s="1"/>
  <c r="AD35" i="17" s="1"/>
  <c r="P35" i="17"/>
  <c r="S35" i="17" s="1"/>
  <c r="Y35" i="17" s="1"/>
  <c r="Q35" i="17"/>
  <c r="T35" i="17" s="1"/>
  <c r="Z35" i="17" s="1"/>
  <c r="O36" i="17"/>
  <c r="P36" i="17"/>
  <c r="Q36" i="17"/>
  <c r="O37" i="17"/>
  <c r="P37" i="17"/>
  <c r="Q37" i="17"/>
  <c r="O38" i="17"/>
  <c r="P38" i="17"/>
  <c r="Q38" i="17"/>
  <c r="O39" i="17"/>
  <c r="P39" i="17"/>
  <c r="Q39" i="17"/>
  <c r="O40" i="17"/>
  <c r="P40" i="17"/>
  <c r="Q40" i="17"/>
  <c r="O41" i="17"/>
  <c r="P41" i="17"/>
  <c r="Q41" i="17"/>
  <c r="O42" i="17"/>
  <c r="P42" i="17"/>
  <c r="Q42" i="17"/>
  <c r="O43" i="17"/>
  <c r="P43" i="17"/>
  <c r="Q43" i="17"/>
  <c r="O44" i="17"/>
  <c r="P44" i="17"/>
  <c r="Q44" i="17"/>
  <c r="O45" i="17"/>
  <c r="P45" i="17"/>
  <c r="Q45" i="17"/>
  <c r="O46" i="17"/>
  <c r="P46" i="17"/>
  <c r="Q46" i="17"/>
  <c r="O47" i="17"/>
  <c r="P47" i="17"/>
  <c r="Q47" i="17"/>
  <c r="O48" i="17"/>
  <c r="R48" i="17" s="1"/>
  <c r="X48" i="17" s="1"/>
  <c r="AD48" i="17" s="1"/>
  <c r="P48" i="17"/>
  <c r="S48" i="17" s="1"/>
  <c r="Y48" i="17" s="1"/>
  <c r="Q48" i="17"/>
  <c r="T48" i="17" s="1"/>
  <c r="Z48" i="17" s="1"/>
  <c r="O49" i="17"/>
  <c r="R49" i="17" s="1"/>
  <c r="X49" i="17" s="1"/>
  <c r="AD49" i="17" s="1"/>
  <c r="P49" i="17"/>
  <c r="S49" i="17" s="1"/>
  <c r="Y49" i="17" s="1"/>
  <c r="Q49" i="17"/>
  <c r="T49" i="17" s="1"/>
  <c r="Z49" i="17" s="1"/>
  <c r="O50" i="17"/>
  <c r="R50" i="17" s="1"/>
  <c r="X50" i="17" s="1"/>
  <c r="AD50" i="17" s="1"/>
  <c r="P50" i="17"/>
  <c r="S50" i="17" s="1"/>
  <c r="Y50" i="17" s="1"/>
  <c r="Q50" i="17"/>
  <c r="T50" i="17" s="1"/>
  <c r="Z50" i="17" s="1"/>
  <c r="O51" i="17"/>
  <c r="R51" i="17" s="1"/>
  <c r="X51" i="17" s="1"/>
  <c r="AD51" i="17" s="1"/>
  <c r="P51" i="17"/>
  <c r="S51" i="17" s="1"/>
  <c r="Y51" i="17" s="1"/>
  <c r="Q51" i="17"/>
  <c r="T51" i="17" s="1"/>
  <c r="Z51" i="17" s="1"/>
  <c r="O52" i="17"/>
  <c r="R52" i="17" s="1"/>
  <c r="X52" i="17" s="1"/>
  <c r="AD52" i="17" s="1"/>
  <c r="P52" i="17"/>
  <c r="S52" i="17" s="1"/>
  <c r="Y52" i="17" s="1"/>
  <c r="Q52" i="17"/>
  <c r="T52" i="17" s="1"/>
  <c r="Z52" i="17" s="1"/>
  <c r="O53" i="17"/>
  <c r="R53" i="17" s="1"/>
  <c r="X53" i="17" s="1"/>
  <c r="AD53" i="17" s="1"/>
  <c r="P53" i="17"/>
  <c r="S53" i="17" s="1"/>
  <c r="Y53" i="17" s="1"/>
  <c r="Q53" i="17"/>
  <c r="T53" i="17" s="1"/>
  <c r="Z53" i="17" s="1"/>
  <c r="O54" i="17"/>
  <c r="R54" i="17" s="1"/>
  <c r="X54" i="17" s="1"/>
  <c r="AD54" i="17" s="1"/>
  <c r="P54" i="17"/>
  <c r="S54" i="17" s="1"/>
  <c r="Y54" i="17" s="1"/>
  <c r="Q54" i="17"/>
  <c r="T54" i="17" s="1"/>
  <c r="Z54" i="17" s="1"/>
  <c r="O55" i="17"/>
  <c r="R55" i="17" s="1"/>
  <c r="X55" i="17" s="1"/>
  <c r="AD55" i="17" s="1"/>
  <c r="P55" i="17"/>
  <c r="S55" i="17" s="1"/>
  <c r="Y55" i="17" s="1"/>
  <c r="Q55" i="17"/>
  <c r="T55" i="17" s="1"/>
  <c r="Z55" i="17" s="1"/>
  <c r="O56" i="17"/>
  <c r="P56" i="17"/>
  <c r="Q56" i="17"/>
  <c r="O57" i="17"/>
  <c r="P57" i="17"/>
  <c r="Q57" i="17"/>
  <c r="O58" i="17"/>
  <c r="P58" i="17"/>
  <c r="Q58" i="17"/>
  <c r="O59" i="17"/>
  <c r="P59" i="17"/>
  <c r="Q59" i="17"/>
  <c r="O60" i="17"/>
  <c r="P60" i="17"/>
  <c r="Q60" i="17"/>
  <c r="O61" i="17"/>
  <c r="P61" i="17"/>
  <c r="Q61" i="17"/>
  <c r="O62" i="17"/>
  <c r="P62" i="17"/>
  <c r="Q62" i="17"/>
  <c r="O63" i="17"/>
  <c r="P63" i="17"/>
  <c r="Q63" i="17"/>
  <c r="O64" i="17"/>
  <c r="P64" i="17"/>
  <c r="Q64" i="17"/>
  <c r="O65" i="17"/>
  <c r="P65" i="17"/>
  <c r="Q65" i="17"/>
  <c r="O66" i="17"/>
  <c r="P66" i="17"/>
  <c r="Q66" i="17"/>
  <c r="O67" i="17"/>
  <c r="P67" i="17"/>
  <c r="Q67" i="17"/>
  <c r="O68" i="17"/>
  <c r="R68" i="17" s="1"/>
  <c r="X68" i="17" s="1"/>
  <c r="AD68" i="17" s="1"/>
  <c r="P68" i="17"/>
  <c r="S68" i="17" s="1"/>
  <c r="Y68" i="17" s="1"/>
  <c r="Q68" i="17"/>
  <c r="T68" i="17" s="1"/>
  <c r="Z68" i="17" s="1"/>
  <c r="O69" i="17"/>
  <c r="R69" i="17" s="1"/>
  <c r="X69" i="17" s="1"/>
  <c r="AD69" i="17" s="1"/>
  <c r="P69" i="17"/>
  <c r="S69" i="17" s="1"/>
  <c r="Y69" i="17" s="1"/>
  <c r="Q69" i="17"/>
  <c r="T69" i="17" s="1"/>
  <c r="Z69" i="17" s="1"/>
  <c r="O70" i="17"/>
  <c r="R70" i="17" s="1"/>
  <c r="X70" i="17" s="1"/>
  <c r="AD70" i="17" s="1"/>
  <c r="P70" i="17"/>
  <c r="S70" i="17" s="1"/>
  <c r="Y70" i="17" s="1"/>
  <c r="Q70" i="17"/>
  <c r="T70" i="17" s="1"/>
  <c r="Z70" i="17" s="1"/>
  <c r="O71" i="17"/>
  <c r="R71" i="17" s="1"/>
  <c r="X71" i="17" s="1"/>
  <c r="AD71" i="17" s="1"/>
  <c r="P71" i="17"/>
  <c r="S71" i="17" s="1"/>
  <c r="Y71" i="17" s="1"/>
  <c r="Q71" i="17"/>
  <c r="T71" i="17" s="1"/>
  <c r="Z71" i="17" s="1"/>
  <c r="O72" i="17"/>
  <c r="R72" i="17" s="1"/>
  <c r="X72" i="17" s="1"/>
  <c r="AD72" i="17" s="1"/>
  <c r="P72" i="17"/>
  <c r="S72" i="17" s="1"/>
  <c r="Y72" i="17" s="1"/>
  <c r="Q72" i="17"/>
  <c r="T72" i="17" s="1"/>
  <c r="Z72" i="17" s="1"/>
  <c r="O73" i="17"/>
  <c r="R73" i="17" s="1"/>
  <c r="X73" i="17" s="1"/>
  <c r="AD73" i="17" s="1"/>
  <c r="P73" i="17"/>
  <c r="S73" i="17" s="1"/>
  <c r="Y73" i="17" s="1"/>
  <c r="Q73" i="17"/>
  <c r="T73" i="17" s="1"/>
  <c r="Z73" i="17" s="1"/>
  <c r="O74" i="17"/>
  <c r="R74" i="17" s="1"/>
  <c r="X74" i="17" s="1"/>
  <c r="AD74" i="17" s="1"/>
  <c r="P74" i="17"/>
  <c r="S74" i="17" s="1"/>
  <c r="Y74" i="17" s="1"/>
  <c r="Q74" i="17"/>
  <c r="T74" i="17" s="1"/>
  <c r="Z74" i="17" s="1"/>
  <c r="O75" i="17"/>
  <c r="R75" i="17" s="1"/>
  <c r="X75" i="17" s="1"/>
  <c r="AD75" i="17" s="1"/>
  <c r="P75" i="17"/>
  <c r="S75" i="17" s="1"/>
  <c r="Y75" i="17" s="1"/>
  <c r="Q75" i="17"/>
  <c r="T75" i="17" s="1"/>
  <c r="Z75" i="17" s="1"/>
  <c r="O76" i="17"/>
  <c r="P76" i="17"/>
  <c r="Q76" i="17"/>
  <c r="O77" i="17"/>
  <c r="P77" i="17"/>
  <c r="Q77" i="17"/>
  <c r="O78" i="17"/>
  <c r="P78" i="17"/>
  <c r="Q78" i="17"/>
  <c r="O79" i="17"/>
  <c r="P79" i="17"/>
  <c r="Q79" i="17"/>
  <c r="O80" i="17"/>
  <c r="P80" i="17"/>
  <c r="Q80" i="17"/>
  <c r="O81" i="17"/>
  <c r="P81" i="17"/>
  <c r="Q81" i="17"/>
  <c r="O82" i="17"/>
  <c r="P82" i="17"/>
  <c r="Q82" i="17"/>
  <c r="O83" i="17"/>
  <c r="P83" i="17"/>
  <c r="Q83" i="17"/>
  <c r="O84" i="17"/>
  <c r="P84" i="17"/>
  <c r="Q84" i="17"/>
  <c r="O85" i="17"/>
  <c r="P85" i="17"/>
  <c r="Q85" i="17"/>
  <c r="O86" i="17"/>
  <c r="P86" i="17"/>
  <c r="Q86" i="17"/>
  <c r="O87" i="17"/>
  <c r="P87" i="17"/>
  <c r="Q87" i="17"/>
  <c r="O88" i="17"/>
  <c r="R88" i="17" s="1"/>
  <c r="X88" i="17" s="1"/>
  <c r="AD88" i="17" s="1"/>
  <c r="P88" i="17"/>
  <c r="S88" i="17" s="1"/>
  <c r="Y88" i="17" s="1"/>
  <c r="Q88" i="17"/>
  <c r="T88" i="17" s="1"/>
  <c r="Z88" i="17" s="1"/>
  <c r="O89" i="17"/>
  <c r="R89" i="17" s="1"/>
  <c r="X89" i="17" s="1"/>
  <c r="AD89" i="17" s="1"/>
  <c r="P89" i="17"/>
  <c r="S89" i="17" s="1"/>
  <c r="Y89" i="17" s="1"/>
  <c r="Q89" i="17"/>
  <c r="T89" i="17" s="1"/>
  <c r="Z89" i="17" s="1"/>
  <c r="O90" i="17"/>
  <c r="R90" i="17" s="1"/>
  <c r="X90" i="17" s="1"/>
  <c r="AD90" i="17" s="1"/>
  <c r="P90" i="17"/>
  <c r="S90" i="17" s="1"/>
  <c r="Y90" i="17" s="1"/>
  <c r="Q90" i="17"/>
  <c r="T90" i="17" s="1"/>
  <c r="Z90" i="17" s="1"/>
  <c r="O91" i="17"/>
  <c r="R91" i="17" s="1"/>
  <c r="X91" i="17" s="1"/>
  <c r="AD91" i="17" s="1"/>
  <c r="P91" i="17"/>
  <c r="S91" i="17" s="1"/>
  <c r="Y91" i="17" s="1"/>
  <c r="Q91" i="17"/>
  <c r="T91" i="17" s="1"/>
  <c r="Z91" i="17" s="1"/>
  <c r="O92" i="17"/>
  <c r="R92" i="17" s="1"/>
  <c r="X92" i="17" s="1"/>
  <c r="AD92" i="17" s="1"/>
  <c r="P92" i="17"/>
  <c r="S92" i="17" s="1"/>
  <c r="Y92" i="17" s="1"/>
  <c r="Q92" i="17"/>
  <c r="T92" i="17" s="1"/>
  <c r="Z92" i="17" s="1"/>
  <c r="O93" i="17"/>
  <c r="R93" i="17" s="1"/>
  <c r="X93" i="17" s="1"/>
  <c r="AD93" i="17" s="1"/>
  <c r="P93" i="17"/>
  <c r="S93" i="17" s="1"/>
  <c r="Y93" i="17" s="1"/>
  <c r="Q93" i="17"/>
  <c r="T93" i="17" s="1"/>
  <c r="Z93" i="17" s="1"/>
  <c r="O94" i="17"/>
  <c r="R94" i="17" s="1"/>
  <c r="X94" i="17" s="1"/>
  <c r="AD94" i="17" s="1"/>
  <c r="P94" i="17"/>
  <c r="S94" i="17" s="1"/>
  <c r="Y94" i="17" s="1"/>
  <c r="Q94" i="17"/>
  <c r="T94" i="17" s="1"/>
  <c r="Z94" i="17" s="1"/>
  <c r="O95" i="17"/>
  <c r="R95" i="17" s="1"/>
  <c r="X95" i="17" s="1"/>
  <c r="AD95" i="17" s="1"/>
  <c r="P95" i="17"/>
  <c r="S95" i="17" s="1"/>
  <c r="Y95" i="17" s="1"/>
  <c r="Q95" i="17"/>
  <c r="T95" i="17" s="1"/>
  <c r="Z95" i="17" s="1"/>
  <c r="O96" i="17"/>
  <c r="P96" i="17"/>
  <c r="Q96" i="17"/>
  <c r="O97" i="17"/>
  <c r="P97" i="17"/>
  <c r="Q97" i="17"/>
  <c r="O98" i="17"/>
  <c r="P98" i="17"/>
  <c r="Q98" i="17"/>
  <c r="O99" i="17"/>
  <c r="P99" i="17"/>
  <c r="Q99" i="17"/>
  <c r="O100" i="17"/>
  <c r="P100" i="17"/>
  <c r="Q100" i="17"/>
  <c r="O101" i="17"/>
  <c r="P101" i="17"/>
  <c r="Q101" i="17"/>
  <c r="O102" i="17"/>
  <c r="P102" i="17"/>
  <c r="Q102" i="17"/>
  <c r="O103" i="17"/>
  <c r="P103" i="17"/>
  <c r="Q103" i="17"/>
  <c r="O104" i="17"/>
  <c r="P104" i="17"/>
  <c r="Q104" i="17"/>
  <c r="O105" i="17"/>
  <c r="P105" i="17"/>
  <c r="Q105" i="17"/>
  <c r="O106" i="17"/>
  <c r="P106" i="17"/>
  <c r="Q106" i="17"/>
  <c r="O107" i="17"/>
  <c r="P107" i="17"/>
  <c r="Q107" i="17"/>
  <c r="O108" i="17"/>
  <c r="R108" i="17" s="1"/>
  <c r="X108" i="17" s="1"/>
  <c r="AD108" i="17" s="1"/>
  <c r="P108" i="17"/>
  <c r="S108" i="17" s="1"/>
  <c r="Y108" i="17" s="1"/>
  <c r="Q108" i="17"/>
  <c r="T108" i="17" s="1"/>
  <c r="Z108" i="17" s="1"/>
  <c r="O109" i="17"/>
  <c r="R109" i="17" s="1"/>
  <c r="X109" i="17" s="1"/>
  <c r="AD109" i="17" s="1"/>
  <c r="P109" i="17"/>
  <c r="S109" i="17" s="1"/>
  <c r="Y109" i="17" s="1"/>
  <c r="Q109" i="17"/>
  <c r="T109" i="17" s="1"/>
  <c r="Z109" i="17" s="1"/>
  <c r="O110" i="17"/>
  <c r="R110" i="17" s="1"/>
  <c r="X110" i="17" s="1"/>
  <c r="AD110" i="17" s="1"/>
  <c r="P110" i="17"/>
  <c r="S110" i="17" s="1"/>
  <c r="Y110" i="17" s="1"/>
  <c r="Q110" i="17"/>
  <c r="T110" i="17" s="1"/>
  <c r="Z110" i="17" s="1"/>
  <c r="O111" i="17"/>
  <c r="R111" i="17" s="1"/>
  <c r="X111" i="17" s="1"/>
  <c r="AD111" i="17" s="1"/>
  <c r="P111" i="17"/>
  <c r="S111" i="17" s="1"/>
  <c r="Y111" i="17" s="1"/>
  <c r="Q111" i="17"/>
  <c r="T111" i="17" s="1"/>
  <c r="Z111" i="17" s="1"/>
  <c r="O112" i="17"/>
  <c r="R112" i="17" s="1"/>
  <c r="X112" i="17" s="1"/>
  <c r="AD112" i="17" s="1"/>
  <c r="P112" i="17"/>
  <c r="S112" i="17" s="1"/>
  <c r="Y112" i="17" s="1"/>
  <c r="Q112" i="17"/>
  <c r="T112" i="17" s="1"/>
  <c r="Z112" i="17" s="1"/>
  <c r="O113" i="17"/>
  <c r="R113" i="17" s="1"/>
  <c r="X113" i="17" s="1"/>
  <c r="AD113" i="17" s="1"/>
  <c r="P113" i="17"/>
  <c r="S113" i="17" s="1"/>
  <c r="Y113" i="17" s="1"/>
  <c r="Q113" i="17"/>
  <c r="T113" i="17" s="1"/>
  <c r="Z113" i="17" s="1"/>
  <c r="O114" i="17"/>
  <c r="R114" i="17" s="1"/>
  <c r="X114" i="17" s="1"/>
  <c r="AD114" i="17" s="1"/>
  <c r="P114" i="17"/>
  <c r="S114" i="17" s="1"/>
  <c r="Y114" i="17" s="1"/>
  <c r="Q114" i="17"/>
  <c r="T114" i="17" s="1"/>
  <c r="Z114" i="17" s="1"/>
  <c r="O115" i="17"/>
  <c r="R115" i="17" s="1"/>
  <c r="X115" i="17" s="1"/>
  <c r="AD115" i="17" s="1"/>
  <c r="P115" i="17"/>
  <c r="S115" i="17" s="1"/>
  <c r="Y115" i="17" s="1"/>
  <c r="Q115" i="17"/>
  <c r="T115" i="17" s="1"/>
  <c r="Z115" i="17" s="1"/>
  <c r="O116" i="17"/>
  <c r="P116" i="17"/>
  <c r="Q116" i="17"/>
  <c r="O117" i="17"/>
  <c r="P117" i="17"/>
  <c r="Q117" i="17"/>
  <c r="O118" i="17"/>
  <c r="P118" i="17"/>
  <c r="Q118" i="17"/>
  <c r="O119" i="17"/>
  <c r="P119" i="17"/>
  <c r="Q119" i="17"/>
  <c r="O120" i="17"/>
  <c r="P120" i="17"/>
  <c r="Q120" i="17"/>
  <c r="O121" i="17"/>
  <c r="P121" i="17"/>
  <c r="Q121" i="17"/>
  <c r="O122" i="17"/>
  <c r="P122" i="17"/>
  <c r="Q122" i="17"/>
  <c r="O123" i="17"/>
  <c r="P123" i="17"/>
  <c r="Q123" i="17"/>
  <c r="O124" i="17"/>
  <c r="P124" i="17"/>
  <c r="Q124" i="17"/>
  <c r="O125" i="17"/>
  <c r="P125" i="17"/>
  <c r="Q125" i="17"/>
  <c r="O126" i="17"/>
  <c r="P126" i="17"/>
  <c r="Q126" i="17"/>
  <c r="O127" i="17"/>
  <c r="P127" i="17"/>
  <c r="Q127" i="17"/>
  <c r="O128" i="17"/>
  <c r="R128" i="17" s="1"/>
  <c r="X128" i="17" s="1"/>
  <c r="AD128" i="17" s="1"/>
  <c r="P128" i="17"/>
  <c r="S128" i="17" s="1"/>
  <c r="Y128" i="17" s="1"/>
  <c r="Q128" i="17"/>
  <c r="T128" i="17" s="1"/>
  <c r="Z128" i="17" s="1"/>
  <c r="O129" i="17"/>
  <c r="R129" i="17" s="1"/>
  <c r="X129" i="17" s="1"/>
  <c r="AD129" i="17" s="1"/>
  <c r="P129" i="17"/>
  <c r="S129" i="17" s="1"/>
  <c r="Y129" i="17" s="1"/>
  <c r="Q129" i="17"/>
  <c r="T129" i="17" s="1"/>
  <c r="Z129" i="17" s="1"/>
  <c r="O130" i="17"/>
  <c r="R130" i="17" s="1"/>
  <c r="X130" i="17" s="1"/>
  <c r="AD130" i="17" s="1"/>
  <c r="P130" i="17"/>
  <c r="S130" i="17" s="1"/>
  <c r="Y130" i="17" s="1"/>
  <c r="Q130" i="17"/>
  <c r="T130" i="17" s="1"/>
  <c r="Z130" i="17" s="1"/>
  <c r="O131" i="17"/>
  <c r="R131" i="17" s="1"/>
  <c r="X131" i="17" s="1"/>
  <c r="AD131" i="17" s="1"/>
  <c r="P131" i="17"/>
  <c r="S131" i="17" s="1"/>
  <c r="Y131" i="17" s="1"/>
  <c r="Q131" i="17"/>
  <c r="T131" i="17" s="1"/>
  <c r="Z131" i="17" s="1"/>
  <c r="O132" i="17"/>
  <c r="R132" i="17" s="1"/>
  <c r="X132" i="17" s="1"/>
  <c r="AD132" i="17" s="1"/>
  <c r="P132" i="17"/>
  <c r="S132" i="17" s="1"/>
  <c r="Y132" i="17" s="1"/>
  <c r="Q132" i="17"/>
  <c r="T132" i="17" s="1"/>
  <c r="Z132" i="17" s="1"/>
  <c r="O133" i="17"/>
  <c r="R133" i="17" s="1"/>
  <c r="X133" i="17" s="1"/>
  <c r="AD133" i="17" s="1"/>
  <c r="P133" i="17"/>
  <c r="S133" i="17" s="1"/>
  <c r="Y133" i="17" s="1"/>
  <c r="Q133" i="17"/>
  <c r="T133" i="17" s="1"/>
  <c r="Z133" i="17" s="1"/>
  <c r="O134" i="17"/>
  <c r="R134" i="17" s="1"/>
  <c r="X134" i="17" s="1"/>
  <c r="AD134" i="17" s="1"/>
  <c r="P134" i="17"/>
  <c r="S134" i="17" s="1"/>
  <c r="Y134" i="17" s="1"/>
  <c r="Q134" i="17"/>
  <c r="T134" i="17" s="1"/>
  <c r="Z134" i="17" s="1"/>
  <c r="O135" i="17"/>
  <c r="R135" i="17" s="1"/>
  <c r="X135" i="17" s="1"/>
  <c r="AD135" i="17" s="1"/>
  <c r="P135" i="17"/>
  <c r="S135" i="17" s="1"/>
  <c r="Y135" i="17" s="1"/>
  <c r="Q135" i="17"/>
  <c r="T135" i="17" s="1"/>
  <c r="Z135" i="17" s="1"/>
  <c r="O136" i="17"/>
  <c r="P136" i="17"/>
  <c r="Q136" i="17"/>
  <c r="O137" i="17"/>
  <c r="P137" i="17"/>
  <c r="Q137" i="17"/>
  <c r="O138" i="17"/>
  <c r="P138" i="17"/>
  <c r="Q138" i="17"/>
  <c r="O139" i="17"/>
  <c r="P139" i="17"/>
  <c r="Q139" i="17"/>
  <c r="O140" i="17"/>
  <c r="P140" i="17"/>
  <c r="Q140" i="17"/>
  <c r="O141" i="17"/>
  <c r="P141" i="17"/>
  <c r="Q141" i="17"/>
  <c r="O142" i="17"/>
  <c r="P142" i="17"/>
  <c r="Q142" i="17"/>
  <c r="O143" i="17"/>
  <c r="P143" i="17"/>
  <c r="Q143" i="17"/>
  <c r="O144" i="17"/>
  <c r="P144" i="17"/>
  <c r="Q144" i="17"/>
  <c r="O145" i="17"/>
  <c r="P145" i="17"/>
  <c r="Q145" i="17"/>
  <c r="O146" i="17"/>
  <c r="P146" i="17"/>
  <c r="Q146" i="17"/>
  <c r="O147" i="17"/>
  <c r="P147" i="17"/>
  <c r="Q147" i="17"/>
  <c r="O148" i="17"/>
  <c r="R148" i="17" s="1"/>
  <c r="X148" i="17" s="1"/>
  <c r="AD148" i="17" s="1"/>
  <c r="P148" i="17"/>
  <c r="S148" i="17" s="1"/>
  <c r="Y148" i="17" s="1"/>
  <c r="Q148" i="17"/>
  <c r="T148" i="17" s="1"/>
  <c r="Z148" i="17" s="1"/>
  <c r="O149" i="17"/>
  <c r="R149" i="17" s="1"/>
  <c r="X149" i="17" s="1"/>
  <c r="AD149" i="17" s="1"/>
  <c r="P149" i="17"/>
  <c r="S149" i="17" s="1"/>
  <c r="Y149" i="17" s="1"/>
  <c r="Q149" i="17"/>
  <c r="T149" i="17" s="1"/>
  <c r="Z149" i="17" s="1"/>
  <c r="O150" i="17"/>
  <c r="R150" i="17" s="1"/>
  <c r="X150" i="17" s="1"/>
  <c r="AD150" i="17" s="1"/>
  <c r="P150" i="17"/>
  <c r="S150" i="17" s="1"/>
  <c r="Y150" i="17" s="1"/>
  <c r="Q150" i="17"/>
  <c r="T150" i="17" s="1"/>
  <c r="Z150" i="17" s="1"/>
  <c r="O151" i="17"/>
  <c r="R151" i="17" s="1"/>
  <c r="X151" i="17" s="1"/>
  <c r="AD151" i="17" s="1"/>
  <c r="P151" i="17"/>
  <c r="S151" i="17" s="1"/>
  <c r="Y151" i="17" s="1"/>
  <c r="Q151" i="17"/>
  <c r="T151" i="17" s="1"/>
  <c r="Z151" i="17" s="1"/>
  <c r="O152" i="17"/>
  <c r="R152" i="17" s="1"/>
  <c r="X152" i="17" s="1"/>
  <c r="AD152" i="17" s="1"/>
  <c r="P152" i="17"/>
  <c r="S152" i="17" s="1"/>
  <c r="Y152" i="17" s="1"/>
  <c r="Q152" i="17"/>
  <c r="T152" i="17" s="1"/>
  <c r="Z152" i="17" s="1"/>
  <c r="O153" i="17"/>
  <c r="R153" i="17" s="1"/>
  <c r="X153" i="17" s="1"/>
  <c r="AD153" i="17" s="1"/>
  <c r="P153" i="17"/>
  <c r="S153" i="17" s="1"/>
  <c r="Y153" i="17" s="1"/>
  <c r="Q153" i="17"/>
  <c r="T153" i="17" s="1"/>
  <c r="Z153" i="17" s="1"/>
  <c r="O154" i="17"/>
  <c r="R154" i="17" s="1"/>
  <c r="X154" i="17" s="1"/>
  <c r="AD154" i="17" s="1"/>
  <c r="P154" i="17"/>
  <c r="S154" i="17" s="1"/>
  <c r="Y154" i="17" s="1"/>
  <c r="Q154" i="17"/>
  <c r="T154" i="17" s="1"/>
  <c r="Z154" i="17" s="1"/>
  <c r="O155" i="17"/>
  <c r="R155" i="17" s="1"/>
  <c r="X155" i="17" s="1"/>
  <c r="AD155" i="17" s="1"/>
  <c r="P155" i="17"/>
  <c r="S155" i="17" s="1"/>
  <c r="Y155" i="17" s="1"/>
  <c r="Q155" i="17"/>
  <c r="T155" i="17" s="1"/>
  <c r="Z155" i="17" s="1"/>
  <c r="O156" i="17"/>
  <c r="P156" i="17"/>
  <c r="Q156" i="17"/>
  <c r="O157" i="17"/>
  <c r="P157" i="17"/>
  <c r="Q157" i="17"/>
  <c r="O158" i="17"/>
  <c r="P158" i="17"/>
  <c r="Q158" i="17"/>
  <c r="O159" i="17"/>
  <c r="P159" i="17"/>
  <c r="Q159" i="17"/>
  <c r="O160" i="17"/>
  <c r="P160" i="17"/>
  <c r="Q160" i="17"/>
  <c r="O161" i="17"/>
  <c r="P161" i="17"/>
  <c r="Q161" i="17"/>
  <c r="O162" i="17"/>
  <c r="P162" i="17"/>
  <c r="Q162" i="17"/>
  <c r="O163" i="17"/>
  <c r="P163" i="17"/>
  <c r="Q163" i="17"/>
  <c r="O164" i="17"/>
  <c r="P164" i="17"/>
  <c r="Q164" i="17"/>
  <c r="O165" i="17"/>
  <c r="P165" i="17"/>
  <c r="Q165" i="17"/>
  <c r="O166" i="17"/>
  <c r="P166" i="17"/>
  <c r="Q166" i="17"/>
  <c r="O167" i="17"/>
  <c r="P167" i="17"/>
  <c r="Q167" i="17"/>
  <c r="O168" i="17"/>
  <c r="R168" i="17" s="1"/>
  <c r="X168" i="17" s="1"/>
  <c r="AD168" i="17" s="1"/>
  <c r="P168" i="17"/>
  <c r="S168" i="17" s="1"/>
  <c r="Y168" i="17" s="1"/>
  <c r="Q168" i="17"/>
  <c r="T168" i="17" s="1"/>
  <c r="Z168" i="17" s="1"/>
  <c r="O169" i="17"/>
  <c r="R169" i="17" s="1"/>
  <c r="X169" i="17" s="1"/>
  <c r="AD169" i="17" s="1"/>
  <c r="P169" i="17"/>
  <c r="S169" i="17" s="1"/>
  <c r="Y169" i="17" s="1"/>
  <c r="Q169" i="17"/>
  <c r="T169" i="17" s="1"/>
  <c r="Z169" i="17" s="1"/>
  <c r="O170" i="17"/>
  <c r="R170" i="17" s="1"/>
  <c r="X170" i="17" s="1"/>
  <c r="AD170" i="17" s="1"/>
  <c r="P170" i="17"/>
  <c r="S170" i="17" s="1"/>
  <c r="Y170" i="17" s="1"/>
  <c r="Q170" i="17"/>
  <c r="T170" i="17" s="1"/>
  <c r="Z170" i="17" s="1"/>
  <c r="O171" i="17"/>
  <c r="R171" i="17" s="1"/>
  <c r="X171" i="17" s="1"/>
  <c r="AD171" i="17" s="1"/>
  <c r="P171" i="17"/>
  <c r="S171" i="17" s="1"/>
  <c r="Y171" i="17" s="1"/>
  <c r="Q171" i="17"/>
  <c r="T171" i="17" s="1"/>
  <c r="Z171" i="17" s="1"/>
  <c r="O172" i="17"/>
  <c r="R172" i="17" s="1"/>
  <c r="X172" i="17" s="1"/>
  <c r="AD172" i="17" s="1"/>
  <c r="P172" i="17"/>
  <c r="S172" i="17" s="1"/>
  <c r="Y172" i="17" s="1"/>
  <c r="Q172" i="17"/>
  <c r="T172" i="17" s="1"/>
  <c r="Z172" i="17" s="1"/>
  <c r="O173" i="17"/>
  <c r="R173" i="17" s="1"/>
  <c r="X173" i="17" s="1"/>
  <c r="AD173" i="17" s="1"/>
  <c r="P173" i="17"/>
  <c r="S173" i="17" s="1"/>
  <c r="Y173" i="17" s="1"/>
  <c r="Q173" i="17"/>
  <c r="T173" i="17" s="1"/>
  <c r="Z173" i="17" s="1"/>
  <c r="O174" i="17"/>
  <c r="R174" i="17" s="1"/>
  <c r="X174" i="17" s="1"/>
  <c r="AD174" i="17" s="1"/>
  <c r="P174" i="17"/>
  <c r="S174" i="17" s="1"/>
  <c r="Y174" i="17" s="1"/>
  <c r="Q174" i="17"/>
  <c r="T174" i="17" s="1"/>
  <c r="Z174" i="17" s="1"/>
  <c r="O175" i="17"/>
  <c r="R175" i="17" s="1"/>
  <c r="X175" i="17" s="1"/>
  <c r="AD175" i="17" s="1"/>
  <c r="P175" i="17"/>
  <c r="S175" i="17" s="1"/>
  <c r="Y175" i="17" s="1"/>
  <c r="Q175" i="17"/>
  <c r="T175" i="17" s="1"/>
  <c r="Z175" i="17" s="1"/>
  <c r="O176" i="17"/>
  <c r="P176" i="17"/>
  <c r="Q176" i="17"/>
  <c r="O177" i="17"/>
  <c r="P177" i="17"/>
  <c r="Q177" i="17"/>
  <c r="O178" i="17"/>
  <c r="P178" i="17"/>
  <c r="Q178" i="17"/>
  <c r="O179" i="17"/>
  <c r="P179" i="17"/>
  <c r="Q179" i="17"/>
  <c r="O180" i="17"/>
  <c r="P180" i="17"/>
  <c r="Q180" i="17"/>
  <c r="O181" i="17"/>
  <c r="P181" i="17"/>
  <c r="Q181" i="17"/>
  <c r="O182" i="17"/>
  <c r="P182" i="17"/>
  <c r="Q182" i="17"/>
  <c r="O183" i="17"/>
  <c r="P183" i="17"/>
  <c r="Q183" i="17"/>
  <c r="O184" i="17"/>
  <c r="P184" i="17"/>
  <c r="Q184" i="17"/>
  <c r="O185" i="17"/>
  <c r="P185" i="17"/>
  <c r="Q185" i="17"/>
  <c r="O186" i="17"/>
  <c r="P186" i="17"/>
  <c r="Q186" i="17"/>
  <c r="O187" i="17"/>
  <c r="P187" i="17"/>
  <c r="Q187" i="17"/>
  <c r="O188" i="17"/>
  <c r="R188" i="17" s="1"/>
  <c r="X188" i="17" s="1"/>
  <c r="AD188" i="17" s="1"/>
  <c r="P188" i="17"/>
  <c r="S188" i="17" s="1"/>
  <c r="Y188" i="17" s="1"/>
  <c r="Q188" i="17"/>
  <c r="T188" i="17" s="1"/>
  <c r="Z188" i="17" s="1"/>
  <c r="O189" i="17"/>
  <c r="R189" i="17" s="1"/>
  <c r="X189" i="17" s="1"/>
  <c r="AD189" i="17" s="1"/>
  <c r="P189" i="17"/>
  <c r="S189" i="17" s="1"/>
  <c r="Y189" i="17" s="1"/>
  <c r="Q189" i="17"/>
  <c r="T189" i="17" s="1"/>
  <c r="Z189" i="17" s="1"/>
  <c r="O190" i="17"/>
  <c r="R190" i="17" s="1"/>
  <c r="X190" i="17" s="1"/>
  <c r="AD190" i="17" s="1"/>
  <c r="P190" i="17"/>
  <c r="S190" i="17" s="1"/>
  <c r="Y190" i="17" s="1"/>
  <c r="Q190" i="17"/>
  <c r="T190" i="17" s="1"/>
  <c r="Z190" i="17" s="1"/>
  <c r="O191" i="17"/>
  <c r="R191" i="17" s="1"/>
  <c r="X191" i="17" s="1"/>
  <c r="AD191" i="17" s="1"/>
  <c r="P191" i="17"/>
  <c r="S191" i="17" s="1"/>
  <c r="Y191" i="17" s="1"/>
  <c r="Q191" i="17"/>
  <c r="T191" i="17" s="1"/>
  <c r="Z191" i="17" s="1"/>
  <c r="O192" i="17"/>
  <c r="R192" i="17" s="1"/>
  <c r="X192" i="17" s="1"/>
  <c r="AD192" i="17" s="1"/>
  <c r="P192" i="17"/>
  <c r="S192" i="17" s="1"/>
  <c r="Y192" i="17" s="1"/>
  <c r="Q192" i="17"/>
  <c r="T192" i="17" s="1"/>
  <c r="Z192" i="17" s="1"/>
  <c r="O193" i="17"/>
  <c r="R193" i="17" s="1"/>
  <c r="X193" i="17" s="1"/>
  <c r="AD193" i="17" s="1"/>
  <c r="P193" i="17"/>
  <c r="S193" i="17" s="1"/>
  <c r="Y193" i="17" s="1"/>
  <c r="Q193" i="17"/>
  <c r="T193" i="17" s="1"/>
  <c r="Z193" i="17" s="1"/>
  <c r="O194" i="17"/>
  <c r="R194" i="17" s="1"/>
  <c r="X194" i="17" s="1"/>
  <c r="AD194" i="17" s="1"/>
  <c r="P194" i="17"/>
  <c r="S194" i="17" s="1"/>
  <c r="Y194" i="17" s="1"/>
  <c r="Q194" i="17"/>
  <c r="T194" i="17" s="1"/>
  <c r="Z194" i="17" s="1"/>
  <c r="O195" i="17"/>
  <c r="R195" i="17" s="1"/>
  <c r="X195" i="17" s="1"/>
  <c r="AD195" i="17" s="1"/>
  <c r="P195" i="17"/>
  <c r="S195" i="17" s="1"/>
  <c r="Y195" i="17" s="1"/>
  <c r="Q195" i="17"/>
  <c r="T195" i="17" s="1"/>
  <c r="Z195" i="17" s="1"/>
  <c r="O196" i="17"/>
  <c r="P196" i="17"/>
  <c r="Q196" i="17"/>
  <c r="O197" i="17"/>
  <c r="P197" i="17"/>
  <c r="Q197" i="17"/>
  <c r="O198" i="17"/>
  <c r="P198" i="17"/>
  <c r="Q198" i="17"/>
  <c r="O199" i="17"/>
  <c r="P199" i="17"/>
  <c r="Q199" i="17"/>
  <c r="O200" i="17"/>
  <c r="P200" i="17"/>
  <c r="Q200" i="17"/>
  <c r="O201" i="17"/>
  <c r="P201" i="17"/>
  <c r="Q201" i="17"/>
  <c r="O202" i="17"/>
  <c r="P202" i="17"/>
  <c r="Q202" i="17"/>
  <c r="O203" i="17"/>
  <c r="P203" i="17"/>
  <c r="Q203" i="17"/>
  <c r="O204" i="17"/>
  <c r="P204" i="17"/>
  <c r="Q204" i="17"/>
  <c r="O205" i="17"/>
  <c r="P205" i="17"/>
  <c r="Q205" i="17"/>
  <c r="O206" i="17"/>
  <c r="P206" i="17"/>
  <c r="Q206" i="17"/>
  <c r="O207" i="17"/>
  <c r="P207" i="17"/>
  <c r="Q207" i="17"/>
  <c r="O208" i="17"/>
  <c r="R208" i="17" s="1"/>
  <c r="X208" i="17" s="1"/>
  <c r="AD208" i="17" s="1"/>
  <c r="P208" i="17"/>
  <c r="S208" i="17" s="1"/>
  <c r="Y208" i="17" s="1"/>
  <c r="Q208" i="17"/>
  <c r="T208" i="17" s="1"/>
  <c r="Z208" i="17" s="1"/>
  <c r="O209" i="17"/>
  <c r="R209" i="17" s="1"/>
  <c r="X209" i="17" s="1"/>
  <c r="AD209" i="17" s="1"/>
  <c r="P209" i="17"/>
  <c r="S209" i="17" s="1"/>
  <c r="Y209" i="17" s="1"/>
  <c r="Q209" i="17"/>
  <c r="T209" i="17" s="1"/>
  <c r="Z209" i="17" s="1"/>
  <c r="O210" i="17"/>
  <c r="R210" i="17" s="1"/>
  <c r="X210" i="17" s="1"/>
  <c r="AD210" i="17" s="1"/>
  <c r="P210" i="17"/>
  <c r="S210" i="17" s="1"/>
  <c r="Y210" i="17" s="1"/>
  <c r="Q210" i="17"/>
  <c r="T210" i="17" s="1"/>
  <c r="Z210" i="17" s="1"/>
  <c r="O211" i="17"/>
  <c r="R211" i="17" s="1"/>
  <c r="X211" i="17" s="1"/>
  <c r="AD211" i="17" s="1"/>
  <c r="P211" i="17"/>
  <c r="S211" i="17" s="1"/>
  <c r="Y211" i="17" s="1"/>
  <c r="Q211" i="17"/>
  <c r="T211" i="17" s="1"/>
  <c r="Z211" i="17" s="1"/>
  <c r="O212" i="17"/>
  <c r="R212" i="17" s="1"/>
  <c r="X212" i="17" s="1"/>
  <c r="AD212" i="17" s="1"/>
  <c r="P212" i="17"/>
  <c r="S212" i="17" s="1"/>
  <c r="Y212" i="17" s="1"/>
  <c r="Q212" i="17"/>
  <c r="T212" i="17" s="1"/>
  <c r="Z212" i="17" s="1"/>
  <c r="O213" i="17"/>
  <c r="R213" i="17" s="1"/>
  <c r="X213" i="17" s="1"/>
  <c r="AD213" i="17" s="1"/>
  <c r="P213" i="17"/>
  <c r="S213" i="17" s="1"/>
  <c r="Y213" i="17" s="1"/>
  <c r="Q213" i="17"/>
  <c r="T213" i="17" s="1"/>
  <c r="Z213" i="17" s="1"/>
  <c r="O214" i="17"/>
  <c r="R214" i="17" s="1"/>
  <c r="X214" i="17" s="1"/>
  <c r="AD214" i="17" s="1"/>
  <c r="P214" i="17"/>
  <c r="S214" i="17" s="1"/>
  <c r="Y214" i="17" s="1"/>
  <c r="Q214" i="17"/>
  <c r="T214" i="17" s="1"/>
  <c r="Z214" i="17" s="1"/>
  <c r="O215" i="17"/>
  <c r="R215" i="17" s="1"/>
  <c r="X215" i="17" s="1"/>
  <c r="AD215" i="17" s="1"/>
  <c r="P215" i="17"/>
  <c r="S215" i="17" s="1"/>
  <c r="Y215" i="17" s="1"/>
  <c r="Q215" i="17"/>
  <c r="T215" i="17" s="1"/>
  <c r="Z215" i="17" s="1"/>
  <c r="O216" i="17"/>
  <c r="P216" i="17"/>
  <c r="Q216" i="17"/>
  <c r="O217" i="17"/>
  <c r="P217" i="17"/>
  <c r="Q217" i="17"/>
  <c r="O218" i="17"/>
  <c r="P218" i="17"/>
  <c r="Q218" i="17"/>
  <c r="O219" i="17"/>
  <c r="P219" i="17"/>
  <c r="Q219" i="17"/>
  <c r="O220" i="17"/>
  <c r="P220" i="17"/>
  <c r="Q220" i="17"/>
  <c r="O221" i="17"/>
  <c r="P221" i="17"/>
  <c r="Q221" i="17"/>
  <c r="O222" i="17"/>
  <c r="P222" i="17"/>
  <c r="Q222" i="17"/>
  <c r="O223" i="17"/>
  <c r="P223" i="17"/>
  <c r="Q223" i="17"/>
  <c r="O224" i="17"/>
  <c r="P224" i="17"/>
  <c r="Q224" i="17"/>
  <c r="O225" i="17"/>
  <c r="P225" i="17"/>
  <c r="Q225" i="17"/>
  <c r="O226" i="17"/>
  <c r="P226" i="17"/>
  <c r="Q226" i="17"/>
  <c r="O227" i="17"/>
  <c r="P227" i="17"/>
  <c r="Q227" i="17"/>
  <c r="O228" i="17"/>
  <c r="R228" i="17" s="1"/>
  <c r="X228" i="17" s="1"/>
  <c r="AD228" i="17" s="1"/>
  <c r="P228" i="17"/>
  <c r="S228" i="17" s="1"/>
  <c r="Y228" i="17" s="1"/>
  <c r="Q228" i="17"/>
  <c r="T228" i="17" s="1"/>
  <c r="Z228" i="17" s="1"/>
  <c r="O229" i="17"/>
  <c r="R229" i="17" s="1"/>
  <c r="X229" i="17" s="1"/>
  <c r="AD229" i="17" s="1"/>
  <c r="P229" i="17"/>
  <c r="S229" i="17" s="1"/>
  <c r="Y229" i="17" s="1"/>
  <c r="Q229" i="17"/>
  <c r="T229" i="17" s="1"/>
  <c r="Z229" i="17" s="1"/>
  <c r="O230" i="17"/>
  <c r="R230" i="17" s="1"/>
  <c r="X230" i="17" s="1"/>
  <c r="AD230" i="17" s="1"/>
  <c r="P230" i="17"/>
  <c r="S230" i="17" s="1"/>
  <c r="Y230" i="17" s="1"/>
  <c r="Q230" i="17"/>
  <c r="T230" i="17" s="1"/>
  <c r="Z230" i="17" s="1"/>
  <c r="O231" i="17"/>
  <c r="R231" i="17" s="1"/>
  <c r="X231" i="17" s="1"/>
  <c r="AD231" i="17" s="1"/>
  <c r="P231" i="17"/>
  <c r="S231" i="17" s="1"/>
  <c r="Y231" i="17" s="1"/>
  <c r="Q231" i="17"/>
  <c r="T231" i="17" s="1"/>
  <c r="Z231" i="17" s="1"/>
  <c r="O232" i="17"/>
  <c r="R232" i="17" s="1"/>
  <c r="X232" i="17" s="1"/>
  <c r="AD232" i="17" s="1"/>
  <c r="P232" i="17"/>
  <c r="S232" i="17" s="1"/>
  <c r="Y232" i="17" s="1"/>
  <c r="Q232" i="17"/>
  <c r="T232" i="17" s="1"/>
  <c r="Z232" i="17" s="1"/>
  <c r="O233" i="17"/>
  <c r="R233" i="17" s="1"/>
  <c r="X233" i="17" s="1"/>
  <c r="AD233" i="17" s="1"/>
  <c r="P233" i="17"/>
  <c r="S233" i="17" s="1"/>
  <c r="Y233" i="17" s="1"/>
  <c r="Q233" i="17"/>
  <c r="T233" i="17" s="1"/>
  <c r="Z233" i="17" s="1"/>
  <c r="O234" i="17"/>
  <c r="R234" i="17" s="1"/>
  <c r="X234" i="17" s="1"/>
  <c r="AD234" i="17" s="1"/>
  <c r="P234" i="17"/>
  <c r="S234" i="17" s="1"/>
  <c r="Y234" i="17" s="1"/>
  <c r="Q234" i="17"/>
  <c r="T234" i="17" s="1"/>
  <c r="Z234" i="17" s="1"/>
  <c r="O235" i="17"/>
  <c r="R235" i="17" s="1"/>
  <c r="X235" i="17" s="1"/>
  <c r="AD235" i="17" s="1"/>
  <c r="P235" i="17"/>
  <c r="S235" i="17" s="1"/>
  <c r="Y235" i="17" s="1"/>
  <c r="Q235" i="17"/>
  <c r="T235" i="17" s="1"/>
  <c r="Z235" i="17" s="1"/>
  <c r="O236" i="17"/>
  <c r="P236" i="17"/>
  <c r="Q236" i="17"/>
  <c r="O237" i="17"/>
  <c r="P237" i="17"/>
  <c r="Q237" i="17"/>
  <c r="O238" i="17"/>
  <c r="P238" i="17"/>
  <c r="Q238" i="17"/>
  <c r="O239" i="17"/>
  <c r="P239" i="17"/>
  <c r="Q239" i="17"/>
  <c r="O240" i="17"/>
  <c r="P240" i="17"/>
  <c r="Q240" i="17"/>
  <c r="O241" i="17"/>
  <c r="P241" i="17"/>
  <c r="Q241" i="17"/>
  <c r="O242" i="17"/>
  <c r="P242" i="17"/>
  <c r="Q242" i="17"/>
  <c r="O243" i="17"/>
  <c r="P243" i="17"/>
  <c r="Q243" i="17"/>
  <c r="O244" i="17"/>
  <c r="P244" i="17"/>
  <c r="Q244" i="17"/>
  <c r="O245" i="17"/>
  <c r="P245" i="17"/>
  <c r="Q245" i="17"/>
  <c r="O246" i="17"/>
  <c r="P246" i="17"/>
  <c r="Q246" i="17"/>
  <c r="O247" i="17"/>
  <c r="P247" i="17"/>
  <c r="Q247" i="17"/>
  <c r="O248" i="17"/>
  <c r="R248" i="17" s="1"/>
  <c r="X248" i="17" s="1"/>
  <c r="AD248" i="17" s="1"/>
  <c r="P248" i="17"/>
  <c r="S248" i="17" s="1"/>
  <c r="Y248" i="17" s="1"/>
  <c r="Q248" i="17"/>
  <c r="T248" i="17" s="1"/>
  <c r="Z248" i="17" s="1"/>
  <c r="O249" i="17"/>
  <c r="R249" i="17" s="1"/>
  <c r="X249" i="17" s="1"/>
  <c r="AD249" i="17" s="1"/>
  <c r="P249" i="17"/>
  <c r="S249" i="17" s="1"/>
  <c r="Y249" i="17" s="1"/>
  <c r="Q249" i="17"/>
  <c r="T249" i="17" s="1"/>
  <c r="Z249" i="17" s="1"/>
  <c r="O250" i="17"/>
  <c r="R250" i="17" s="1"/>
  <c r="X250" i="17" s="1"/>
  <c r="AD250" i="17" s="1"/>
  <c r="P250" i="17"/>
  <c r="S250" i="17" s="1"/>
  <c r="Y250" i="17" s="1"/>
  <c r="Q250" i="17"/>
  <c r="T250" i="17" s="1"/>
  <c r="Z250" i="17" s="1"/>
  <c r="O251" i="17"/>
  <c r="R251" i="17" s="1"/>
  <c r="X251" i="17" s="1"/>
  <c r="AD251" i="17" s="1"/>
  <c r="P251" i="17"/>
  <c r="S251" i="17" s="1"/>
  <c r="Y251" i="17" s="1"/>
  <c r="Q251" i="17"/>
  <c r="T251" i="17" s="1"/>
  <c r="Z251" i="17" s="1"/>
  <c r="O252" i="17"/>
  <c r="R252" i="17" s="1"/>
  <c r="X252" i="17" s="1"/>
  <c r="AD252" i="17" s="1"/>
  <c r="P252" i="17"/>
  <c r="S252" i="17" s="1"/>
  <c r="Y252" i="17" s="1"/>
  <c r="Q252" i="17"/>
  <c r="T252" i="17" s="1"/>
  <c r="Z252" i="17" s="1"/>
  <c r="O253" i="17"/>
  <c r="R253" i="17" s="1"/>
  <c r="X253" i="17" s="1"/>
  <c r="AD253" i="17" s="1"/>
  <c r="P253" i="17"/>
  <c r="S253" i="17" s="1"/>
  <c r="Y253" i="17" s="1"/>
  <c r="Q253" i="17"/>
  <c r="T253" i="17" s="1"/>
  <c r="Z253" i="17" s="1"/>
  <c r="O254" i="17"/>
  <c r="R254" i="17" s="1"/>
  <c r="X254" i="17" s="1"/>
  <c r="AD254" i="17" s="1"/>
  <c r="P254" i="17"/>
  <c r="S254" i="17" s="1"/>
  <c r="Y254" i="17" s="1"/>
  <c r="Q254" i="17"/>
  <c r="T254" i="17" s="1"/>
  <c r="Z254" i="17" s="1"/>
  <c r="O255" i="17"/>
  <c r="R255" i="17" s="1"/>
  <c r="X255" i="17" s="1"/>
  <c r="AD255" i="17" s="1"/>
  <c r="P255" i="17"/>
  <c r="S255" i="17" s="1"/>
  <c r="Y255" i="17" s="1"/>
  <c r="Q255" i="17"/>
  <c r="T255" i="17" s="1"/>
  <c r="Z255" i="17" s="1"/>
  <c r="O256" i="17"/>
  <c r="P256" i="17"/>
  <c r="Q256" i="17"/>
  <c r="O257" i="17"/>
  <c r="P257" i="17"/>
  <c r="Q257" i="17"/>
  <c r="O258" i="17"/>
  <c r="P258" i="17"/>
  <c r="Q258" i="17"/>
  <c r="O259" i="17"/>
  <c r="P259" i="17"/>
  <c r="Q259" i="17"/>
  <c r="O260" i="17"/>
  <c r="P260" i="17"/>
  <c r="Q260" i="17"/>
  <c r="O261" i="17"/>
  <c r="P261" i="17"/>
  <c r="Q261" i="17"/>
  <c r="O262" i="17"/>
  <c r="P262" i="17"/>
  <c r="Q262" i="17"/>
  <c r="O263" i="17"/>
  <c r="P263" i="17"/>
  <c r="Q263" i="17"/>
  <c r="O264" i="17"/>
  <c r="P264" i="17"/>
  <c r="Q264" i="17"/>
  <c r="O265" i="17"/>
  <c r="P265" i="17"/>
  <c r="Q265" i="17"/>
  <c r="O266" i="17"/>
  <c r="P266" i="17"/>
  <c r="Q266" i="17"/>
  <c r="O267" i="17"/>
  <c r="P267" i="17"/>
  <c r="Q267" i="17"/>
  <c r="O268" i="17"/>
  <c r="R268" i="17" s="1"/>
  <c r="X268" i="17" s="1"/>
  <c r="AD268" i="17" s="1"/>
  <c r="P268" i="17"/>
  <c r="S268" i="17" s="1"/>
  <c r="Y268" i="17" s="1"/>
  <c r="Q268" i="17"/>
  <c r="T268" i="17" s="1"/>
  <c r="Z268" i="17" s="1"/>
  <c r="O269" i="17"/>
  <c r="R269" i="17" s="1"/>
  <c r="X269" i="17" s="1"/>
  <c r="AD269" i="17" s="1"/>
  <c r="P269" i="17"/>
  <c r="S269" i="17" s="1"/>
  <c r="Y269" i="17" s="1"/>
  <c r="Q269" i="17"/>
  <c r="T269" i="17" s="1"/>
  <c r="Z269" i="17" s="1"/>
  <c r="O270" i="17"/>
  <c r="R270" i="17" s="1"/>
  <c r="X270" i="17" s="1"/>
  <c r="AD270" i="17" s="1"/>
  <c r="P270" i="17"/>
  <c r="S270" i="17" s="1"/>
  <c r="Y270" i="17" s="1"/>
  <c r="Q270" i="17"/>
  <c r="T270" i="17" s="1"/>
  <c r="Z270" i="17" s="1"/>
  <c r="O271" i="17"/>
  <c r="R271" i="17" s="1"/>
  <c r="X271" i="17" s="1"/>
  <c r="AD271" i="17" s="1"/>
  <c r="P271" i="17"/>
  <c r="S271" i="17" s="1"/>
  <c r="Y271" i="17" s="1"/>
  <c r="Q271" i="17"/>
  <c r="T271" i="17" s="1"/>
  <c r="Z271" i="17" s="1"/>
  <c r="O272" i="17"/>
  <c r="R272" i="17" s="1"/>
  <c r="X272" i="17" s="1"/>
  <c r="AD272" i="17" s="1"/>
  <c r="P272" i="17"/>
  <c r="S272" i="17" s="1"/>
  <c r="Y272" i="17" s="1"/>
  <c r="Q272" i="17"/>
  <c r="T272" i="17" s="1"/>
  <c r="Z272" i="17" s="1"/>
  <c r="O273" i="17"/>
  <c r="R273" i="17" s="1"/>
  <c r="X273" i="17" s="1"/>
  <c r="AD273" i="17" s="1"/>
  <c r="P273" i="17"/>
  <c r="S273" i="17" s="1"/>
  <c r="Y273" i="17" s="1"/>
  <c r="Q273" i="17"/>
  <c r="T273" i="17" s="1"/>
  <c r="Z273" i="17" s="1"/>
  <c r="O274" i="17"/>
  <c r="R274" i="17" s="1"/>
  <c r="X274" i="17" s="1"/>
  <c r="AD274" i="17" s="1"/>
  <c r="P274" i="17"/>
  <c r="S274" i="17" s="1"/>
  <c r="Y274" i="17" s="1"/>
  <c r="Q274" i="17"/>
  <c r="T274" i="17" s="1"/>
  <c r="Z274" i="17" s="1"/>
  <c r="O275" i="17"/>
  <c r="R275" i="17" s="1"/>
  <c r="X275" i="17" s="1"/>
  <c r="AD275" i="17" s="1"/>
  <c r="P275" i="17"/>
  <c r="S275" i="17" s="1"/>
  <c r="Y275" i="17" s="1"/>
  <c r="Q275" i="17"/>
  <c r="T275" i="17" s="1"/>
  <c r="Z275" i="17" s="1"/>
  <c r="O276" i="17"/>
  <c r="P276" i="17"/>
  <c r="Q276" i="17"/>
  <c r="O277" i="17"/>
  <c r="P277" i="17"/>
  <c r="Q277" i="17"/>
  <c r="O278" i="17"/>
  <c r="P278" i="17"/>
  <c r="Q278" i="17"/>
  <c r="O279" i="17"/>
  <c r="P279" i="17"/>
  <c r="Q279" i="17"/>
  <c r="O280" i="17"/>
  <c r="P280" i="17"/>
  <c r="Q280" i="17"/>
  <c r="O281" i="17"/>
  <c r="P281" i="17"/>
  <c r="Q281" i="17"/>
  <c r="O282" i="17"/>
  <c r="P282" i="17"/>
  <c r="Q282" i="17"/>
  <c r="O283" i="17"/>
  <c r="P283" i="17"/>
  <c r="Q283" i="17"/>
  <c r="O284" i="17"/>
  <c r="P284" i="17"/>
  <c r="Q284" i="17"/>
  <c r="O285" i="17"/>
  <c r="P285" i="17"/>
  <c r="Q285" i="17"/>
  <c r="O286" i="17"/>
  <c r="P286" i="17"/>
  <c r="Q286" i="17"/>
  <c r="O287" i="17"/>
  <c r="P287" i="17"/>
  <c r="Q287" i="17"/>
  <c r="O288" i="17"/>
  <c r="R288" i="17" s="1"/>
  <c r="X288" i="17" s="1"/>
  <c r="AD288" i="17" s="1"/>
  <c r="P288" i="17"/>
  <c r="S288" i="17" s="1"/>
  <c r="Y288" i="17" s="1"/>
  <c r="Q288" i="17"/>
  <c r="T288" i="17" s="1"/>
  <c r="Z288" i="17" s="1"/>
  <c r="O289" i="17"/>
  <c r="R289" i="17" s="1"/>
  <c r="X289" i="17" s="1"/>
  <c r="AD289" i="17" s="1"/>
  <c r="P289" i="17"/>
  <c r="S289" i="17" s="1"/>
  <c r="Y289" i="17" s="1"/>
  <c r="Q289" i="17"/>
  <c r="T289" i="17" s="1"/>
  <c r="Z289" i="17" s="1"/>
  <c r="O290" i="17"/>
  <c r="R290" i="17" s="1"/>
  <c r="X290" i="17" s="1"/>
  <c r="AD290" i="17" s="1"/>
  <c r="P290" i="17"/>
  <c r="S290" i="17" s="1"/>
  <c r="Y290" i="17" s="1"/>
  <c r="Q290" i="17"/>
  <c r="T290" i="17" s="1"/>
  <c r="Z290" i="17" s="1"/>
  <c r="O291" i="17"/>
  <c r="R291" i="17" s="1"/>
  <c r="X291" i="17" s="1"/>
  <c r="AD291" i="17" s="1"/>
  <c r="P291" i="17"/>
  <c r="S291" i="17" s="1"/>
  <c r="Y291" i="17" s="1"/>
  <c r="Q291" i="17"/>
  <c r="T291" i="17" s="1"/>
  <c r="Z291" i="17" s="1"/>
  <c r="O292" i="17"/>
  <c r="R292" i="17" s="1"/>
  <c r="X292" i="17" s="1"/>
  <c r="AD292" i="17" s="1"/>
  <c r="P292" i="17"/>
  <c r="S292" i="17" s="1"/>
  <c r="Y292" i="17" s="1"/>
  <c r="Q292" i="17"/>
  <c r="T292" i="17" s="1"/>
  <c r="Z292" i="17" s="1"/>
  <c r="O293" i="17"/>
  <c r="R293" i="17" s="1"/>
  <c r="X293" i="17" s="1"/>
  <c r="AD293" i="17" s="1"/>
  <c r="P293" i="17"/>
  <c r="S293" i="17" s="1"/>
  <c r="Y293" i="17" s="1"/>
  <c r="Q293" i="17"/>
  <c r="T293" i="17" s="1"/>
  <c r="Z293" i="17" s="1"/>
  <c r="O294" i="17"/>
  <c r="R294" i="17" s="1"/>
  <c r="X294" i="17" s="1"/>
  <c r="AD294" i="17" s="1"/>
  <c r="P294" i="17"/>
  <c r="S294" i="17" s="1"/>
  <c r="Y294" i="17" s="1"/>
  <c r="Q294" i="17"/>
  <c r="T294" i="17" s="1"/>
  <c r="Z294" i="17" s="1"/>
  <c r="O295" i="17"/>
  <c r="R295" i="17" s="1"/>
  <c r="X295" i="17" s="1"/>
  <c r="AD295" i="17" s="1"/>
  <c r="P295" i="17"/>
  <c r="S295" i="17" s="1"/>
  <c r="Y295" i="17" s="1"/>
  <c r="Q295" i="17"/>
  <c r="T295" i="17" s="1"/>
  <c r="Z295" i="17" s="1"/>
  <c r="O296" i="17"/>
  <c r="P296" i="17"/>
  <c r="Q296" i="17"/>
  <c r="O297" i="17"/>
  <c r="P297" i="17"/>
  <c r="Q297" i="17"/>
  <c r="O298" i="17"/>
  <c r="P298" i="17"/>
  <c r="Q298" i="17"/>
  <c r="O299" i="17"/>
  <c r="P299" i="17"/>
  <c r="Q299" i="17"/>
  <c r="O300" i="17"/>
  <c r="P300" i="17"/>
  <c r="Q300" i="17"/>
  <c r="O301" i="17"/>
  <c r="P301" i="17"/>
  <c r="Q301" i="17"/>
  <c r="O302" i="17"/>
  <c r="P302" i="17"/>
  <c r="Q302" i="17"/>
  <c r="O303" i="17"/>
  <c r="P303" i="17"/>
  <c r="Q303" i="17"/>
  <c r="O304" i="17"/>
  <c r="P304" i="17"/>
  <c r="Q304" i="17"/>
  <c r="O305" i="17"/>
  <c r="P305" i="17"/>
  <c r="Q305" i="17"/>
  <c r="O306" i="17"/>
  <c r="P306" i="17"/>
  <c r="Q306" i="17"/>
  <c r="O307" i="17"/>
  <c r="P307" i="17"/>
  <c r="Q307" i="17"/>
  <c r="O308" i="17"/>
  <c r="P308" i="17"/>
  <c r="Q308" i="17"/>
  <c r="O309" i="17"/>
  <c r="P309" i="17"/>
  <c r="Q309" i="17"/>
  <c r="O310" i="17"/>
  <c r="P310" i="17"/>
  <c r="Q310" i="17"/>
  <c r="O311" i="17"/>
  <c r="P311" i="17"/>
  <c r="Q311" i="17"/>
  <c r="O312" i="17"/>
  <c r="P312" i="17"/>
  <c r="Q312" i="17"/>
  <c r="O313" i="17"/>
  <c r="P313" i="17"/>
  <c r="Q313" i="17"/>
  <c r="O314" i="17"/>
  <c r="P314" i="17"/>
  <c r="Q314" i="17"/>
  <c r="O315" i="17"/>
  <c r="P315" i="17"/>
  <c r="Q315" i="17"/>
  <c r="O316" i="17"/>
  <c r="P316" i="17"/>
  <c r="Q316" i="17"/>
  <c r="O317" i="17"/>
  <c r="P317" i="17"/>
  <c r="Q317" i="17"/>
  <c r="O318" i="17"/>
  <c r="P318" i="17"/>
  <c r="Q318" i="17"/>
  <c r="O319" i="17"/>
  <c r="P319" i="17"/>
  <c r="Q319" i="17"/>
  <c r="O320" i="17"/>
  <c r="P320" i="17"/>
  <c r="Q320" i="17"/>
  <c r="O321" i="17"/>
  <c r="P321" i="17"/>
  <c r="Q321" i="17"/>
  <c r="O322" i="17"/>
  <c r="P322" i="17"/>
  <c r="Q322" i="17"/>
  <c r="O323" i="17"/>
  <c r="P323" i="17"/>
  <c r="Q323" i="17"/>
  <c r="O324" i="17"/>
  <c r="P324" i="17"/>
  <c r="Q324" i="17"/>
  <c r="O325" i="17"/>
  <c r="P325" i="17"/>
  <c r="Q325" i="17"/>
  <c r="O326" i="17"/>
  <c r="P326" i="17"/>
  <c r="Q326" i="17"/>
  <c r="O327" i="17"/>
  <c r="P327" i="17"/>
  <c r="Q327" i="17"/>
  <c r="O328" i="17"/>
  <c r="P328" i="17"/>
  <c r="Q328" i="17"/>
  <c r="O329" i="17"/>
  <c r="P329" i="17"/>
  <c r="Q329" i="17"/>
  <c r="O330" i="17"/>
  <c r="P330" i="17"/>
  <c r="Q330" i="17"/>
  <c r="O331" i="17"/>
  <c r="P331" i="17"/>
  <c r="Q331" i="17"/>
  <c r="O332" i="17"/>
  <c r="P332" i="17"/>
  <c r="Q332" i="17"/>
  <c r="O333" i="17"/>
  <c r="P333" i="17"/>
  <c r="Q333" i="17"/>
  <c r="O334" i="17"/>
  <c r="P334" i="17"/>
  <c r="Q334" i="17"/>
  <c r="O335" i="17"/>
  <c r="P335" i="17"/>
  <c r="Q335" i="17"/>
  <c r="O336" i="17"/>
  <c r="P336" i="17"/>
  <c r="Q336" i="17"/>
  <c r="O337" i="17"/>
  <c r="P337" i="17"/>
  <c r="Q337" i="17"/>
  <c r="O338" i="17"/>
  <c r="P338" i="17"/>
  <c r="Q338" i="17"/>
  <c r="O339" i="17"/>
  <c r="P339" i="17"/>
  <c r="Q339" i="17"/>
  <c r="O340" i="17"/>
  <c r="P340" i="17"/>
  <c r="Q340" i="17"/>
  <c r="O341" i="17"/>
  <c r="P341" i="17"/>
  <c r="Q341" i="17"/>
  <c r="O342" i="17"/>
  <c r="P342" i="17"/>
  <c r="Q342" i="17"/>
  <c r="O343" i="17"/>
  <c r="P343" i="17"/>
  <c r="Q343" i="17"/>
  <c r="O344" i="17"/>
  <c r="P344" i="17"/>
  <c r="Q344" i="17"/>
  <c r="O345" i="17"/>
  <c r="P345" i="17"/>
  <c r="Q345" i="17"/>
  <c r="O346" i="17"/>
  <c r="P346" i="17"/>
  <c r="Q346" i="17"/>
  <c r="O347" i="17"/>
  <c r="P347" i="17"/>
  <c r="Q347" i="17"/>
  <c r="O348" i="17"/>
  <c r="P348" i="17"/>
  <c r="Q348" i="17"/>
  <c r="O349" i="17"/>
  <c r="P349" i="17"/>
  <c r="Q349" i="17"/>
  <c r="O350" i="17"/>
  <c r="P350" i="17"/>
  <c r="Q350" i="17"/>
  <c r="O351" i="17"/>
  <c r="P351" i="17"/>
  <c r="Q351" i="17"/>
  <c r="O352" i="17"/>
  <c r="P352" i="17"/>
  <c r="Q352" i="17"/>
  <c r="O353" i="17"/>
  <c r="P353" i="17"/>
  <c r="Q353" i="17"/>
  <c r="O354" i="17"/>
  <c r="P354" i="17"/>
  <c r="Q354" i="17"/>
  <c r="O355" i="17"/>
  <c r="P355" i="17"/>
  <c r="Q355" i="17"/>
  <c r="O356" i="17"/>
  <c r="P356" i="17"/>
  <c r="Q356" i="17"/>
  <c r="O357" i="17"/>
  <c r="P357" i="17"/>
  <c r="Q357" i="17"/>
  <c r="O358" i="17"/>
  <c r="P358" i="17"/>
  <c r="Q358" i="17"/>
  <c r="O359" i="17"/>
  <c r="P359" i="17"/>
  <c r="Q359" i="17"/>
  <c r="O360" i="17"/>
  <c r="P360" i="17"/>
  <c r="Q360" i="17"/>
  <c r="O361" i="17"/>
  <c r="P361" i="17"/>
  <c r="Q361" i="17"/>
  <c r="O362" i="17"/>
  <c r="P362" i="17"/>
  <c r="Q362" i="17"/>
  <c r="O363" i="17"/>
  <c r="P363" i="17"/>
  <c r="Q363" i="17"/>
  <c r="O364" i="17"/>
  <c r="P364" i="17"/>
  <c r="Q364" i="17"/>
  <c r="O365" i="17"/>
  <c r="P365" i="17"/>
  <c r="Q365" i="17"/>
  <c r="O366" i="17"/>
  <c r="P366" i="17"/>
  <c r="Q366" i="17"/>
  <c r="O367" i="17"/>
  <c r="P367" i="17"/>
  <c r="Q367" i="17"/>
  <c r="O368" i="17"/>
  <c r="P368" i="17"/>
  <c r="Q368" i="17"/>
  <c r="O369" i="17"/>
  <c r="P369" i="17"/>
  <c r="Q369" i="17"/>
  <c r="O370" i="17"/>
  <c r="P370" i="17"/>
  <c r="Q370" i="17"/>
  <c r="O371" i="17"/>
  <c r="P371" i="17"/>
  <c r="Q371" i="17"/>
  <c r="O372" i="17"/>
  <c r="P372" i="17"/>
  <c r="Q372" i="17"/>
  <c r="O373" i="17"/>
  <c r="P373" i="17"/>
  <c r="Q373" i="17"/>
  <c r="O374" i="17"/>
  <c r="P374" i="17"/>
  <c r="Q374" i="17"/>
  <c r="O375" i="17"/>
  <c r="P375" i="17"/>
  <c r="Q375" i="17"/>
  <c r="O376" i="17"/>
  <c r="P376" i="17"/>
  <c r="Q376" i="17"/>
  <c r="O377" i="17"/>
  <c r="P377" i="17"/>
  <c r="Q377" i="17"/>
  <c r="O378" i="17"/>
  <c r="P378" i="17"/>
  <c r="Q378" i="17"/>
  <c r="O379" i="17"/>
  <c r="P379" i="17"/>
  <c r="Q379" i="17"/>
  <c r="O380" i="17"/>
  <c r="P380" i="17"/>
  <c r="Q380" i="17"/>
  <c r="O381" i="17"/>
  <c r="P381" i="17"/>
  <c r="Q381" i="17"/>
  <c r="O382" i="17"/>
  <c r="P382" i="17"/>
  <c r="Q382" i="17"/>
  <c r="O383" i="17"/>
  <c r="P383" i="17"/>
  <c r="Q383" i="17"/>
  <c r="O384" i="17"/>
  <c r="P384" i="17"/>
  <c r="Q384" i="17"/>
  <c r="O385" i="17"/>
  <c r="P385" i="17"/>
  <c r="Q385" i="17"/>
  <c r="O386" i="17"/>
  <c r="P386" i="17"/>
  <c r="Q386" i="17"/>
  <c r="O387" i="17"/>
  <c r="P387" i="17"/>
  <c r="Q387" i="17"/>
  <c r="O388" i="17"/>
  <c r="P388" i="17"/>
  <c r="Q388" i="17"/>
  <c r="O389" i="17"/>
  <c r="P389" i="17"/>
  <c r="Q389" i="17"/>
  <c r="O390" i="17"/>
  <c r="P390" i="17"/>
  <c r="Q390" i="17"/>
  <c r="O391" i="17"/>
  <c r="P391" i="17"/>
  <c r="Q391" i="17"/>
  <c r="O392" i="17"/>
  <c r="P392" i="17"/>
  <c r="Q392" i="17"/>
  <c r="O393" i="17"/>
  <c r="P393" i="17"/>
  <c r="Q393" i="17"/>
  <c r="O394" i="17"/>
  <c r="P394" i="17"/>
  <c r="Q394" i="17"/>
  <c r="O395" i="17"/>
  <c r="P395" i="17"/>
  <c r="Q395" i="17"/>
  <c r="O396" i="17"/>
  <c r="P396" i="17"/>
  <c r="Q396" i="17"/>
  <c r="O397" i="17"/>
  <c r="P397" i="17"/>
  <c r="Q397" i="17"/>
  <c r="O398" i="17"/>
  <c r="P398" i="17"/>
  <c r="Q398" i="17"/>
  <c r="O399" i="17"/>
  <c r="P399" i="17"/>
  <c r="Q399" i="17"/>
  <c r="O400" i="17"/>
  <c r="P400" i="17"/>
  <c r="Q400" i="17"/>
  <c r="O401" i="17"/>
  <c r="P401" i="17"/>
  <c r="Q401" i="17"/>
  <c r="O402" i="17"/>
  <c r="P402" i="17"/>
  <c r="Q402" i="17"/>
  <c r="O403" i="17"/>
  <c r="P403" i="17"/>
  <c r="Q403" i="17"/>
  <c r="O404" i="17"/>
  <c r="P404" i="17"/>
  <c r="Q404" i="17"/>
  <c r="O405" i="17"/>
  <c r="P405" i="17"/>
  <c r="Q405" i="17"/>
  <c r="O406" i="17"/>
  <c r="P406" i="17"/>
  <c r="Q406" i="17"/>
  <c r="O407" i="17"/>
  <c r="P407" i="17"/>
  <c r="Q407" i="17"/>
  <c r="O408" i="17"/>
  <c r="P408" i="17"/>
  <c r="Q408" i="17"/>
  <c r="O409" i="17"/>
  <c r="P409" i="17"/>
  <c r="Q409" i="17"/>
  <c r="O410" i="17"/>
  <c r="P410" i="17"/>
  <c r="Q410" i="17"/>
  <c r="O411" i="17"/>
  <c r="P411" i="17"/>
  <c r="Q411" i="17"/>
  <c r="O412" i="17"/>
  <c r="P412" i="17"/>
  <c r="Q412" i="17"/>
  <c r="O413" i="17"/>
  <c r="P413" i="17"/>
  <c r="Q413" i="17"/>
  <c r="O414" i="17"/>
  <c r="P414" i="17"/>
  <c r="Q414" i="17"/>
  <c r="O415" i="17"/>
  <c r="P415" i="17"/>
  <c r="Q415" i="17"/>
  <c r="O416" i="17"/>
  <c r="P416" i="17"/>
  <c r="Q416" i="17"/>
  <c r="O417" i="17"/>
  <c r="P417" i="17"/>
  <c r="Q417" i="17"/>
  <c r="O418" i="17"/>
  <c r="P418" i="17"/>
  <c r="Q418" i="17"/>
  <c r="O419" i="17"/>
  <c r="P419" i="17"/>
  <c r="Q419" i="17"/>
  <c r="O420" i="17"/>
  <c r="P420" i="17"/>
  <c r="Q420" i="17"/>
  <c r="O421" i="17"/>
  <c r="P421" i="17"/>
  <c r="Q421" i="17"/>
  <c r="O422" i="17"/>
  <c r="P422" i="17"/>
  <c r="Q422" i="17"/>
  <c r="O423" i="17"/>
  <c r="P423" i="17"/>
  <c r="Q423" i="17"/>
  <c r="O424" i="17"/>
  <c r="P424" i="17"/>
  <c r="Q424" i="17"/>
  <c r="O425" i="17"/>
  <c r="P425" i="17"/>
  <c r="Q425" i="17"/>
  <c r="O426" i="17"/>
  <c r="P426" i="17"/>
  <c r="Q426" i="17"/>
  <c r="O427" i="17"/>
  <c r="P427" i="17"/>
  <c r="Q427" i="17"/>
  <c r="O428" i="17"/>
  <c r="P428" i="17"/>
  <c r="Q428" i="17"/>
  <c r="O429" i="17"/>
  <c r="P429" i="17"/>
  <c r="Q429" i="17"/>
  <c r="O430" i="17"/>
  <c r="P430" i="17"/>
  <c r="Q430" i="17"/>
  <c r="O431" i="17"/>
  <c r="P431" i="17"/>
  <c r="Q431" i="17"/>
  <c r="O432" i="17"/>
  <c r="P432" i="17"/>
  <c r="Q432" i="17"/>
  <c r="O433" i="17"/>
  <c r="P433" i="17"/>
  <c r="Q433" i="17"/>
  <c r="O434" i="17"/>
  <c r="P434" i="17"/>
  <c r="Q434" i="17"/>
  <c r="O435" i="17"/>
  <c r="P435" i="17"/>
  <c r="Q435" i="17"/>
  <c r="O436" i="17"/>
  <c r="P436" i="17"/>
  <c r="Q436" i="17"/>
  <c r="O437" i="17"/>
  <c r="P437" i="17"/>
  <c r="Q437" i="17"/>
  <c r="O438" i="17"/>
  <c r="P438" i="17"/>
  <c r="Q438" i="17"/>
  <c r="O439" i="17"/>
  <c r="P439" i="17"/>
  <c r="Q439" i="17"/>
  <c r="O440" i="17"/>
  <c r="P440" i="17"/>
  <c r="Q440" i="17"/>
  <c r="O441" i="17"/>
  <c r="P441" i="17"/>
  <c r="Q441" i="17"/>
  <c r="O442" i="17"/>
  <c r="P442" i="17"/>
  <c r="Q442" i="17"/>
  <c r="O443" i="17"/>
  <c r="P443" i="17"/>
  <c r="Q443" i="17"/>
  <c r="O444" i="17"/>
  <c r="P444" i="17"/>
  <c r="Q444" i="17"/>
  <c r="O445" i="17"/>
  <c r="P445" i="17"/>
  <c r="Q445" i="17"/>
  <c r="O446" i="17"/>
  <c r="P446" i="17"/>
  <c r="Q446" i="17"/>
  <c r="O447" i="17"/>
  <c r="P447" i="17"/>
  <c r="Q447" i="17"/>
  <c r="O448" i="17"/>
  <c r="P448" i="17"/>
  <c r="Q448" i="17"/>
  <c r="O449" i="17"/>
  <c r="P449" i="17"/>
  <c r="Q449" i="17"/>
  <c r="O450" i="17"/>
  <c r="P450" i="17"/>
  <c r="Q450" i="17"/>
  <c r="O451" i="17"/>
  <c r="P451" i="17"/>
  <c r="Q451" i="17"/>
  <c r="O452" i="17"/>
  <c r="P452" i="17"/>
  <c r="Q452" i="17"/>
  <c r="O453" i="17"/>
  <c r="P453" i="17"/>
  <c r="Q453" i="17"/>
  <c r="O454" i="17"/>
  <c r="P454" i="17"/>
  <c r="Q454" i="17"/>
  <c r="O455" i="17"/>
  <c r="P455" i="17"/>
  <c r="Q455" i="17"/>
  <c r="O456" i="17"/>
  <c r="P456" i="17"/>
  <c r="Q456" i="17"/>
  <c r="O457" i="17"/>
  <c r="P457" i="17"/>
  <c r="Q457" i="17"/>
  <c r="O458" i="17"/>
  <c r="P458" i="17"/>
  <c r="Q458" i="17"/>
  <c r="O459" i="17"/>
  <c r="P459" i="17"/>
  <c r="Q459" i="17"/>
  <c r="O460" i="17"/>
  <c r="P460" i="17"/>
  <c r="Q460" i="17"/>
  <c r="O461" i="17"/>
  <c r="P461" i="17"/>
  <c r="Q461" i="17"/>
  <c r="O462" i="17"/>
  <c r="P462" i="17"/>
  <c r="Q462" i="17"/>
  <c r="O463" i="17"/>
  <c r="P463" i="17"/>
  <c r="Q463" i="17"/>
  <c r="O464" i="17"/>
  <c r="P464" i="17"/>
  <c r="Q464" i="17"/>
  <c r="O465" i="17"/>
  <c r="P465" i="17"/>
  <c r="Q465" i="17"/>
  <c r="O466" i="17"/>
  <c r="P466" i="17"/>
  <c r="Q466" i="17"/>
  <c r="O467" i="17"/>
  <c r="P467" i="17"/>
  <c r="Q467" i="17"/>
  <c r="O468" i="17"/>
  <c r="P468" i="17"/>
  <c r="Q468" i="17"/>
  <c r="O469" i="17"/>
  <c r="P469" i="17"/>
  <c r="Q469" i="17"/>
  <c r="O470" i="17"/>
  <c r="P470" i="17"/>
  <c r="Q470" i="17"/>
  <c r="O471" i="17"/>
  <c r="P471" i="17"/>
  <c r="Q471" i="17"/>
  <c r="O472" i="17"/>
  <c r="P472" i="17"/>
  <c r="Q472" i="17"/>
  <c r="O473" i="17"/>
  <c r="P473" i="17"/>
  <c r="Q473" i="17"/>
  <c r="O474" i="17"/>
  <c r="P474" i="17"/>
  <c r="Q474" i="17"/>
  <c r="O475" i="17"/>
  <c r="P475" i="17"/>
  <c r="Q475" i="17"/>
  <c r="O476" i="17"/>
  <c r="P476" i="17"/>
  <c r="Q476" i="17"/>
  <c r="O477" i="17"/>
  <c r="P477" i="17"/>
  <c r="Q477" i="17"/>
  <c r="O478" i="17"/>
  <c r="P478" i="17"/>
  <c r="Q478" i="17"/>
  <c r="O479" i="17"/>
  <c r="P479" i="17"/>
  <c r="Q479" i="17"/>
  <c r="O480" i="17"/>
  <c r="P480" i="17"/>
  <c r="Q480" i="17"/>
  <c r="O481" i="17"/>
  <c r="P481" i="17"/>
  <c r="Q481" i="17"/>
  <c r="O482" i="17"/>
  <c r="P482" i="17"/>
  <c r="Q482" i="17"/>
  <c r="O483" i="17"/>
  <c r="P483" i="17"/>
  <c r="Q483" i="17"/>
  <c r="O484" i="17"/>
  <c r="P484" i="17"/>
  <c r="Q484" i="17"/>
  <c r="O485" i="17"/>
  <c r="P485" i="17"/>
  <c r="Q485" i="17"/>
  <c r="O486" i="17"/>
  <c r="P486" i="17"/>
  <c r="Q486" i="17"/>
  <c r="O487" i="17"/>
  <c r="P487" i="17"/>
  <c r="Q487" i="17"/>
  <c r="O488" i="17"/>
  <c r="P488" i="17"/>
  <c r="Q488" i="17"/>
  <c r="O489" i="17"/>
  <c r="P489" i="17"/>
  <c r="Q489" i="17"/>
  <c r="O490" i="17"/>
  <c r="P490" i="17"/>
  <c r="Q490" i="17"/>
  <c r="O491" i="17"/>
  <c r="P491" i="17"/>
  <c r="Q491" i="17"/>
  <c r="O492" i="17"/>
  <c r="P492" i="17"/>
  <c r="Q492" i="17"/>
  <c r="O493" i="17"/>
  <c r="P493" i="17"/>
  <c r="Q493" i="17"/>
  <c r="O494" i="17"/>
  <c r="P494" i="17"/>
  <c r="Q494" i="17"/>
  <c r="O495" i="17"/>
  <c r="P495" i="17"/>
  <c r="Q495" i="17"/>
  <c r="O496" i="17"/>
  <c r="P496" i="17"/>
  <c r="Q496" i="17"/>
  <c r="O497" i="17"/>
  <c r="P497" i="17"/>
  <c r="Q497" i="17"/>
  <c r="O498" i="17"/>
  <c r="P498" i="17"/>
  <c r="Q498" i="17"/>
  <c r="O499" i="17"/>
  <c r="P499" i="17"/>
  <c r="Q499" i="17"/>
  <c r="O500" i="17"/>
  <c r="P500" i="17"/>
  <c r="Q500" i="17"/>
  <c r="O501" i="17"/>
  <c r="P501" i="17"/>
  <c r="Q501" i="17"/>
  <c r="O502" i="17"/>
  <c r="P502" i="17"/>
  <c r="Q502" i="17"/>
  <c r="O503" i="17"/>
  <c r="P503" i="17"/>
  <c r="Q503" i="17"/>
  <c r="O504" i="17"/>
  <c r="P504" i="17"/>
  <c r="Q504" i="17"/>
  <c r="O505" i="17"/>
  <c r="P505" i="17"/>
  <c r="Q505" i="17"/>
  <c r="O506" i="17"/>
  <c r="P506" i="17"/>
  <c r="Q506" i="17"/>
  <c r="O507" i="17"/>
  <c r="P507" i="17"/>
  <c r="Q507" i="17"/>
  <c r="O508" i="17"/>
  <c r="P508" i="17"/>
  <c r="Q508" i="17"/>
  <c r="O509" i="17"/>
  <c r="P509" i="17"/>
  <c r="Q509" i="17"/>
  <c r="O510" i="17"/>
  <c r="P510" i="17"/>
  <c r="Q510" i="17"/>
  <c r="O511" i="17"/>
  <c r="P511" i="17"/>
  <c r="Q511" i="17"/>
  <c r="O512" i="17"/>
  <c r="P512" i="17"/>
  <c r="Q512" i="17"/>
  <c r="O513" i="17"/>
  <c r="P513" i="17"/>
  <c r="Q513" i="17"/>
  <c r="O514" i="17"/>
  <c r="P514" i="17"/>
  <c r="Q514" i="17"/>
  <c r="O515" i="17"/>
  <c r="P515" i="17"/>
  <c r="Q515" i="17"/>
  <c r="O516" i="17"/>
  <c r="P516" i="17"/>
  <c r="Q516" i="17"/>
  <c r="O517" i="17"/>
  <c r="P517" i="17"/>
  <c r="Q517" i="17"/>
  <c r="O518" i="17"/>
  <c r="P518" i="17"/>
  <c r="Q518" i="17"/>
  <c r="O519" i="17"/>
  <c r="P519" i="17"/>
  <c r="Q519" i="17"/>
  <c r="O520" i="17"/>
  <c r="P520" i="17"/>
  <c r="Q520" i="17"/>
  <c r="O521" i="17"/>
  <c r="P521" i="17"/>
  <c r="Q521" i="17"/>
  <c r="O522" i="17"/>
  <c r="P522" i="17"/>
  <c r="Q522" i="17"/>
  <c r="O523" i="17"/>
  <c r="P523" i="17"/>
  <c r="Q523" i="17"/>
  <c r="O524" i="17"/>
  <c r="P524" i="17"/>
  <c r="Q524" i="17"/>
  <c r="O525" i="17"/>
  <c r="P525" i="17"/>
  <c r="Q525" i="17"/>
  <c r="O526" i="17"/>
  <c r="P526" i="17"/>
  <c r="Q526" i="17"/>
  <c r="O527" i="17"/>
  <c r="P527" i="17"/>
  <c r="Q527" i="17"/>
  <c r="O528" i="17"/>
  <c r="P528" i="17"/>
  <c r="Q528" i="17"/>
  <c r="O529" i="17"/>
  <c r="P529" i="17"/>
  <c r="Q529" i="17"/>
  <c r="O530" i="17"/>
  <c r="P530" i="17"/>
  <c r="Q530" i="17"/>
  <c r="O531" i="17"/>
  <c r="P531" i="17"/>
  <c r="Q531" i="17"/>
  <c r="O532" i="17"/>
  <c r="P532" i="17"/>
  <c r="Q532" i="17"/>
  <c r="O533" i="17"/>
  <c r="P533" i="17"/>
  <c r="Q533" i="17"/>
  <c r="O534" i="17"/>
  <c r="P534" i="17"/>
  <c r="Q534" i="17"/>
  <c r="O535" i="17"/>
  <c r="P535" i="17"/>
  <c r="Q535" i="17"/>
  <c r="O536" i="17"/>
  <c r="P536" i="17"/>
  <c r="Q536" i="17"/>
  <c r="O537" i="17"/>
  <c r="P537" i="17"/>
  <c r="Q537" i="17"/>
  <c r="O538" i="17"/>
  <c r="P538" i="17"/>
  <c r="Q538" i="17"/>
  <c r="O539" i="17"/>
  <c r="P539" i="17"/>
  <c r="Q539" i="17"/>
  <c r="O540" i="17"/>
  <c r="P540" i="17"/>
  <c r="Q540" i="17"/>
  <c r="O541" i="17"/>
  <c r="P541" i="17"/>
  <c r="Q541" i="17"/>
  <c r="O542" i="17"/>
  <c r="P542" i="17"/>
  <c r="Q542" i="17"/>
  <c r="O543" i="17"/>
  <c r="P543" i="17"/>
  <c r="Q543" i="17"/>
  <c r="O544" i="17"/>
  <c r="P544" i="17"/>
  <c r="Q544" i="17"/>
  <c r="O545" i="17"/>
  <c r="P545" i="17"/>
  <c r="Q545" i="17"/>
  <c r="O546" i="17"/>
  <c r="P546" i="17"/>
  <c r="Q546" i="17"/>
  <c r="O547" i="17"/>
  <c r="P547" i="17"/>
  <c r="Q547" i="17"/>
  <c r="O548" i="17"/>
  <c r="P548" i="17"/>
  <c r="Q548" i="17"/>
  <c r="O549" i="17"/>
  <c r="P549" i="17"/>
  <c r="Q549" i="17"/>
  <c r="O550" i="17"/>
  <c r="P550" i="17"/>
  <c r="Q550" i="17"/>
  <c r="O551" i="17"/>
  <c r="P551" i="17"/>
  <c r="Q551" i="17"/>
  <c r="O552" i="17"/>
  <c r="P552" i="17"/>
  <c r="Q552" i="17"/>
  <c r="O553" i="17"/>
  <c r="P553" i="17"/>
  <c r="Q553" i="17"/>
  <c r="O554" i="17"/>
  <c r="P554" i="17"/>
  <c r="Q554" i="17"/>
  <c r="O555" i="17"/>
  <c r="P555" i="17"/>
  <c r="Q555" i="17"/>
  <c r="O556" i="17"/>
  <c r="P556" i="17"/>
  <c r="Q556" i="17"/>
  <c r="O557" i="17"/>
  <c r="P557" i="17"/>
  <c r="Q557" i="17"/>
  <c r="O558" i="17"/>
  <c r="P558" i="17"/>
  <c r="Q558" i="17"/>
  <c r="O559" i="17"/>
  <c r="P559" i="17"/>
  <c r="Q559" i="17"/>
  <c r="O560" i="17"/>
  <c r="P560" i="17"/>
  <c r="Q560" i="17"/>
  <c r="O561" i="17"/>
  <c r="P561" i="17"/>
  <c r="Q561" i="17"/>
  <c r="O562" i="17"/>
  <c r="P562" i="17"/>
  <c r="Q562" i="17"/>
  <c r="O563" i="17"/>
  <c r="P563" i="17"/>
  <c r="Q563" i="17"/>
  <c r="O564" i="17"/>
  <c r="P564" i="17"/>
  <c r="Q564" i="17"/>
  <c r="O565" i="17"/>
  <c r="P565" i="17"/>
  <c r="Q565" i="17"/>
  <c r="O566" i="17"/>
  <c r="P566" i="17"/>
  <c r="Q566" i="17"/>
  <c r="O567" i="17"/>
  <c r="P567" i="17"/>
  <c r="Q567" i="17"/>
  <c r="O568" i="17"/>
  <c r="P568" i="17"/>
  <c r="Q568" i="17"/>
  <c r="O569" i="17"/>
  <c r="P569" i="17"/>
  <c r="Q569" i="17"/>
  <c r="O570" i="17"/>
  <c r="P570" i="17"/>
  <c r="Q570" i="17"/>
  <c r="O571" i="17"/>
  <c r="P571" i="17"/>
  <c r="Q571" i="17"/>
  <c r="O572" i="17"/>
  <c r="P572" i="17"/>
  <c r="Q572" i="17"/>
  <c r="O573" i="17"/>
  <c r="P573" i="17"/>
  <c r="Q573" i="17"/>
  <c r="O574" i="17"/>
  <c r="P574" i="17"/>
  <c r="Q574" i="17"/>
  <c r="O575" i="17"/>
  <c r="P575" i="17"/>
  <c r="Q575" i="17"/>
  <c r="O576" i="17"/>
  <c r="P576" i="17"/>
  <c r="Q576" i="17"/>
  <c r="O577" i="17"/>
  <c r="P577" i="17"/>
  <c r="Q577" i="17"/>
  <c r="O578" i="17"/>
  <c r="P578" i="17"/>
  <c r="Q578" i="17"/>
  <c r="O579" i="17"/>
  <c r="P579" i="17"/>
  <c r="Q579" i="17"/>
  <c r="O580" i="17"/>
  <c r="P580" i="17"/>
  <c r="Q580" i="17"/>
  <c r="O581" i="17"/>
  <c r="P581" i="17"/>
  <c r="Q581" i="17"/>
  <c r="O582" i="17"/>
  <c r="P582" i="17"/>
  <c r="Q582" i="17"/>
  <c r="O583" i="17"/>
  <c r="P583" i="17"/>
  <c r="Q583" i="17"/>
  <c r="O584" i="17"/>
  <c r="P584" i="17"/>
  <c r="Q584" i="17"/>
  <c r="O585" i="17"/>
  <c r="P585" i="17"/>
  <c r="Q585" i="17"/>
  <c r="O586" i="17"/>
  <c r="P586" i="17"/>
  <c r="Q586" i="17"/>
  <c r="O587" i="17"/>
  <c r="P587" i="17"/>
  <c r="Q587" i="17"/>
  <c r="O588" i="17"/>
  <c r="P588" i="17"/>
  <c r="Q588" i="17"/>
  <c r="O589" i="17"/>
  <c r="P589" i="17"/>
  <c r="Q589" i="17"/>
  <c r="O590" i="17"/>
  <c r="P590" i="17"/>
  <c r="Q590" i="17"/>
  <c r="O591" i="17"/>
  <c r="P591" i="17"/>
  <c r="Q591" i="17"/>
  <c r="O592" i="17"/>
  <c r="P592" i="17"/>
  <c r="Q592" i="17"/>
  <c r="O593" i="17"/>
  <c r="P593" i="17"/>
  <c r="Q593" i="17"/>
  <c r="O594" i="17"/>
  <c r="P594" i="17"/>
  <c r="Q594" i="17"/>
  <c r="O595" i="17"/>
  <c r="P595" i="17"/>
  <c r="Q595" i="17"/>
  <c r="O596" i="17"/>
  <c r="P596" i="17"/>
  <c r="Q596" i="17"/>
  <c r="O597" i="17"/>
  <c r="P597" i="17"/>
  <c r="Q597" i="17"/>
  <c r="O598" i="17"/>
  <c r="P598" i="17"/>
  <c r="Q598" i="17"/>
  <c r="O599" i="17"/>
  <c r="P599" i="17"/>
  <c r="Q599" i="17"/>
  <c r="O600" i="17"/>
  <c r="P600" i="17"/>
  <c r="Q600" i="17"/>
  <c r="O601" i="17"/>
  <c r="P601" i="17"/>
  <c r="Q601" i="17"/>
  <c r="O602" i="17"/>
  <c r="P602" i="17"/>
  <c r="Q602" i="17"/>
  <c r="O603" i="17"/>
  <c r="P603" i="17"/>
  <c r="Q603" i="17"/>
  <c r="O604" i="17"/>
  <c r="P604" i="17"/>
  <c r="Q604" i="17"/>
  <c r="O605" i="17"/>
  <c r="P605" i="17"/>
  <c r="Q605" i="17"/>
  <c r="O606" i="17"/>
  <c r="P606" i="17"/>
  <c r="Q606" i="17"/>
  <c r="O607" i="17"/>
  <c r="P607" i="17"/>
  <c r="Q607" i="17"/>
  <c r="O608" i="17"/>
  <c r="P608" i="17"/>
  <c r="Q608" i="17"/>
  <c r="O609" i="17"/>
  <c r="P609" i="17"/>
  <c r="Q609" i="17"/>
  <c r="O610" i="17"/>
  <c r="P610" i="17"/>
  <c r="Q610" i="17"/>
  <c r="O611" i="17"/>
  <c r="P611" i="17"/>
  <c r="Q611" i="17"/>
  <c r="O612" i="17"/>
  <c r="P612" i="17"/>
  <c r="Q612" i="17"/>
  <c r="O613" i="17"/>
  <c r="P613" i="17"/>
  <c r="Q613" i="17"/>
  <c r="O614" i="17"/>
  <c r="P614" i="17"/>
  <c r="Q614" i="17"/>
  <c r="O615" i="17"/>
  <c r="P615" i="17"/>
  <c r="Q615" i="17"/>
  <c r="O616" i="17"/>
  <c r="P616" i="17"/>
  <c r="Q616" i="17"/>
  <c r="O617" i="17"/>
  <c r="P617" i="17"/>
  <c r="Q617" i="17"/>
  <c r="O618" i="17"/>
  <c r="P618" i="17"/>
  <c r="Q618" i="17"/>
  <c r="O619" i="17"/>
  <c r="P619" i="17"/>
  <c r="Q619" i="17"/>
  <c r="O620" i="17"/>
  <c r="P620" i="17"/>
  <c r="Q620" i="17"/>
  <c r="O621" i="17"/>
  <c r="P621" i="17"/>
  <c r="Q621" i="17"/>
  <c r="O622" i="17"/>
  <c r="P622" i="17"/>
  <c r="Q622" i="17"/>
  <c r="O623" i="17"/>
  <c r="P623" i="17"/>
  <c r="Q623" i="17"/>
  <c r="O624" i="17"/>
  <c r="P624" i="17"/>
  <c r="Q624" i="17"/>
  <c r="O625" i="17"/>
  <c r="P625" i="17"/>
  <c r="Q625" i="17"/>
  <c r="O626" i="17"/>
  <c r="P626" i="17"/>
  <c r="Q626" i="17"/>
  <c r="O627" i="17"/>
  <c r="P627" i="17"/>
  <c r="Q627" i="17"/>
  <c r="O628" i="17"/>
  <c r="P628" i="17"/>
  <c r="Q628" i="17"/>
  <c r="O629" i="17"/>
  <c r="P629" i="17"/>
  <c r="Q629" i="17"/>
  <c r="O630" i="17"/>
  <c r="P630" i="17"/>
  <c r="Q630" i="17"/>
  <c r="O631" i="17"/>
  <c r="P631" i="17"/>
  <c r="Q631" i="17"/>
  <c r="O632" i="17"/>
  <c r="P632" i="17"/>
  <c r="Q632" i="17"/>
  <c r="O633" i="17"/>
  <c r="P633" i="17"/>
  <c r="Q633" i="17"/>
  <c r="O634" i="17"/>
  <c r="P634" i="17"/>
  <c r="Q634" i="17"/>
  <c r="O635" i="17"/>
  <c r="P635" i="17"/>
  <c r="Q635" i="17"/>
  <c r="O636" i="17"/>
  <c r="P636" i="17"/>
  <c r="Q636" i="17"/>
  <c r="O637" i="17"/>
  <c r="P637" i="17"/>
  <c r="Q637" i="17"/>
  <c r="O638" i="17"/>
  <c r="P638" i="17"/>
  <c r="Q638" i="17"/>
  <c r="O639" i="17"/>
  <c r="P639" i="17"/>
  <c r="Q639" i="17"/>
  <c r="O640" i="17"/>
  <c r="P640" i="17"/>
  <c r="Q640" i="17"/>
  <c r="O641" i="17"/>
  <c r="P641" i="17"/>
  <c r="Q641" i="17"/>
  <c r="O642" i="17"/>
  <c r="P642" i="17"/>
  <c r="Q642" i="17"/>
  <c r="O643" i="17"/>
  <c r="P643" i="17"/>
  <c r="Q643" i="17"/>
  <c r="O644" i="17"/>
  <c r="P644" i="17"/>
  <c r="Q644" i="17"/>
  <c r="O645" i="17"/>
  <c r="P645" i="17"/>
  <c r="Q645" i="17"/>
  <c r="O646" i="17"/>
  <c r="P646" i="17"/>
  <c r="Q646" i="17"/>
  <c r="O647" i="17"/>
  <c r="P647" i="17"/>
  <c r="Q647" i="17"/>
  <c r="O648" i="17"/>
  <c r="P648" i="17"/>
  <c r="Q648" i="17"/>
  <c r="O649" i="17"/>
  <c r="P649" i="17"/>
  <c r="Q649" i="17"/>
  <c r="O650" i="17"/>
  <c r="P650" i="17"/>
  <c r="Q650" i="17"/>
  <c r="O651" i="17"/>
  <c r="P651" i="17"/>
  <c r="Q651" i="17"/>
  <c r="O652" i="17"/>
  <c r="P652" i="17"/>
  <c r="Q652" i="17"/>
  <c r="O653" i="17"/>
  <c r="P653" i="17"/>
  <c r="Q653" i="17"/>
  <c r="O654" i="17"/>
  <c r="P654" i="17"/>
  <c r="Q654" i="17"/>
  <c r="O655" i="17"/>
  <c r="P655" i="17"/>
  <c r="Q655" i="17"/>
  <c r="O656" i="17"/>
  <c r="P656" i="17"/>
  <c r="Q656" i="17"/>
  <c r="O657" i="17"/>
  <c r="P657" i="17"/>
  <c r="Q657" i="17"/>
  <c r="O658" i="17"/>
  <c r="P658" i="17"/>
  <c r="Q658" i="17"/>
  <c r="O659" i="17"/>
  <c r="P659" i="17"/>
  <c r="Q659" i="17"/>
  <c r="O660" i="17"/>
  <c r="P660" i="17"/>
  <c r="Q660" i="17"/>
  <c r="O661" i="17"/>
  <c r="P661" i="17"/>
  <c r="Q661" i="17"/>
  <c r="O662" i="17"/>
  <c r="P662" i="17"/>
  <c r="Q662" i="17"/>
  <c r="O663" i="17"/>
  <c r="P663" i="17"/>
  <c r="Q663" i="17"/>
  <c r="O664" i="17"/>
  <c r="P664" i="17"/>
  <c r="Q664" i="17"/>
  <c r="O665" i="17"/>
  <c r="P665" i="17"/>
  <c r="Q665" i="17"/>
  <c r="O666" i="17"/>
  <c r="P666" i="17"/>
  <c r="Q666" i="17"/>
  <c r="O667" i="17"/>
  <c r="P667" i="17"/>
  <c r="Q667" i="17"/>
  <c r="O668" i="17"/>
  <c r="P668" i="17"/>
  <c r="Q668" i="17"/>
  <c r="O669" i="17"/>
  <c r="P669" i="17"/>
  <c r="Q669" i="17"/>
  <c r="O670" i="17"/>
  <c r="P670" i="17"/>
  <c r="Q670" i="17"/>
  <c r="O671" i="17"/>
  <c r="P671" i="17"/>
  <c r="Q671" i="17"/>
  <c r="O672" i="17"/>
  <c r="P672" i="17"/>
  <c r="Q672" i="17"/>
  <c r="O673" i="17"/>
  <c r="P673" i="17"/>
  <c r="Q673" i="17"/>
  <c r="O674" i="17"/>
  <c r="P674" i="17"/>
  <c r="Q674" i="17"/>
  <c r="O675" i="17"/>
  <c r="P675" i="17"/>
  <c r="Q675" i="17"/>
  <c r="O676" i="17"/>
  <c r="P676" i="17"/>
  <c r="Q676" i="17"/>
  <c r="O677" i="17"/>
  <c r="P677" i="17"/>
  <c r="Q677" i="17"/>
  <c r="O678" i="17"/>
  <c r="P678" i="17"/>
  <c r="Q678" i="17"/>
  <c r="O679" i="17"/>
  <c r="P679" i="17"/>
  <c r="Q679" i="17"/>
  <c r="O680" i="17"/>
  <c r="P680" i="17"/>
  <c r="Q680" i="17"/>
  <c r="O681" i="17"/>
  <c r="P681" i="17"/>
  <c r="Q681" i="17"/>
  <c r="O682" i="17"/>
  <c r="P682" i="17"/>
  <c r="Q682" i="17"/>
  <c r="O683" i="17"/>
  <c r="P683" i="17"/>
  <c r="Q683" i="17"/>
  <c r="O684" i="17"/>
  <c r="P684" i="17"/>
  <c r="Q684" i="17"/>
  <c r="O685" i="17"/>
  <c r="P685" i="17"/>
  <c r="Q685" i="17"/>
  <c r="O686" i="17"/>
  <c r="P686" i="17"/>
  <c r="Q686" i="17"/>
  <c r="O687" i="17"/>
  <c r="P687" i="17"/>
  <c r="Q687" i="17"/>
  <c r="O688" i="17"/>
  <c r="P688" i="17"/>
  <c r="Q688" i="17"/>
  <c r="O689" i="17"/>
  <c r="P689" i="17"/>
  <c r="Q689" i="17"/>
  <c r="O690" i="17"/>
  <c r="P690" i="17"/>
  <c r="Q690" i="17"/>
  <c r="O691" i="17"/>
  <c r="P691" i="17"/>
  <c r="Q691" i="17"/>
  <c r="O692" i="17"/>
  <c r="P692" i="17"/>
  <c r="Q692" i="17"/>
  <c r="O693" i="17"/>
  <c r="P693" i="17"/>
  <c r="Q693" i="17"/>
  <c r="O694" i="17"/>
  <c r="P694" i="17"/>
  <c r="Q694" i="17"/>
  <c r="O695" i="17"/>
  <c r="P695" i="17"/>
  <c r="Q695" i="17"/>
  <c r="O696" i="17"/>
  <c r="P696" i="17"/>
  <c r="Q696" i="17"/>
  <c r="O697" i="17"/>
  <c r="P697" i="17"/>
  <c r="Q697" i="17"/>
  <c r="O698" i="17"/>
  <c r="P698" i="17"/>
  <c r="Q698" i="17"/>
  <c r="O699" i="17"/>
  <c r="P699" i="17"/>
  <c r="Q699" i="17"/>
  <c r="O700" i="17"/>
  <c r="P700" i="17"/>
  <c r="Q700" i="17"/>
  <c r="O701" i="17"/>
  <c r="P701" i="17"/>
  <c r="Q701" i="17"/>
  <c r="O702" i="17"/>
  <c r="P702" i="17"/>
  <c r="Q702" i="17"/>
  <c r="O703" i="17"/>
  <c r="P703" i="17"/>
  <c r="Q703" i="17"/>
  <c r="O704" i="17"/>
  <c r="P704" i="17"/>
  <c r="Q704" i="17"/>
  <c r="O705" i="17"/>
  <c r="P705" i="17"/>
  <c r="Q705" i="17"/>
  <c r="O706" i="17"/>
  <c r="P706" i="17"/>
  <c r="Q706" i="17"/>
  <c r="O707" i="17"/>
  <c r="P707" i="17"/>
  <c r="Q707" i="17"/>
  <c r="O708" i="17"/>
  <c r="P708" i="17"/>
  <c r="Q708" i="17"/>
  <c r="O709" i="17"/>
  <c r="P709" i="17"/>
  <c r="Q709" i="17"/>
  <c r="O710" i="17"/>
  <c r="P710" i="17"/>
  <c r="Q710" i="17"/>
  <c r="O711" i="17"/>
  <c r="P711" i="17"/>
  <c r="Q711" i="17"/>
  <c r="O712" i="17"/>
  <c r="P712" i="17"/>
  <c r="Q712" i="17"/>
  <c r="O713" i="17"/>
  <c r="P713" i="17"/>
  <c r="Q713" i="17"/>
  <c r="O714" i="17"/>
  <c r="P714" i="17"/>
  <c r="Q714" i="17"/>
  <c r="O715" i="17"/>
  <c r="P715" i="17"/>
  <c r="Q715" i="17"/>
  <c r="O716" i="17"/>
  <c r="P716" i="17"/>
  <c r="Q716" i="17"/>
  <c r="O717" i="17"/>
  <c r="P717" i="17"/>
  <c r="Q717" i="17"/>
  <c r="O718" i="17"/>
  <c r="P718" i="17"/>
  <c r="Q718" i="17"/>
  <c r="O719" i="17"/>
  <c r="P719" i="17"/>
  <c r="Q719" i="17"/>
  <c r="O720" i="17"/>
  <c r="P720" i="17"/>
  <c r="Q720" i="17"/>
  <c r="O721" i="17"/>
  <c r="P721" i="17"/>
  <c r="Q721" i="17"/>
  <c r="O722" i="17"/>
  <c r="P722" i="17"/>
  <c r="Q722" i="17"/>
  <c r="O723" i="17"/>
  <c r="P723" i="17"/>
  <c r="Q723" i="17"/>
  <c r="O724" i="17"/>
  <c r="P724" i="17"/>
  <c r="Q724" i="17"/>
  <c r="O725" i="17"/>
  <c r="P725" i="17"/>
  <c r="Q725" i="17"/>
  <c r="O726" i="17"/>
  <c r="P726" i="17"/>
  <c r="Q726" i="17"/>
  <c r="O727" i="17"/>
  <c r="P727" i="17"/>
  <c r="Q727" i="17"/>
  <c r="O728" i="17"/>
  <c r="P728" i="17"/>
  <c r="Q728" i="17"/>
  <c r="O729" i="17"/>
  <c r="P729" i="17"/>
  <c r="Q729" i="17"/>
  <c r="O730" i="17"/>
  <c r="P730" i="17"/>
  <c r="Q730" i="17"/>
  <c r="O731" i="17"/>
  <c r="P731" i="17"/>
  <c r="Q731" i="17"/>
  <c r="O732" i="17"/>
  <c r="P732" i="17"/>
  <c r="Q732" i="17"/>
  <c r="O733" i="17"/>
  <c r="P733" i="17"/>
  <c r="Q733" i="17"/>
  <c r="O734" i="17"/>
  <c r="P734" i="17"/>
  <c r="Q734" i="17"/>
  <c r="O735" i="17"/>
  <c r="P735" i="17"/>
  <c r="Q735" i="17"/>
  <c r="O736" i="17"/>
  <c r="P736" i="17"/>
  <c r="Q736" i="17"/>
  <c r="O737" i="17"/>
  <c r="P737" i="17"/>
  <c r="Q737" i="17"/>
  <c r="O738" i="17"/>
  <c r="P738" i="17"/>
  <c r="Q738" i="17"/>
  <c r="O739" i="17"/>
  <c r="P739" i="17"/>
  <c r="Q739" i="17"/>
  <c r="O740" i="17"/>
  <c r="P740" i="17"/>
  <c r="Q740" i="17"/>
  <c r="O741" i="17"/>
  <c r="P741" i="17"/>
  <c r="Q741" i="17"/>
  <c r="O742" i="17"/>
  <c r="P742" i="17"/>
  <c r="Q742" i="17"/>
  <c r="O743" i="17"/>
  <c r="P743" i="17"/>
  <c r="Q743" i="17"/>
  <c r="O744" i="17"/>
  <c r="P744" i="17"/>
  <c r="Q744" i="17"/>
  <c r="O745" i="17"/>
  <c r="P745" i="17"/>
  <c r="Q745" i="17"/>
  <c r="O746" i="17"/>
  <c r="P746" i="17"/>
  <c r="Q746" i="17"/>
  <c r="O747" i="17"/>
  <c r="P747" i="17"/>
  <c r="Q747" i="17"/>
  <c r="O748" i="17"/>
  <c r="P748" i="17"/>
  <c r="Q748" i="17"/>
  <c r="O749" i="17"/>
  <c r="P749" i="17"/>
  <c r="Q749" i="17"/>
  <c r="O750" i="17"/>
  <c r="P750" i="17"/>
  <c r="Q750" i="17"/>
  <c r="O751" i="17"/>
  <c r="P751" i="17"/>
  <c r="Q751" i="17"/>
  <c r="O752" i="17"/>
  <c r="P752" i="17"/>
  <c r="Q752" i="17"/>
  <c r="O753" i="17"/>
  <c r="P753" i="17"/>
  <c r="Q753" i="17"/>
  <c r="O754" i="17"/>
  <c r="P754" i="17"/>
  <c r="Q754" i="17"/>
  <c r="O755" i="17"/>
  <c r="P755" i="17"/>
  <c r="Q755" i="17"/>
  <c r="O756" i="17"/>
  <c r="P756" i="17"/>
  <c r="Q756" i="17"/>
  <c r="O757" i="17"/>
  <c r="P757" i="17"/>
  <c r="Q757" i="17"/>
  <c r="O758" i="17"/>
  <c r="P758" i="17"/>
  <c r="Q758" i="17"/>
  <c r="O759" i="17"/>
  <c r="P759" i="17"/>
  <c r="Q759" i="17"/>
  <c r="O760" i="17"/>
  <c r="P760" i="17"/>
  <c r="Q760" i="17"/>
  <c r="O761" i="17"/>
  <c r="P761" i="17"/>
  <c r="Q761" i="17"/>
  <c r="O762" i="17"/>
  <c r="P762" i="17"/>
  <c r="Q762" i="17"/>
  <c r="O763" i="17"/>
  <c r="P763" i="17"/>
  <c r="Q763" i="17"/>
  <c r="O764" i="17"/>
  <c r="P764" i="17"/>
  <c r="Q764" i="17"/>
  <c r="O765" i="17"/>
  <c r="P765" i="17"/>
  <c r="Q765" i="17"/>
  <c r="O766" i="17"/>
  <c r="P766" i="17"/>
  <c r="Q766" i="17"/>
  <c r="O767" i="17"/>
  <c r="P767" i="17"/>
  <c r="Q767" i="17"/>
  <c r="O768" i="17"/>
  <c r="P768" i="17"/>
  <c r="Q768" i="17"/>
  <c r="O769" i="17"/>
  <c r="P769" i="17"/>
  <c r="Q769" i="17"/>
  <c r="O770" i="17"/>
  <c r="P770" i="17"/>
  <c r="Q770" i="17"/>
  <c r="O771" i="17"/>
  <c r="P771" i="17"/>
  <c r="Q771" i="17"/>
  <c r="O772" i="17"/>
  <c r="P772" i="17"/>
  <c r="Q772" i="17"/>
  <c r="O773" i="17"/>
  <c r="P773" i="17"/>
  <c r="Q773" i="17"/>
  <c r="O774" i="17"/>
  <c r="P774" i="17"/>
  <c r="Q774" i="17"/>
  <c r="O775" i="17"/>
  <c r="P775" i="17"/>
  <c r="Q775" i="17"/>
  <c r="O776" i="17"/>
  <c r="P776" i="17"/>
  <c r="Q776" i="17"/>
  <c r="O777" i="17"/>
  <c r="P777" i="17"/>
  <c r="Q777" i="17"/>
  <c r="O778" i="17"/>
  <c r="P778" i="17"/>
  <c r="Q778" i="17"/>
  <c r="O779" i="17"/>
  <c r="P779" i="17"/>
  <c r="Q779" i="17"/>
  <c r="O780" i="17"/>
  <c r="P780" i="17"/>
  <c r="Q780" i="17"/>
  <c r="O781" i="17"/>
  <c r="P781" i="17"/>
  <c r="Q781" i="17"/>
  <c r="O782" i="17"/>
  <c r="P782" i="17"/>
  <c r="Q782" i="17"/>
  <c r="O783" i="17"/>
  <c r="P783" i="17"/>
  <c r="Q783" i="17"/>
  <c r="O784" i="17"/>
  <c r="P784" i="17"/>
  <c r="Q784" i="17"/>
  <c r="O785" i="17"/>
  <c r="P785" i="17"/>
  <c r="Q785" i="17"/>
  <c r="O786" i="17"/>
  <c r="P786" i="17"/>
  <c r="Q786" i="17"/>
  <c r="O787" i="17"/>
  <c r="P787" i="17"/>
  <c r="Q787" i="17"/>
  <c r="O788" i="17"/>
  <c r="P788" i="17"/>
  <c r="Q788" i="17"/>
  <c r="O789" i="17"/>
  <c r="P789" i="17"/>
  <c r="Q789" i="17"/>
  <c r="O790" i="17"/>
  <c r="P790" i="17"/>
  <c r="Q790" i="17"/>
  <c r="O791" i="17"/>
  <c r="P791" i="17"/>
  <c r="Q791" i="17"/>
  <c r="O792" i="17"/>
  <c r="P792" i="17"/>
  <c r="Q792" i="17"/>
  <c r="O793" i="17"/>
  <c r="P793" i="17"/>
  <c r="Q793" i="17"/>
  <c r="O794" i="17"/>
  <c r="P794" i="17"/>
  <c r="Q794" i="17"/>
  <c r="O795" i="17"/>
  <c r="P795" i="17"/>
  <c r="Q795" i="17"/>
  <c r="O796" i="17"/>
  <c r="P796" i="17"/>
  <c r="Q796" i="17"/>
  <c r="O797" i="17"/>
  <c r="P797" i="17"/>
  <c r="Q797" i="17"/>
  <c r="O798" i="17"/>
  <c r="P798" i="17"/>
  <c r="Q798" i="17"/>
  <c r="O799" i="17"/>
  <c r="P799" i="17"/>
  <c r="Q799" i="17"/>
  <c r="O800" i="17"/>
  <c r="P800" i="17"/>
  <c r="Q800" i="17"/>
  <c r="O801" i="17"/>
  <c r="P801" i="17"/>
  <c r="Q801" i="17"/>
  <c r="O802" i="17"/>
  <c r="P802" i="17"/>
  <c r="Q802" i="17"/>
  <c r="O803" i="17"/>
  <c r="P803" i="17"/>
  <c r="Q803" i="17"/>
  <c r="O804" i="17"/>
  <c r="P804" i="17"/>
  <c r="Q804" i="17"/>
  <c r="O805" i="17"/>
  <c r="P805" i="17"/>
  <c r="Q805" i="17"/>
  <c r="O806" i="17"/>
  <c r="P806" i="17"/>
  <c r="Q806" i="17"/>
  <c r="O807" i="17"/>
  <c r="P807" i="17"/>
  <c r="Q807" i="17"/>
  <c r="O808" i="17"/>
  <c r="P808" i="17"/>
  <c r="Q808" i="17"/>
  <c r="O809" i="17"/>
  <c r="P809" i="17"/>
  <c r="Q809" i="17"/>
  <c r="O810" i="17"/>
  <c r="P810" i="17"/>
  <c r="Q810" i="17"/>
  <c r="O811" i="17"/>
  <c r="P811" i="17"/>
  <c r="Q811" i="17"/>
  <c r="O812" i="17"/>
  <c r="P812" i="17"/>
  <c r="Q812" i="17"/>
  <c r="O813" i="17"/>
  <c r="P813" i="17"/>
  <c r="Q813" i="17"/>
  <c r="O814" i="17"/>
  <c r="P814" i="17"/>
  <c r="Q814" i="17"/>
  <c r="O815" i="17"/>
  <c r="P815" i="17"/>
  <c r="Q815" i="17"/>
  <c r="O816" i="17"/>
  <c r="P816" i="17"/>
  <c r="Q816" i="17"/>
  <c r="O817" i="17"/>
  <c r="P817" i="17"/>
  <c r="Q817" i="17"/>
  <c r="O818" i="17"/>
  <c r="P818" i="17"/>
  <c r="Q818" i="17"/>
  <c r="O819" i="17"/>
  <c r="P819" i="17"/>
  <c r="Q819" i="17"/>
  <c r="O820" i="17"/>
  <c r="P820" i="17"/>
  <c r="Q820" i="17"/>
  <c r="O821" i="17"/>
  <c r="P821" i="17"/>
  <c r="Q821" i="17"/>
  <c r="O822" i="17"/>
  <c r="P822" i="17"/>
  <c r="Q822" i="17"/>
  <c r="O823" i="17"/>
  <c r="P823" i="17"/>
  <c r="Q823" i="17"/>
  <c r="O824" i="17"/>
  <c r="P824" i="17"/>
  <c r="Q824" i="17"/>
  <c r="O825" i="17"/>
  <c r="P825" i="17"/>
  <c r="Q825" i="17"/>
  <c r="O826" i="17"/>
  <c r="P826" i="17"/>
  <c r="Q826" i="17"/>
  <c r="O827" i="17"/>
  <c r="P827" i="17"/>
  <c r="Q827" i="17"/>
  <c r="O828" i="17"/>
  <c r="P828" i="17"/>
  <c r="Q828" i="17"/>
  <c r="O829" i="17"/>
  <c r="P829" i="17"/>
  <c r="Q829" i="17"/>
  <c r="O830" i="17"/>
  <c r="P830" i="17"/>
  <c r="Q830" i="17"/>
  <c r="O831" i="17"/>
  <c r="P831" i="17"/>
  <c r="Q831" i="17"/>
  <c r="O832" i="17"/>
  <c r="P832" i="17"/>
  <c r="Q832" i="17"/>
  <c r="O833" i="17"/>
  <c r="P833" i="17"/>
  <c r="Q833" i="17"/>
  <c r="O834" i="17"/>
  <c r="P834" i="17"/>
  <c r="Q834" i="17"/>
  <c r="O835" i="17"/>
  <c r="P835" i="17"/>
  <c r="Q835" i="17"/>
  <c r="O836" i="17"/>
  <c r="P836" i="17"/>
  <c r="Q836" i="17"/>
  <c r="O837" i="17"/>
  <c r="P837" i="17"/>
  <c r="Q837" i="17"/>
  <c r="O838" i="17"/>
  <c r="P838" i="17"/>
  <c r="Q838" i="17"/>
  <c r="O839" i="17"/>
  <c r="P839" i="17"/>
  <c r="Q839" i="17"/>
  <c r="O840" i="17"/>
  <c r="P840" i="17"/>
  <c r="Q840" i="17"/>
  <c r="O841" i="17"/>
  <c r="P841" i="17"/>
  <c r="Q841" i="17"/>
  <c r="O842" i="17"/>
  <c r="P842" i="17"/>
  <c r="Q842" i="17"/>
  <c r="O843" i="17"/>
  <c r="P843" i="17"/>
  <c r="Q843" i="17"/>
  <c r="O844" i="17"/>
  <c r="P844" i="17"/>
  <c r="Q844" i="17"/>
  <c r="O845" i="17"/>
  <c r="P845" i="17"/>
  <c r="Q845" i="17"/>
  <c r="O846" i="17"/>
  <c r="P846" i="17"/>
  <c r="Q846" i="17"/>
  <c r="O847" i="17"/>
  <c r="P847" i="17"/>
  <c r="Q847" i="17"/>
  <c r="O848" i="17"/>
  <c r="P848" i="17"/>
  <c r="Q848" i="17"/>
  <c r="O849" i="17"/>
  <c r="P849" i="17"/>
  <c r="Q849" i="17"/>
  <c r="O850" i="17"/>
  <c r="P850" i="17"/>
  <c r="Q850" i="17"/>
  <c r="O851" i="17"/>
  <c r="P851" i="17"/>
  <c r="Q851" i="17"/>
  <c r="O852" i="17"/>
  <c r="P852" i="17"/>
  <c r="Q852" i="17"/>
  <c r="O853" i="17"/>
  <c r="P853" i="17"/>
  <c r="Q853" i="17"/>
  <c r="O854" i="17"/>
  <c r="P854" i="17"/>
  <c r="Q854" i="17"/>
  <c r="O855" i="17"/>
  <c r="P855" i="17"/>
  <c r="Q855" i="17"/>
  <c r="O856" i="17"/>
  <c r="P856" i="17"/>
  <c r="Q856" i="17"/>
  <c r="O857" i="17"/>
  <c r="P857" i="17"/>
  <c r="Q857" i="17"/>
  <c r="O858" i="17"/>
  <c r="P858" i="17"/>
  <c r="Q858" i="17"/>
  <c r="O859" i="17"/>
  <c r="P859" i="17"/>
  <c r="Q859" i="17"/>
  <c r="O860" i="17"/>
  <c r="P860" i="17"/>
  <c r="Q860" i="17"/>
  <c r="O861" i="17"/>
  <c r="P861" i="17"/>
  <c r="Q861" i="17"/>
  <c r="O862" i="17"/>
  <c r="P862" i="17"/>
  <c r="Q862" i="17"/>
  <c r="O863" i="17"/>
  <c r="P863" i="17"/>
  <c r="Q863" i="17"/>
  <c r="O864" i="17"/>
  <c r="P864" i="17"/>
  <c r="Q864" i="17"/>
  <c r="O865" i="17"/>
  <c r="P865" i="17"/>
  <c r="Q865" i="17"/>
  <c r="O866" i="17"/>
  <c r="P866" i="17"/>
  <c r="Q866" i="17"/>
  <c r="O867" i="17"/>
  <c r="P867" i="17"/>
  <c r="Q867" i="17"/>
  <c r="O868" i="17"/>
  <c r="P868" i="17"/>
  <c r="Q868" i="17"/>
  <c r="O869" i="17"/>
  <c r="P869" i="17"/>
  <c r="Q869" i="17"/>
  <c r="O870" i="17"/>
  <c r="P870" i="17"/>
  <c r="Q870" i="17"/>
  <c r="O871" i="17"/>
  <c r="P871" i="17"/>
  <c r="Q871" i="17"/>
  <c r="O872" i="17"/>
  <c r="P872" i="17"/>
  <c r="Q872" i="17"/>
  <c r="O873" i="17"/>
  <c r="P873" i="17"/>
  <c r="Q873" i="17"/>
  <c r="O874" i="17"/>
  <c r="P874" i="17"/>
  <c r="Q874" i="17"/>
  <c r="O875" i="17"/>
  <c r="P875" i="17"/>
  <c r="Q875" i="17"/>
  <c r="O876" i="17"/>
  <c r="P876" i="17"/>
  <c r="Q876" i="17"/>
  <c r="O877" i="17"/>
  <c r="P877" i="17"/>
  <c r="Q877" i="17"/>
  <c r="O878" i="17"/>
  <c r="P878" i="17"/>
  <c r="Q878" i="17"/>
  <c r="O879" i="17"/>
  <c r="P879" i="17"/>
  <c r="Q879" i="17"/>
  <c r="O880" i="17"/>
  <c r="P880" i="17"/>
  <c r="Q880" i="17"/>
  <c r="O881" i="17"/>
  <c r="P881" i="17"/>
  <c r="Q881" i="17"/>
  <c r="O882" i="17"/>
  <c r="P882" i="17"/>
  <c r="Q882" i="17"/>
  <c r="O883" i="17"/>
  <c r="P883" i="17"/>
  <c r="Q883" i="17"/>
  <c r="O884" i="17"/>
  <c r="P884" i="17"/>
  <c r="Q884" i="17"/>
  <c r="O885" i="17"/>
  <c r="P885" i="17"/>
  <c r="Q885" i="17"/>
  <c r="O886" i="17"/>
  <c r="P886" i="17"/>
  <c r="Q886" i="17"/>
  <c r="O887" i="17"/>
  <c r="P887" i="17"/>
  <c r="Q887" i="17"/>
  <c r="O888" i="17"/>
  <c r="P888" i="17"/>
  <c r="Q888" i="17"/>
  <c r="O889" i="17"/>
  <c r="P889" i="17"/>
  <c r="Q889" i="17"/>
  <c r="O890" i="17"/>
  <c r="P890" i="17"/>
  <c r="Q890" i="17"/>
  <c r="O891" i="17"/>
  <c r="P891" i="17"/>
  <c r="Q891" i="17"/>
  <c r="O892" i="17"/>
  <c r="P892" i="17"/>
  <c r="Q892" i="17"/>
  <c r="O893" i="17"/>
  <c r="P893" i="17"/>
  <c r="Q893" i="17"/>
  <c r="O894" i="17"/>
  <c r="P894" i="17"/>
  <c r="Q894" i="17"/>
  <c r="O895" i="17"/>
  <c r="P895" i="17"/>
  <c r="Q895" i="17"/>
  <c r="O896" i="17"/>
  <c r="P896" i="17"/>
  <c r="Q896" i="17"/>
  <c r="O897" i="17"/>
  <c r="P897" i="17"/>
  <c r="Q897" i="17"/>
  <c r="O898" i="17"/>
  <c r="P898" i="17"/>
  <c r="Q898" i="17"/>
  <c r="O899" i="17"/>
  <c r="P899" i="17"/>
  <c r="Q899" i="17"/>
  <c r="O900" i="17"/>
  <c r="P900" i="17"/>
  <c r="Q900" i="17"/>
  <c r="O901" i="17"/>
  <c r="P901" i="17"/>
  <c r="Q901" i="17"/>
  <c r="O902" i="17"/>
  <c r="P902" i="17"/>
  <c r="Q902" i="17"/>
  <c r="O903" i="17"/>
  <c r="P903" i="17"/>
  <c r="Q903" i="17"/>
  <c r="O904" i="17"/>
  <c r="P904" i="17"/>
  <c r="Q904" i="17"/>
  <c r="O905" i="17"/>
  <c r="P905" i="17"/>
  <c r="Q905" i="17"/>
  <c r="O906" i="17"/>
  <c r="P906" i="17"/>
  <c r="Q906" i="17"/>
  <c r="O907" i="17"/>
  <c r="P907" i="17"/>
  <c r="Q907" i="17"/>
  <c r="O908" i="17"/>
  <c r="P908" i="17"/>
  <c r="Q908" i="17"/>
  <c r="O909" i="17"/>
  <c r="P909" i="17"/>
  <c r="Q909" i="17"/>
  <c r="O910" i="17"/>
  <c r="P910" i="17"/>
  <c r="Q910" i="17"/>
  <c r="O911" i="17"/>
  <c r="P911" i="17"/>
  <c r="Q911" i="17"/>
  <c r="O912" i="17"/>
  <c r="P912" i="17"/>
  <c r="Q912" i="17"/>
  <c r="O913" i="17"/>
  <c r="P913" i="17"/>
  <c r="Q913" i="17"/>
  <c r="O914" i="17"/>
  <c r="P914" i="17"/>
  <c r="Q914" i="17"/>
  <c r="O915" i="17"/>
  <c r="P915" i="17"/>
  <c r="Q915" i="17"/>
  <c r="O916" i="17"/>
  <c r="P916" i="17"/>
  <c r="Q916" i="17"/>
  <c r="O917" i="17"/>
  <c r="P917" i="17"/>
  <c r="Q917" i="17"/>
  <c r="O918" i="17"/>
  <c r="P918" i="17"/>
  <c r="Q918" i="17"/>
  <c r="O919" i="17"/>
  <c r="P919" i="17"/>
  <c r="Q919" i="17"/>
  <c r="O920" i="17"/>
  <c r="P920" i="17"/>
  <c r="Q920" i="17"/>
  <c r="O921" i="17"/>
  <c r="P921" i="17"/>
  <c r="Q921" i="17"/>
  <c r="O922" i="17"/>
  <c r="P922" i="17"/>
  <c r="Q922" i="17"/>
  <c r="O923" i="17"/>
  <c r="P923" i="17"/>
  <c r="Q923" i="17"/>
  <c r="O924" i="17"/>
  <c r="P924" i="17"/>
  <c r="Q924" i="17"/>
  <c r="O925" i="17"/>
  <c r="P925" i="17"/>
  <c r="Q925" i="17"/>
  <c r="O926" i="17"/>
  <c r="P926" i="17"/>
  <c r="Q926" i="17"/>
  <c r="O927" i="17"/>
  <c r="P927" i="17"/>
  <c r="Q927" i="17"/>
  <c r="O928" i="17"/>
  <c r="P928" i="17"/>
  <c r="Q928" i="17"/>
  <c r="O929" i="17"/>
  <c r="P929" i="17"/>
  <c r="Q929" i="17"/>
  <c r="O930" i="17"/>
  <c r="P930" i="17"/>
  <c r="Q930" i="17"/>
  <c r="O931" i="17"/>
  <c r="P931" i="17"/>
  <c r="Q931" i="17"/>
  <c r="O932" i="17"/>
  <c r="P932" i="17"/>
  <c r="Q932" i="17"/>
  <c r="O933" i="17"/>
  <c r="P933" i="17"/>
  <c r="Q933" i="17"/>
  <c r="O934" i="17"/>
  <c r="P934" i="17"/>
  <c r="Q934" i="17"/>
  <c r="O935" i="17"/>
  <c r="P935" i="17"/>
  <c r="Q935" i="17"/>
  <c r="O936" i="17"/>
  <c r="P936" i="17"/>
  <c r="Q936" i="17"/>
  <c r="O937" i="17"/>
  <c r="P937" i="17"/>
  <c r="Q937" i="17"/>
  <c r="O938" i="17"/>
  <c r="P938" i="17"/>
  <c r="Q938" i="17"/>
  <c r="O939" i="17"/>
  <c r="P939" i="17"/>
  <c r="Q939" i="17"/>
  <c r="O940" i="17"/>
  <c r="P940" i="17"/>
  <c r="Q940" i="17"/>
  <c r="O941" i="17"/>
  <c r="P941" i="17"/>
  <c r="Q941" i="17"/>
  <c r="O942" i="17"/>
  <c r="P942" i="17"/>
  <c r="Q942" i="17"/>
  <c r="O943" i="17"/>
  <c r="P943" i="17"/>
  <c r="Q943" i="17"/>
  <c r="O944" i="17"/>
  <c r="P944" i="17"/>
  <c r="Q944" i="17"/>
  <c r="O945" i="17"/>
  <c r="P945" i="17"/>
  <c r="Q945" i="17"/>
  <c r="O946" i="17"/>
  <c r="P946" i="17"/>
  <c r="Q946" i="17"/>
  <c r="O947" i="17"/>
  <c r="P947" i="17"/>
  <c r="Q947" i="17"/>
  <c r="O948" i="17"/>
  <c r="P948" i="17"/>
  <c r="Q948" i="17"/>
  <c r="O949" i="17"/>
  <c r="P949" i="17"/>
  <c r="Q949" i="17"/>
  <c r="O950" i="17"/>
  <c r="P950" i="17"/>
  <c r="Q950" i="17"/>
  <c r="O951" i="17"/>
  <c r="P951" i="17"/>
  <c r="Q951" i="17"/>
  <c r="O952" i="17"/>
  <c r="P952" i="17"/>
  <c r="Q952" i="17"/>
  <c r="O953" i="17"/>
  <c r="P953" i="17"/>
  <c r="Q953" i="17"/>
  <c r="O954" i="17"/>
  <c r="P954" i="17"/>
  <c r="Q954" i="17"/>
  <c r="O955" i="17"/>
  <c r="P955" i="17"/>
  <c r="Q955" i="17"/>
  <c r="O956" i="17"/>
  <c r="P956" i="17"/>
  <c r="Q956" i="17"/>
  <c r="O957" i="17"/>
  <c r="P957" i="17"/>
  <c r="Q957" i="17"/>
  <c r="O958" i="17"/>
  <c r="P958" i="17"/>
  <c r="Q958" i="17"/>
  <c r="O959" i="17"/>
  <c r="P959" i="17"/>
  <c r="Q959" i="17"/>
  <c r="O960" i="17"/>
  <c r="P960" i="17"/>
  <c r="Q960" i="17"/>
  <c r="O961" i="17"/>
  <c r="P961" i="17"/>
  <c r="Q961" i="17"/>
  <c r="O962" i="17"/>
  <c r="P962" i="17"/>
  <c r="Q962" i="17"/>
  <c r="O963" i="17"/>
  <c r="P963" i="17"/>
  <c r="Q963" i="17"/>
  <c r="O964" i="17"/>
  <c r="P964" i="17"/>
  <c r="Q964" i="17"/>
  <c r="O965" i="17"/>
  <c r="P965" i="17"/>
  <c r="Q965" i="17"/>
  <c r="O966" i="17"/>
  <c r="P966" i="17"/>
  <c r="Q966" i="17"/>
  <c r="O967" i="17"/>
  <c r="P967" i="17"/>
  <c r="Q967" i="17"/>
  <c r="O968" i="17"/>
  <c r="P968" i="17"/>
  <c r="Q968" i="17"/>
  <c r="O969" i="17"/>
  <c r="P969" i="17"/>
  <c r="Q969" i="17"/>
  <c r="O970" i="17"/>
  <c r="P970" i="17"/>
  <c r="Q970" i="17"/>
  <c r="O971" i="17"/>
  <c r="P971" i="17"/>
  <c r="Q971" i="17"/>
  <c r="O972" i="17"/>
  <c r="P972" i="17"/>
  <c r="Q972" i="17"/>
  <c r="O973" i="17"/>
  <c r="P973" i="17"/>
  <c r="Q973" i="17"/>
  <c r="O974" i="17"/>
  <c r="P974" i="17"/>
  <c r="Q974" i="17"/>
  <c r="O975" i="17"/>
  <c r="P975" i="17"/>
  <c r="Q975" i="17"/>
  <c r="O976" i="17"/>
  <c r="P976" i="17"/>
  <c r="Q976" i="17"/>
  <c r="O977" i="17"/>
  <c r="P977" i="17"/>
  <c r="Q977" i="17"/>
  <c r="O978" i="17"/>
  <c r="P978" i="17"/>
  <c r="Q978" i="17"/>
  <c r="O979" i="17"/>
  <c r="P979" i="17"/>
  <c r="Q979" i="17"/>
  <c r="O980" i="17"/>
  <c r="P980" i="17"/>
  <c r="Q980" i="17"/>
  <c r="O981" i="17"/>
  <c r="P981" i="17"/>
  <c r="Q981" i="17"/>
  <c r="O982" i="17"/>
  <c r="P982" i="17"/>
  <c r="Q982" i="17"/>
  <c r="O983" i="17"/>
  <c r="P983" i="17"/>
  <c r="Q983" i="17"/>
  <c r="O984" i="17"/>
  <c r="P984" i="17"/>
  <c r="Q984" i="17"/>
  <c r="O985" i="17"/>
  <c r="P985" i="17"/>
  <c r="Q985" i="17"/>
  <c r="O986" i="17"/>
  <c r="P986" i="17"/>
  <c r="Q986" i="17"/>
  <c r="O987" i="17"/>
  <c r="P987" i="17"/>
  <c r="Q987" i="17"/>
  <c r="O988" i="17"/>
  <c r="P988" i="17"/>
  <c r="Q988" i="17"/>
  <c r="O989" i="17"/>
  <c r="P989" i="17"/>
  <c r="Q989" i="17"/>
  <c r="O990" i="17"/>
  <c r="P990" i="17"/>
  <c r="Q990" i="17"/>
  <c r="O991" i="17"/>
  <c r="P991" i="17"/>
  <c r="Q991" i="17"/>
  <c r="O992" i="17"/>
  <c r="P992" i="17"/>
  <c r="Q992" i="17"/>
  <c r="O993" i="17"/>
  <c r="P993" i="17"/>
  <c r="Q993" i="17"/>
  <c r="O994" i="17"/>
  <c r="P994" i="17"/>
  <c r="Q994" i="17"/>
  <c r="O995" i="17"/>
  <c r="P995" i="17"/>
  <c r="Q995" i="17"/>
  <c r="O996" i="17"/>
  <c r="P996" i="17"/>
  <c r="Q996" i="17"/>
  <c r="O997" i="17"/>
  <c r="P997" i="17"/>
  <c r="Q997" i="17"/>
  <c r="O998" i="17"/>
  <c r="P998" i="17"/>
  <c r="Q998" i="17"/>
  <c r="O999" i="17"/>
  <c r="P999" i="17"/>
  <c r="Q999" i="17"/>
  <c r="O1000" i="17"/>
  <c r="P1000" i="17"/>
  <c r="Q1000" i="17"/>
  <c r="P1" i="17"/>
  <c r="Q1" i="17"/>
  <c r="O1" i="17"/>
  <c r="E19" i="18"/>
  <c r="A3" i="18"/>
  <c r="C2" i="18"/>
  <c r="E5" i="21" s="1"/>
  <c r="A2" i="18"/>
  <c r="I5" i="17"/>
  <c r="C5" i="18" s="1"/>
  <c r="F9" i="21" s="1"/>
  <c r="J5" i="17"/>
  <c r="D5" i="18" s="1"/>
  <c r="G9" i="21" s="1"/>
  <c r="H5" i="17"/>
  <c r="B5" i="18" s="1"/>
  <c r="E9" i="21" s="1"/>
  <c r="A7" i="18"/>
  <c r="A8" i="18"/>
  <c r="A9" i="18"/>
  <c r="A10" i="18"/>
  <c r="A11" i="18"/>
  <c r="A12" i="18"/>
  <c r="A13" i="18"/>
  <c r="A15" i="18"/>
  <c r="M10" i="17" l="1"/>
  <c r="G10" i="18" s="1"/>
  <c r="J14" i="21" s="1"/>
  <c r="M8" i="17"/>
  <c r="G8" i="18" s="1"/>
  <c r="J12" i="21" s="1"/>
  <c r="L6" i="17"/>
  <c r="F6" i="18" s="1"/>
  <c r="I10" i="21" s="1"/>
  <c r="M7" i="17"/>
  <c r="G7" i="18" s="1"/>
  <c r="J11" i="21" s="1"/>
  <c r="L9" i="17"/>
  <c r="F9" i="18" s="1"/>
  <c r="I13" i="21" s="1"/>
  <c r="K12" i="17"/>
  <c r="E12" i="18" s="1"/>
  <c r="H16" i="21" s="1"/>
  <c r="K14" i="17"/>
  <c r="E14" i="18" s="1"/>
  <c r="H18" i="21" s="1"/>
  <c r="K6" i="17"/>
  <c r="E6" i="18" s="1"/>
  <c r="H10" i="21" s="1"/>
  <c r="M14" i="17"/>
  <c r="G14" i="18" s="1"/>
  <c r="J18" i="21" s="1"/>
  <c r="L14" i="17"/>
  <c r="F14" i="18" s="1"/>
  <c r="I18" i="21" s="1"/>
  <c r="L8" i="17"/>
  <c r="F8" i="18" s="1"/>
  <c r="I12" i="21" s="1"/>
  <c r="K7" i="17"/>
  <c r="E7" i="18" s="1"/>
  <c r="H11" i="21" s="1"/>
  <c r="M9" i="17"/>
  <c r="G9" i="18" s="1"/>
  <c r="J13" i="21" s="1"/>
  <c r="L10" i="17"/>
  <c r="F10" i="18" s="1"/>
  <c r="I14" i="21" s="1"/>
  <c r="M6" i="17"/>
  <c r="G6" i="18" s="1"/>
  <c r="J10" i="21" s="1"/>
  <c r="L7" i="17"/>
  <c r="F7" i="18" s="1"/>
  <c r="I11" i="21" s="1"/>
  <c r="K8" i="17"/>
  <c r="E8" i="18" s="1"/>
  <c r="H12" i="21" s="1"/>
  <c r="M12" i="17"/>
  <c r="G12" i="18" s="1"/>
  <c r="J16" i="21" s="1"/>
  <c r="K10" i="17"/>
  <c r="E10" i="18" s="1"/>
  <c r="H14" i="21" s="1"/>
  <c r="A18" i="18"/>
  <c r="D22" i="21" s="1"/>
  <c r="K11" i="17"/>
  <c r="E11" i="18" s="1"/>
  <c r="H15" i="21" s="1"/>
  <c r="K9" i="17"/>
  <c r="E9" i="18" s="1"/>
  <c r="H13" i="21" s="1"/>
  <c r="Y33" i="17"/>
  <c r="L12" i="17" s="1"/>
  <c r="F12" i="18" s="1"/>
  <c r="I16" i="21" s="1"/>
  <c r="E4" i="21"/>
  <c r="G19" i="21"/>
  <c r="T34" i="17"/>
  <c r="Z34" i="17" s="1"/>
  <c r="S34" i="17"/>
  <c r="S32" i="17"/>
  <c r="Y32" i="17" s="1"/>
  <c r="R34" i="17"/>
  <c r="T32" i="17"/>
  <c r="L15" i="17"/>
  <c r="C11" i="18"/>
  <c r="F15" i="21" s="1"/>
  <c r="F19" i="21" s="1"/>
  <c r="M15" i="17"/>
  <c r="K15" i="17"/>
  <c r="B6" i="18"/>
  <c r="E10" i="21" s="1"/>
  <c r="E19" i="21" s="1"/>
  <c r="B19" i="18"/>
  <c r="E23" i="21" s="1"/>
  <c r="L11" i="17" l="1"/>
  <c r="F11" i="18" s="1"/>
  <c r="I15" i="21" s="1"/>
  <c r="M13" i="17"/>
  <c r="G13" i="18" s="1"/>
  <c r="J17" i="21" s="1"/>
  <c r="Y34" i="17"/>
  <c r="L13" i="17" s="1"/>
  <c r="F13" i="18" s="1"/>
  <c r="I17" i="21" s="1"/>
  <c r="X34" i="17"/>
  <c r="AD34" i="17" s="1"/>
  <c r="Z32" i="17"/>
  <c r="M11" i="17" s="1"/>
  <c r="G11" i="18" s="1"/>
  <c r="J15" i="21" s="1"/>
  <c r="E20" i="21"/>
  <c r="B15" i="18"/>
  <c r="D15" i="18"/>
  <c r="C15" i="18"/>
  <c r="B16" i="18" l="1"/>
  <c r="K13" i="17"/>
  <c r="E13" i="18" s="1"/>
  <c r="H17" i="21" s="1"/>
  <c r="G21" i="21" l="1"/>
</calcChain>
</file>

<file path=xl/sharedStrings.xml><?xml version="1.0" encoding="utf-8"?>
<sst xmlns="http://schemas.openxmlformats.org/spreadsheetml/2006/main" count="995" uniqueCount="320">
  <si>
    <t>PO #</t>
  </si>
  <si>
    <t>Printing</t>
  </si>
  <si>
    <t>Embroidery</t>
  </si>
  <si>
    <t>Laser</t>
  </si>
  <si>
    <t>XS</t>
  </si>
  <si>
    <t>S</t>
  </si>
  <si>
    <t>M</t>
  </si>
  <si>
    <t>L</t>
  </si>
  <si>
    <t>XL</t>
  </si>
  <si>
    <t>2XL</t>
  </si>
  <si>
    <t xml:space="preserve">of </t>
  </si>
  <si>
    <t>3XL</t>
  </si>
  <si>
    <t>4XL</t>
  </si>
  <si>
    <t>SIZE</t>
  </si>
  <si>
    <t xml:space="preserve">Promo. </t>
  </si>
  <si>
    <t>Client:</t>
  </si>
  <si>
    <t>HOODIES</t>
  </si>
  <si>
    <t>TOTAL OF:</t>
  </si>
  <si>
    <t>DESCRIPTION</t>
  </si>
  <si>
    <t>TSHIRTS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</si>
  <si>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</si>
  <si>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</si>
  <si>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</si>
  <si>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</si>
  <si>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</si>
  <si>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</si>
  <si>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</si>
  <si>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</si>
  <si>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</si>
  <si>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K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</si>
  <si>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</si>
  <si>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</si>
  <si>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</si>
  <si>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</si>
  <si>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</si>
  <si>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</si>
  <si>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</si>
  <si>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</si>
  <si>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</si>
  <si>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Nov</t>
  </si>
  <si>
    <t>Dec</t>
  </si>
  <si>
    <t>سال</t>
  </si>
  <si>
    <t>alpha</t>
  </si>
  <si>
    <t>month</t>
  </si>
  <si>
    <t>ID #</t>
  </si>
  <si>
    <t>Oct</t>
  </si>
  <si>
    <t>J</t>
  </si>
  <si>
    <t>PANTS</t>
  </si>
  <si>
    <t>JACKETS</t>
  </si>
  <si>
    <t>VESTS</t>
  </si>
  <si>
    <t>HATS</t>
  </si>
  <si>
    <t>POLO SHIRTS</t>
  </si>
  <si>
    <t>H1-H13</t>
  </si>
  <si>
    <t>Crew neck</t>
  </si>
  <si>
    <t>V neck</t>
  </si>
  <si>
    <t>MENS</t>
  </si>
  <si>
    <t>WOMENS</t>
  </si>
  <si>
    <t>GRAY SHIRTS FOR WOMEN</t>
  </si>
  <si>
    <t>=</t>
  </si>
  <si>
    <t>Total</t>
  </si>
  <si>
    <t xml:space="preserve">These labels are printed by </t>
  </si>
  <si>
    <t>&lt;&lt; REPORT &gt;&gt;</t>
  </si>
  <si>
    <t>TOTAL BOX:</t>
  </si>
  <si>
    <t>Subtotal</t>
  </si>
  <si>
    <t>Change:</t>
  </si>
  <si>
    <t>Box #</t>
  </si>
  <si>
    <t>DATE:</t>
  </si>
  <si>
    <t>Backpack</t>
  </si>
  <si>
    <t>Blanket</t>
  </si>
  <si>
    <t>Bags</t>
  </si>
  <si>
    <t>Promo.</t>
  </si>
  <si>
    <t>Promo</t>
  </si>
  <si>
    <t>Repeat?</t>
  </si>
  <si>
    <t>box#</t>
  </si>
  <si>
    <t>V4</t>
  </si>
  <si>
    <t>Box#</t>
  </si>
  <si>
    <t>SUBJECT:</t>
  </si>
  <si>
    <t>Size / Item</t>
  </si>
  <si>
    <t>Customer:</t>
  </si>
  <si>
    <t>Department:</t>
  </si>
  <si>
    <t>of</t>
  </si>
  <si>
    <t>Logounltd.com</t>
  </si>
  <si>
    <t>Screen Printing</t>
  </si>
  <si>
    <t>Embroidary</t>
  </si>
  <si>
    <t>Heat Transfer</t>
  </si>
  <si>
    <t>DTF</t>
  </si>
  <si>
    <t>Sewing</t>
  </si>
  <si>
    <t>Amazon- DCS-ES</t>
  </si>
  <si>
    <t>AWS</t>
  </si>
  <si>
    <t>Athira Pharma</t>
  </si>
  <si>
    <t>Arena Sport</t>
  </si>
  <si>
    <t>Aiphone</t>
  </si>
  <si>
    <t>Atavus</t>
  </si>
  <si>
    <t>Azure- Microsoft</t>
  </si>
  <si>
    <t>Arctic Storm</t>
  </si>
  <si>
    <t>Artizen</t>
  </si>
  <si>
    <t>Armada</t>
  </si>
  <si>
    <t>Allison- pillows</t>
  </si>
  <si>
    <t>American Seafood</t>
  </si>
  <si>
    <t>American textile service</t>
  </si>
  <si>
    <t>ATS</t>
  </si>
  <si>
    <t>A&amp;c glass</t>
  </si>
  <si>
    <t>Alaska bearing sea</t>
  </si>
  <si>
    <t>Audian</t>
  </si>
  <si>
    <t>Alaskan Victory</t>
  </si>
  <si>
    <t>ASF/ liberator</t>
  </si>
  <si>
    <t>Aegis living</t>
  </si>
  <si>
    <t>Barber Craft</t>
  </si>
  <si>
    <t>Black Raven</t>
  </si>
  <si>
    <t>Brian Liu</t>
  </si>
  <si>
    <t>BDA</t>
  </si>
  <si>
    <t>Bud light</t>
  </si>
  <si>
    <t>B2ED</t>
  </si>
  <si>
    <t>Bungalow</t>
  </si>
  <si>
    <t>BLM</t>
  </si>
  <si>
    <t>Biryani House</t>
  </si>
  <si>
    <t>Boys and girls club</t>
  </si>
  <si>
    <t>Butler</t>
  </si>
  <si>
    <t>Boon boona</t>
  </si>
  <si>
    <t>Battle Tech</t>
  </si>
  <si>
    <t>Bristol wave</t>
  </si>
  <si>
    <t>Breathe sup</t>
  </si>
  <si>
    <t>bale breaker</t>
  </si>
  <si>
    <t>comp. cannabis</t>
  </si>
  <si>
    <t>CMYK</t>
  </si>
  <si>
    <t>C. Davis BBQ</t>
  </si>
  <si>
    <t>Corocodile</t>
  </si>
  <si>
    <t>Chelanigans</t>
  </si>
  <si>
    <t>Coastal Trans</t>
  </si>
  <si>
    <t>city of selah</t>
  </si>
  <si>
    <t>closet by design</t>
  </si>
  <si>
    <t>cornerstone ranch</t>
  </si>
  <si>
    <t>crosscut fest. Kcts9</t>
  </si>
  <si>
    <t>clubb combat</t>
  </si>
  <si>
    <t>ctrl print</t>
  </si>
  <si>
    <t>carsoe</t>
  </si>
  <si>
    <t>champoux</t>
  </si>
  <si>
    <t>corstone</t>
  </si>
  <si>
    <t>castel rock</t>
  </si>
  <si>
    <t>center line</t>
  </si>
  <si>
    <t>clima orb</t>
  </si>
  <si>
    <t>cbd</t>
  </si>
  <si>
    <t>craven farms</t>
  </si>
  <si>
    <t>cvis</t>
  </si>
  <si>
    <t>compass</t>
  </si>
  <si>
    <t>core &amp; main</t>
  </si>
  <si>
    <t>computer gear</t>
  </si>
  <si>
    <t>columbia club</t>
  </si>
  <si>
    <t>clark management</t>
  </si>
  <si>
    <t>cri</t>
  </si>
  <si>
    <t>DDX- double down</t>
  </si>
  <si>
    <t>devotion crossfit</t>
  </si>
  <si>
    <t>deap sea fisheries</t>
  </si>
  <si>
    <t>divine marine</t>
  </si>
  <si>
    <t>eastside timber</t>
  </si>
  <si>
    <t>EZ tiger</t>
  </si>
  <si>
    <t>esmb</t>
  </si>
  <si>
    <t>evergreen shaolin</t>
  </si>
  <si>
    <t>eastgate</t>
  </si>
  <si>
    <t>elite mindset</t>
  </si>
  <si>
    <t>freedom run</t>
  </si>
  <si>
    <t>first line</t>
  </si>
  <si>
    <t>fairfax</t>
  </si>
  <si>
    <t>green river college</t>
  </si>
  <si>
    <t>Global</t>
  </si>
  <si>
    <t>Go-wilcox</t>
  </si>
  <si>
    <t>guardian</t>
  </si>
  <si>
    <t>gido</t>
  </si>
  <si>
    <t>gorman</t>
  </si>
  <si>
    <t>gatta dance</t>
  </si>
  <si>
    <t>greenwood elementry</t>
  </si>
  <si>
    <t>glow gang</t>
  </si>
  <si>
    <t>hero athletics</t>
  </si>
  <si>
    <t>hopheads</t>
  </si>
  <si>
    <t>highmark espresso</t>
  </si>
  <si>
    <t>island eddies</t>
  </si>
  <si>
    <t>kcts9</t>
  </si>
  <si>
    <t>kozac</t>
  </si>
  <si>
    <t>kayo stone</t>
  </si>
  <si>
    <t>kaisa</t>
  </si>
  <si>
    <t>kings</t>
  </si>
  <si>
    <t>kitsap bank</t>
  </si>
  <si>
    <t>logounltd</t>
  </si>
  <si>
    <t>logic</t>
  </si>
  <si>
    <t>locust cider</t>
  </si>
  <si>
    <t>lgbt</t>
  </si>
  <si>
    <t>lu</t>
  </si>
  <si>
    <t>likewise</t>
  </si>
  <si>
    <t>loyal elementry</t>
  </si>
  <si>
    <t>lavida dance</t>
  </si>
  <si>
    <t>local 27</t>
  </si>
  <si>
    <t>leica</t>
  </si>
  <si>
    <t>microsoft</t>
  </si>
  <si>
    <t>mbc</t>
  </si>
  <si>
    <t>market place</t>
  </si>
  <si>
    <t>mitch pod</t>
  </si>
  <si>
    <t>metier brewing</t>
  </si>
  <si>
    <t>mclendon hardware</t>
  </si>
  <si>
    <t>nw finishing</t>
  </si>
  <si>
    <t>new tech</t>
  </si>
  <si>
    <t>mshs</t>
  </si>
  <si>
    <t>marge</t>
  </si>
  <si>
    <t>marigold</t>
  </si>
  <si>
    <t>makers- go dady</t>
  </si>
  <si>
    <t>made in the dark - toxygen</t>
  </si>
  <si>
    <t>northern alaskan leader and bristol</t>
  </si>
  <si>
    <t>oryan- marine</t>
  </si>
  <si>
    <t>outreach</t>
  </si>
  <si>
    <t>ozark</t>
  </si>
  <si>
    <t>pensar</t>
  </si>
  <si>
    <t>pnw</t>
  </si>
  <si>
    <t>pacific granite</t>
  </si>
  <si>
    <t>papi's</t>
  </si>
  <si>
    <t>providence</t>
  </si>
  <si>
    <t>pool pro</t>
  </si>
  <si>
    <t>peter pan fishing</t>
  </si>
  <si>
    <t>prohibiden cellars</t>
  </si>
  <si>
    <t>peridot</t>
  </si>
  <si>
    <t>progolf</t>
  </si>
  <si>
    <t>patterson wine</t>
  </si>
  <si>
    <t>rhs</t>
  </si>
  <si>
    <t>rave</t>
  </si>
  <si>
    <t>racism</t>
  </si>
  <si>
    <t>renzo gracie</t>
  </si>
  <si>
    <t>reno doc</t>
  </si>
  <si>
    <t>random</t>
  </si>
  <si>
    <t>ramon</t>
  </si>
  <si>
    <t>renovate</t>
  </si>
  <si>
    <t>renovate cons</t>
  </si>
  <si>
    <t>remont</t>
  </si>
  <si>
    <t>soulshine</t>
  </si>
  <si>
    <t>stively</t>
  </si>
  <si>
    <t>starbuds</t>
  </si>
  <si>
    <t>securite</t>
  </si>
  <si>
    <t>seafisher</t>
  </si>
  <si>
    <t>salesforce</t>
  </si>
  <si>
    <t>seaport steel</t>
  </si>
  <si>
    <t>seattle foundation repare</t>
  </si>
  <si>
    <t>silent media</t>
  </si>
  <si>
    <t>starbound</t>
  </si>
  <si>
    <t>stokes</t>
  </si>
  <si>
    <t>summit imaging</t>
  </si>
  <si>
    <t>sandoval</t>
  </si>
  <si>
    <t>s2d</t>
  </si>
  <si>
    <t>seattle fisherman</t>
  </si>
  <si>
    <t>stone church</t>
  </si>
  <si>
    <t>shelford</t>
  </si>
  <si>
    <t>snohomish golf center</t>
  </si>
  <si>
    <t>seattle seawolves</t>
  </si>
  <si>
    <t>skanska</t>
  </si>
  <si>
    <t>sumalita</t>
  </si>
  <si>
    <t>spanish infusion school</t>
  </si>
  <si>
    <t>sjs mecanical</t>
  </si>
  <si>
    <t>sound excursion</t>
  </si>
  <si>
    <t>stemilt</t>
  </si>
  <si>
    <t>sun valley</t>
  </si>
  <si>
    <t>sandy borland</t>
  </si>
  <si>
    <t>toxygen</t>
  </si>
  <si>
    <t>the kiln</t>
  </si>
  <si>
    <t>team wise</t>
  </si>
  <si>
    <t>the barre</t>
  </si>
  <si>
    <t>the ram</t>
  </si>
  <si>
    <t>triumph</t>
  </si>
  <si>
    <t>tenicor</t>
  </si>
  <si>
    <t>the pub</t>
  </si>
  <si>
    <t>tfrx</t>
  </si>
  <si>
    <t>triplehorn</t>
  </si>
  <si>
    <t>trident seafood</t>
  </si>
  <si>
    <t>todd omotani</t>
  </si>
  <si>
    <t>tbow</t>
  </si>
  <si>
    <t>team ram</t>
  </si>
  <si>
    <t>tend realestate</t>
  </si>
  <si>
    <t>tolo</t>
  </si>
  <si>
    <t>the tap</t>
  </si>
  <si>
    <t>top form design</t>
  </si>
  <si>
    <t>verna</t>
  </si>
  <si>
    <t>valkyries</t>
  </si>
  <si>
    <t>vidim</t>
  </si>
  <si>
    <t>visarma</t>
  </si>
  <si>
    <t>valley view</t>
  </si>
  <si>
    <t>whiskey shirts</t>
  </si>
  <si>
    <t>wonder girl seattle</t>
  </si>
  <si>
    <t>whittier elementry</t>
  </si>
  <si>
    <t>weddings- butler</t>
  </si>
  <si>
    <t>weapones out fitters</t>
  </si>
  <si>
    <t>wilcox</t>
  </si>
  <si>
    <t>warden west</t>
  </si>
  <si>
    <t>wandering hop</t>
  </si>
  <si>
    <t>winthrop</t>
  </si>
  <si>
    <t>west rock</t>
  </si>
  <si>
    <t>wood solution</t>
  </si>
  <si>
    <t>westhill</t>
  </si>
  <si>
    <t>woodinville church</t>
  </si>
  <si>
    <t>woodinville chamber</t>
  </si>
  <si>
    <t>walltek</t>
  </si>
  <si>
    <t>ycl</t>
  </si>
  <si>
    <t>SHIPMENT DITAILS</t>
  </si>
  <si>
    <t>CLIENT:</t>
  </si>
  <si>
    <t>SUBTOTAL</t>
  </si>
  <si>
    <t>SIZE             ITEM</t>
  </si>
  <si>
    <t>Job #</t>
  </si>
  <si>
    <t>2021/296/3/122</t>
  </si>
  <si>
    <t xml:space="preserve">  -  AI  -  </t>
  </si>
  <si>
    <t>Kraken</t>
  </si>
  <si>
    <t xml:space="preserve">  -  VD  -  </t>
  </si>
  <si>
    <t>2021/296/3/112-1</t>
  </si>
  <si>
    <t>2021/296/3/236-1</t>
  </si>
  <si>
    <t>YOUTH</t>
  </si>
  <si>
    <t>2021/296/3/161-1</t>
  </si>
  <si>
    <t>Complete!</t>
  </si>
  <si>
    <t xml:space="preserve">  -    -  </t>
  </si>
  <si>
    <t>INV #</t>
  </si>
  <si>
    <t>No</t>
  </si>
  <si>
    <t>po version</t>
  </si>
  <si>
    <t>box num</t>
  </si>
  <si>
    <t>BDA 2022/296/3/795</t>
  </si>
  <si>
    <t>CB</t>
  </si>
  <si>
    <t>TSHIRTS L/S</t>
  </si>
  <si>
    <t>-1</t>
  </si>
  <si>
    <t xml:space="preserve">  -  CB  -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</si>
</sst>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d"/>
    <numFmt numFmtId="165" formatCode="_(* #,##0_);_(* \(#,##0\);_(* &quot;-&quot;??_);_(@_)"/>
    <numFmt numFmtId="166" formatCode="[$-F800]dddd\,\ mmmm\ dd\,\ yyyy"/>
    <numFmt numFmtId="167" formatCode="mmm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38464E"/>
      <name val="Arial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</font>
    <font>
      <b/>
      <sz val="10"/>
      <color rgb="FF38464E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FF"/>
      <name val="Calibri"/>
      <family val="2"/>
    </font>
    <font>
      <sz val="11"/>
      <color theme="1"/>
      <name val="CCode39"/>
    </font>
    <font>
      <b/>
      <sz val="28"/>
      <color theme="8" tint="-0.499984740745262"/>
      <name val="Arial Rounded MT Bold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3" fillId="0" borderId="0" applyFont="0" applyFill="0" applyBorder="0" applyAlignment="0" applyProtection="0"/>
  </cellStyleXfs>
  <cellXfs count="310">
    <xf numFmtId="0" fontId="0" fillId="0" borderId="0" xfId="0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0" xfId="0" applyFont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4" fillId="0" borderId="7" xfId="0" applyFont="1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4" fillId="0" borderId="8" xfId="0" applyFont="1" applyFill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4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left" vertical="center"/>
      <protection locked="0"/>
    </xf>
    <xf numFmtId="0" fontId="9" fillId="0" borderId="2" xfId="0" applyFont="1" applyFill="1" applyBorder="1" applyAlignment="1" applyProtection="1">
      <alignment horizontal="left" vertical="center"/>
      <protection locked="0"/>
    </xf>
    <xf numFmtId="0" fontId="4" fillId="0" borderId="1" xfId="0" applyFont="1" applyBorder="1" applyAlignment="1" applyProtection="1">
      <alignment vertical="center"/>
    </xf>
    <xf numFmtId="0" fontId="4" fillId="0" borderId="2" xfId="0" applyFont="1" applyBorder="1" applyAlignment="1" applyProtection="1">
      <alignment vertical="center"/>
    </xf>
    <xf numFmtId="0" fontId="8" fillId="0" borderId="0" xfId="0" applyFont="1" applyAlignment="1" applyProtection="1">
      <alignment horizontal="left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4" fillId="0" borderId="9" xfId="0" applyFont="1" applyBorder="1" applyAlignment="1" applyProtection="1">
      <alignment vertical="center"/>
    </xf>
    <xf numFmtId="0" fontId="0" fillId="2" borderId="0" xfId="0" applyFill="1"/>
    <xf numFmtId="0" fontId="2" fillId="0" borderId="0" xfId="0" applyFont="1" applyFill="1" applyAlignment="1" applyProtection="1">
      <alignment horizontal="center" vertical="center"/>
    </xf>
    <xf numFmtId="0" fontId="0" fillId="0" borderId="0" xfId="0" applyProtection="1"/>
    <xf numFmtId="0" fontId="5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/>
    <xf numFmtId="0" fontId="5" fillId="0" borderId="0" xfId="0" applyFont="1" applyFill="1" applyBorder="1" applyAlignment="1" applyProtection="1">
      <alignment horizontal="center"/>
    </xf>
    <xf numFmtId="0" fontId="0" fillId="0" borderId="0" xfId="0" applyBorder="1" applyProtection="1"/>
    <xf numFmtId="0" fontId="5" fillId="0" borderId="4" xfId="0" applyFont="1" applyFill="1" applyBorder="1" applyAlignment="1" applyProtection="1">
      <alignment vertical="center"/>
    </xf>
    <xf numFmtId="0" fontId="5" fillId="0" borderId="4" xfId="0" applyFont="1" applyFill="1" applyBorder="1" applyAlignment="1" applyProtection="1"/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Border="1" applyProtection="1"/>
    <xf numFmtId="0" fontId="5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left"/>
    </xf>
    <xf numFmtId="0" fontId="1" fillId="0" borderId="6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vertical="center"/>
    </xf>
    <xf numFmtId="0" fontId="6" fillId="0" borderId="6" xfId="0" applyFont="1" applyBorder="1" applyAlignment="1" applyProtection="1">
      <alignment horizontal="center" vertical="center"/>
    </xf>
    <xf numFmtId="0" fontId="0" fillId="0" borderId="0" xfId="0" applyFill="1" applyBorder="1" applyProtection="1"/>
    <xf numFmtId="0" fontId="7" fillId="0" borderId="0" xfId="0" applyFont="1" applyFill="1" applyBorder="1" applyAlignment="1" applyProtection="1">
      <alignment vertical="center"/>
    </xf>
    <xf numFmtId="0" fontId="0" fillId="2" borderId="0" xfId="0" applyFill="1" applyAlignment="1">
      <alignment horizontal="center" vertical="center"/>
    </xf>
    <xf numFmtId="0" fontId="9" fillId="0" borderId="2" xfId="0" applyFont="1" applyFill="1" applyBorder="1" applyAlignment="1" applyProtection="1">
      <alignment horizontal="left" vertical="center"/>
    </xf>
    <xf numFmtId="0" fontId="6" fillId="0" borderId="10" xfId="0" applyFont="1" applyBorder="1" applyAlignment="1" applyProtection="1">
      <alignment horizontal="center" vertical="center"/>
    </xf>
    <xf numFmtId="164" fontId="4" fillId="0" borderId="6" xfId="0" applyNumberFormat="1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164" fontId="9" fillId="0" borderId="2" xfId="0" applyNumberFormat="1" applyFont="1" applyFill="1" applyBorder="1" applyAlignment="1" applyProtection="1">
      <alignment horizontal="left" vertical="center"/>
    </xf>
    <xf numFmtId="164" fontId="9" fillId="0" borderId="2" xfId="0" applyNumberFormat="1" applyFont="1" applyBorder="1" applyAlignment="1" applyProtection="1">
      <alignment horizontal="center" vertical="center"/>
    </xf>
    <xf numFmtId="164" fontId="9" fillId="0" borderId="9" xfId="0" applyNumberFormat="1" applyFont="1" applyBorder="1" applyAlignment="1" applyProtection="1">
      <alignment horizontal="right" vertical="center"/>
    </xf>
    <xf numFmtId="164" fontId="6" fillId="0" borderId="10" xfId="0" applyNumberFormat="1" applyFont="1" applyBorder="1" applyAlignment="1" applyProtection="1">
      <alignment horizontal="center" vertical="center"/>
    </xf>
    <xf numFmtId="164" fontId="8" fillId="0" borderId="0" xfId="0" applyNumberFormat="1" applyFont="1" applyAlignment="1" applyProtection="1">
      <alignment horizontal="left" vertical="center"/>
      <protection locked="0"/>
    </xf>
    <xf numFmtId="164" fontId="9" fillId="0" borderId="2" xfId="0" applyNumberFormat="1" applyFont="1" applyFill="1" applyBorder="1" applyAlignment="1" applyProtection="1">
      <alignment horizontal="left" vertical="center"/>
      <protection locked="0"/>
    </xf>
    <xf numFmtId="0" fontId="9" fillId="0" borderId="9" xfId="0" applyFont="1" applyBorder="1" applyAlignment="1" applyProtection="1">
      <alignment horizontal="right" vertical="center"/>
    </xf>
    <xf numFmtId="0" fontId="9" fillId="0" borderId="2" xfId="0" applyFont="1" applyBorder="1" applyAlignment="1" applyProtection="1">
      <alignment horizontal="center" vertical="center"/>
    </xf>
    <xf numFmtId="164" fontId="6" fillId="0" borderId="10" xfId="0" applyNumberFormat="1" applyFont="1" applyBorder="1" applyAlignment="1" applyProtection="1">
      <alignment horizontal="center" vertical="center"/>
      <protection locked="0"/>
    </xf>
    <xf numFmtId="0" fontId="1" fillId="0" borderId="6" xfId="0" applyFont="1" applyFill="1" applyBorder="1" applyAlignment="1" applyProtection="1">
      <alignment horizontal="center" vertical="center"/>
      <protection locked="0"/>
    </xf>
    <xf numFmtId="0" fontId="9" fillId="0" borderId="1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9" fillId="0" borderId="10" xfId="0" applyFont="1" applyFill="1" applyBorder="1" applyAlignment="1" applyProtection="1">
      <alignment horizontal="center" vertical="center"/>
      <protection locked="0"/>
    </xf>
    <xf numFmtId="165" fontId="9" fillId="0" borderId="10" xfId="1" applyNumberFormat="1" applyFont="1" applyFill="1" applyBorder="1" applyAlignment="1" applyProtection="1">
      <alignment horizontal="center" vertical="center"/>
    </xf>
    <xf numFmtId="165" fontId="9" fillId="0" borderId="11" xfId="1" applyNumberFormat="1" applyFont="1" applyFill="1" applyBorder="1" applyAlignment="1" applyProtection="1">
      <alignment horizontal="center" vertical="center"/>
    </xf>
    <xf numFmtId="0" fontId="9" fillId="0" borderId="11" xfId="0" applyFont="1" applyFill="1" applyBorder="1" applyAlignment="1" applyProtection="1">
      <alignment horizontal="center" vertical="center"/>
    </xf>
    <xf numFmtId="0" fontId="12" fillId="0" borderId="1" xfId="0" applyFont="1" applyBorder="1" applyAlignment="1" applyProtection="1">
      <alignment horizontal="left" vertical="center"/>
      <protection locked="0"/>
    </xf>
    <xf numFmtId="0" fontId="0" fillId="0" borderId="0" xfId="0" applyBorder="1"/>
    <xf numFmtId="0" fontId="12" fillId="0" borderId="0" xfId="0" applyFont="1" applyBorder="1" applyAlignment="1" applyProtection="1">
      <alignment horizontal="left" vertical="center"/>
      <protection locked="0"/>
    </xf>
    <xf numFmtId="0" fontId="9" fillId="0" borderId="0" xfId="0" applyFont="1" applyFill="1" applyBorder="1" applyAlignment="1" applyProtection="1">
      <alignment horizontal="left" vertical="center"/>
      <protection locked="0"/>
    </xf>
    <xf numFmtId="0" fontId="1" fillId="0" borderId="1" xfId="0" applyFont="1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12" fillId="0" borderId="1" xfId="0" applyNumberFormat="1" applyFont="1" applyBorder="1" applyAlignment="1" applyProtection="1">
      <alignment horizontal="left" vertical="center"/>
      <protection locked="0"/>
    </xf>
    <xf numFmtId="165" fontId="1" fillId="0" borderId="6" xfId="0" applyNumberFormat="1" applyFont="1" applyFill="1" applyBorder="1" applyAlignment="1" applyProtection="1">
      <alignment horizontal="center" vertical="center"/>
    </xf>
    <xf numFmtId="0" fontId="9" fillId="0" borderId="11" xfId="1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1" fillId="0" borderId="1" xfId="0" applyFont="1" applyFill="1" applyBorder="1" applyAlignment="1" applyProtection="1">
      <alignment horizontal="center" vertical="center"/>
    </xf>
    <xf numFmtId="165" fontId="9" fillId="0" borderId="2" xfId="0" applyNumberFormat="1" applyFont="1" applyFill="1" applyBorder="1" applyAlignment="1" applyProtection="1">
      <alignment horizontal="left" vertical="center"/>
    </xf>
    <xf numFmtId="165" fontId="0" fillId="0" borderId="0" xfId="0" applyNumberFormat="1" applyBorder="1" applyAlignment="1" applyProtection="1">
      <alignment horizontal="left"/>
    </xf>
    <xf numFmtId="0" fontId="9" fillId="0" borderId="10" xfId="1" applyNumberFormat="1" applyFont="1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5" fontId="9" fillId="0" borderId="2" xfId="0" applyNumberFormat="1" applyFont="1" applyFill="1" applyBorder="1" applyAlignment="1" applyProtection="1">
      <alignment horizontal="left" vertical="center"/>
      <protection locked="0"/>
    </xf>
    <xf numFmtId="0" fontId="1" fillId="0" borderId="1" xfId="0" applyFont="1" applyFill="1" applyBorder="1" applyAlignment="1" applyProtection="1">
      <alignment horizontal="center" vertical="center"/>
    </xf>
    <xf numFmtId="164" fontId="4" fillId="0" borderId="0" xfId="0" applyNumberFormat="1" applyFont="1" applyFill="1" applyBorder="1" applyAlignment="1" applyProtection="1">
      <alignment vertical="center"/>
      <protection locked="0"/>
    </xf>
    <xf numFmtId="164" fontId="4" fillId="0" borderId="8" xfId="0" applyNumberFormat="1" applyFont="1" applyFill="1" applyBorder="1" applyAlignment="1" applyProtection="1">
      <alignment vertical="center"/>
      <protection locked="0"/>
    </xf>
    <xf numFmtId="165" fontId="4" fillId="0" borderId="6" xfId="0" applyNumberFormat="1" applyFont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5" fontId="6" fillId="0" borderId="10" xfId="0" applyNumberFormat="1" applyFont="1" applyBorder="1" applyAlignment="1" applyProtection="1">
      <alignment horizontal="center" vertical="center"/>
    </xf>
    <xf numFmtId="164" fontId="7" fillId="0" borderId="0" xfId="0" applyNumberFormat="1" applyFont="1" applyFill="1" applyBorder="1" applyAlignment="1" applyProtection="1">
      <alignment vertical="center"/>
    </xf>
    <xf numFmtId="0" fontId="0" fillId="0" borderId="12" xfId="0" applyBorder="1"/>
    <xf numFmtId="0" fontId="0" fillId="0" borderId="14" xfId="0" applyBorder="1"/>
    <xf numFmtId="0" fontId="4" fillId="0" borderId="14" xfId="0" applyFont="1" applyFill="1" applyBorder="1" applyAlignment="1" applyProtection="1">
      <alignment vertical="center"/>
    </xf>
    <xf numFmtId="0" fontId="4" fillId="0" borderId="13" xfId="0" applyFont="1" applyFill="1" applyBorder="1" applyAlignment="1" applyProtection="1">
      <alignment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/>
    <xf numFmtId="0" fontId="0" fillId="0" borderId="6" xfId="0" applyBorder="1" applyAlignment="1">
      <alignment horizontal="center" vertical="center"/>
    </xf>
    <xf numFmtId="0" fontId="0" fillId="0" borderId="9" xfId="0" applyBorder="1"/>
    <xf numFmtId="0" fontId="14" fillId="0" borderId="2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3" xfId="0" applyBorder="1"/>
    <xf numFmtId="0" fontId="0" fillId="0" borderId="7" xfId="0" applyBorder="1"/>
    <xf numFmtId="164" fontId="0" fillId="0" borderId="4" xfId="0" applyNumberFormat="1" applyBorder="1"/>
    <xf numFmtId="164" fontId="0" fillId="0" borderId="5" xfId="0" applyNumberFormat="1" applyBorder="1"/>
    <xf numFmtId="0" fontId="0" fillId="0" borderId="10" xfId="0" applyBorder="1"/>
    <xf numFmtId="0" fontId="0" fillId="0" borderId="15" xfId="0" applyBorder="1"/>
    <xf numFmtId="0" fontId="0" fillId="0" borderId="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6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" xfId="0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43" fontId="5" fillId="0" borderId="13" xfId="1" applyFont="1" applyBorder="1" applyAlignment="1">
      <alignment horizontal="center" vertical="center"/>
    </xf>
    <xf numFmtId="43" fontId="5" fillId="0" borderId="10" xfId="1" applyFont="1" applyBorder="1" applyAlignment="1">
      <alignment horizontal="center" vertical="center"/>
    </xf>
    <xf numFmtId="43" fontId="15" fillId="0" borderId="10" xfId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" fontId="9" fillId="0" borderId="26" xfId="1" applyNumberFormat="1" applyFont="1" applyBorder="1" applyAlignment="1">
      <alignment horizontal="center" vertical="center"/>
    </xf>
    <xf numFmtId="1" fontId="9" fillId="0" borderId="27" xfId="1" applyNumberFormat="1" applyFont="1" applyBorder="1" applyAlignment="1">
      <alignment horizontal="center" vertical="center"/>
    </xf>
    <xf numFmtId="1" fontId="9" fillId="0" borderId="25" xfId="1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left"/>
    </xf>
    <xf numFmtId="0" fontId="16" fillId="0" borderId="6" xfId="0" applyFont="1" applyBorder="1" applyAlignment="1">
      <alignment horizontal="center" vertical="center"/>
    </xf>
    <xf numFmtId="49" fontId="0" fillId="0" borderId="0" xfId="0" applyNumberFormat="1"/>
    <xf numFmtId="0" fontId="19" fillId="3" borderId="0" xfId="0" applyFont="1" applyFill="1" applyAlignment="1">
      <alignment horizontal="center" vertical="center"/>
    </xf>
    <xf numFmtId="0" fontId="20" fillId="4" borderId="0" xfId="0" applyFont="1" applyFill="1"/>
    <xf numFmtId="0" fontId="20" fillId="5" borderId="0" xfId="0" applyFont="1" applyFill="1"/>
    <xf numFmtId="165" fontId="21" fillId="6" borderId="20" xfId="1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9" fillId="0" borderId="0" xfId="0" applyFont="1" applyAlignment="1" applyProtection="1">
      <alignment horizontal="center" vertical="center"/>
    </xf>
    <xf numFmtId="0" fontId="22" fillId="0" borderId="12" xfId="0" applyFont="1" applyBorder="1" applyAlignment="1" applyProtection="1">
      <alignment horizontal="center" vertical="center"/>
    </xf>
    <xf numFmtId="0" fontId="9" fillId="0" borderId="14" xfId="0" applyFont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center"/>
    </xf>
    <xf numFmtId="0" fontId="24" fillId="0" borderId="9" xfId="0" applyFont="1" applyBorder="1" applyAlignment="1" applyProtection="1">
      <alignment horizontal="center"/>
    </xf>
    <xf numFmtId="0" fontId="0" fillId="7" borderId="29" xfId="0" applyFill="1" applyBorder="1"/>
    <xf numFmtId="0" fontId="0" fillId="0" borderId="29" xfId="0" applyBorder="1"/>
    <xf numFmtId="0" fontId="0" fillId="7" borderId="30" xfId="0" applyFill="1" applyBorder="1"/>
    <xf numFmtId="0" fontId="0" fillId="0" borderId="30" xfId="0" applyBorder="1"/>
    <xf numFmtId="0" fontId="9" fillId="0" borderId="9" xfId="0" applyFont="1" applyBorder="1" applyAlignment="1" applyProtection="1">
      <alignment horizontal="center" vertical="center"/>
    </xf>
    <xf numFmtId="0" fontId="9" fillId="0" borderId="2" xfId="0" applyFont="1" applyBorder="1" applyAlignment="1" applyProtection="1">
      <alignment horizontal="center" vertical="center"/>
    </xf>
    <xf numFmtId="165" fontId="21" fillId="6" borderId="28" xfId="1" applyNumberFormat="1" applyFont="1" applyFill="1" applyBorder="1" applyAlignment="1">
      <alignment horizontal="center" vertical="center" wrapText="1"/>
    </xf>
    <xf numFmtId="0" fontId="21" fillId="6" borderId="6" xfId="0" applyFont="1" applyFill="1" applyBorder="1" applyAlignment="1">
      <alignment horizontal="center" vertical="center" wrapText="1"/>
    </xf>
    <xf numFmtId="165" fontId="21" fillId="6" borderId="31" xfId="1" applyNumberFormat="1" applyFont="1" applyFill="1" applyBorder="1" applyAlignment="1">
      <alignment horizontal="center" vertical="center" wrapText="1"/>
    </xf>
    <xf numFmtId="0" fontId="0" fillId="5" borderId="6" xfId="0" applyFill="1" applyBorder="1"/>
    <xf numFmtId="0" fontId="25" fillId="0" borderId="1" xfId="0" applyFont="1" applyBorder="1" applyAlignment="1" applyProtection="1">
      <alignment horizontal="left" vertical="center"/>
    </xf>
    <xf numFmtId="165" fontId="21" fillId="6" borderId="6" xfId="1" applyNumberFormat="1" applyFont="1" applyFill="1" applyBorder="1" applyAlignment="1">
      <alignment horizontal="center" vertical="center" wrapText="1"/>
    </xf>
    <xf numFmtId="0" fontId="26" fillId="0" borderId="14" xfId="0" applyFont="1" applyBorder="1" applyAlignment="1" applyProtection="1">
      <alignment horizontal="left" vertical="center"/>
    </xf>
    <xf numFmtId="43" fontId="20" fillId="6" borderId="6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0" xfId="0" applyBorder="1" applyAlignment="1">
      <alignment horizontal="center" vertical="center"/>
    </xf>
    <xf numFmtId="43" fontId="5" fillId="0" borderId="6" xfId="1" applyFont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20" fillId="4" borderId="0" xfId="0" applyFont="1" applyFill="1" applyAlignment="1">
      <alignment wrapText="1"/>
    </xf>
    <xf numFmtId="0" fontId="1" fillId="0" borderId="0" xfId="0" applyFont="1" applyFill="1" applyAlignment="1" applyProtection="1">
      <alignment horizontal="center" vertical="center"/>
    </xf>
    <xf numFmtId="0" fontId="0" fillId="0" borderId="0" xfId="0" applyFill="1" applyProtection="1"/>
    <xf numFmtId="0" fontId="3" fillId="0" borderId="0" xfId="0" applyFont="1" applyFill="1" applyBorder="1" applyAlignment="1" applyProtection="1">
      <alignment horizontal="left" vertical="center"/>
    </xf>
    <xf numFmtId="0" fontId="27" fillId="0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Protection="1"/>
    <xf numFmtId="0" fontId="0" fillId="0" borderId="0" xfId="0" applyFill="1" applyBorder="1" applyAlignment="1" applyProtection="1">
      <alignment horizontal="left"/>
    </xf>
    <xf numFmtId="0" fontId="0" fillId="0" borderId="0" xfId="0" applyFill="1" applyBorder="1" applyAlignment="1" applyProtection="1">
      <alignment vertical="center"/>
    </xf>
    <xf numFmtId="0" fontId="3" fillId="0" borderId="0" xfId="0" applyFont="1" applyFill="1" applyAlignment="1" applyProtection="1">
      <alignment horizontal="left" vertical="center"/>
    </xf>
    <xf numFmtId="167" fontId="0" fillId="0" borderId="0" xfId="0" applyNumberFormat="1" applyFill="1" applyBorder="1" applyProtection="1"/>
    <xf numFmtId="0" fontId="3" fillId="0" borderId="0" xfId="0" applyFont="1" applyFill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/>
    </xf>
    <xf numFmtId="0" fontId="4" fillId="0" borderId="12" xfId="0" applyFont="1" applyFill="1" applyBorder="1" applyAlignment="1" applyProtection="1">
      <alignment vertical="center"/>
    </xf>
    <xf numFmtId="0" fontId="5" fillId="0" borderId="3" xfId="0" applyFont="1" applyFill="1" applyBorder="1" applyProtection="1"/>
    <xf numFmtId="0" fontId="5" fillId="0" borderId="4" xfId="0" applyFont="1" applyFill="1" applyBorder="1" applyAlignment="1" applyProtection="1">
      <alignment horizontal="center" vertical="center"/>
    </xf>
    <xf numFmtId="0" fontId="5" fillId="0" borderId="4" xfId="0" applyFont="1" applyFill="1" applyBorder="1" applyProtection="1"/>
    <xf numFmtId="0" fontId="0" fillId="0" borderId="5" xfId="0" applyFill="1" applyBorder="1" applyAlignment="1" applyProtection="1">
      <alignment horizontal="left"/>
    </xf>
    <xf numFmtId="0" fontId="4" fillId="0" borderId="1" xfId="0" applyFont="1" applyFill="1" applyBorder="1" applyAlignment="1" applyProtection="1">
      <alignment vertical="center"/>
    </xf>
    <xf numFmtId="0" fontId="4" fillId="0" borderId="2" xfId="0" applyFont="1" applyFill="1" applyBorder="1" applyAlignment="1" applyProtection="1">
      <alignment vertical="center"/>
    </xf>
    <xf numFmtId="0" fontId="4" fillId="0" borderId="9" xfId="0" applyFont="1" applyFill="1" applyBorder="1" applyAlignment="1" applyProtection="1">
      <alignment vertical="center"/>
    </xf>
    <xf numFmtId="0" fontId="6" fillId="0" borderId="10" xfId="0" applyFont="1" applyFill="1" applyBorder="1" applyAlignment="1" applyProtection="1">
      <alignment horizontal="center" vertical="center"/>
    </xf>
    <xf numFmtId="0" fontId="6" fillId="0" borderId="6" xfId="0" applyFont="1" applyFill="1" applyBorder="1" applyAlignment="1" applyProtection="1">
      <alignment horizontal="center" vertical="center"/>
    </xf>
    <xf numFmtId="164" fontId="4" fillId="0" borderId="6" xfId="0" applyNumberFormat="1" applyFont="1" applyFill="1" applyBorder="1" applyAlignment="1" applyProtection="1">
      <alignment horizontal="center" vertical="center"/>
    </xf>
    <xf numFmtId="0" fontId="4" fillId="0" borderId="6" xfId="0" applyFont="1" applyFill="1" applyBorder="1" applyAlignment="1" applyProtection="1">
      <alignment horizontal="center" vertical="center"/>
    </xf>
    <xf numFmtId="167" fontId="4" fillId="0" borderId="6" xfId="0" applyNumberFormat="1" applyFont="1" applyFill="1" applyBorder="1" applyAlignment="1" applyProtection="1">
      <alignment horizontal="center" vertical="center"/>
    </xf>
    <xf numFmtId="0" fontId="4" fillId="0" borderId="0" xfId="0" quotePrefix="1" applyFont="1" applyFill="1" applyBorder="1" applyAlignment="1" applyProtection="1">
      <alignment vertical="center"/>
    </xf>
    <xf numFmtId="167" fontId="0" fillId="0" borderId="5" xfId="0" applyNumberFormat="1" applyBorder="1"/>
    <xf numFmtId="166" fontId="0" fillId="0" borderId="2" xfId="0" applyNumberFormat="1" applyBorder="1" applyAlignment="1"/>
    <xf numFmtId="0" fontId="1" fillId="0" borderId="13" xfId="0" applyFont="1" applyFill="1" applyBorder="1" applyAlignment="1" applyProtection="1">
      <alignment horizontal="left" vertical="center"/>
      <protection locked="0"/>
    </xf>
    <xf numFmtId="49" fontId="1" fillId="0" borderId="2" xfId="0" applyNumberFormat="1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vertical="center"/>
    </xf>
    <xf numFmtId="0" fontId="22" fillId="0" borderId="1" xfId="0" applyFont="1" applyBorder="1" applyAlignment="1" applyProtection="1">
      <alignment horizontal="center" vertical="center"/>
    </xf>
    <xf numFmtId="0" fontId="23" fillId="0" borderId="2" xfId="0" applyFont="1" applyBorder="1" applyAlignment="1" applyProtection="1">
      <alignment horizontal="right" vertical="center" shrinkToFit="1"/>
    </xf>
    <xf numFmtId="0" fontId="23" fillId="0" borderId="9" xfId="0" applyFont="1" applyBorder="1" applyAlignment="1" applyProtection="1">
      <alignment horizontal="right" vertical="center" shrinkToFit="1"/>
    </xf>
    <xf numFmtId="0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0" borderId="2" xfId="0" applyBorder="1" applyAlignment="1">
      <alignment vertical="center"/>
    </xf>
    <xf numFmtId="43" fontId="0" fillId="0" borderId="1" xfId="1" applyFont="1" applyBorder="1" applyAlignment="1">
      <alignment vertical="top"/>
    </xf>
    <xf numFmtId="43" fontId="0" fillId="0" borderId="9" xfId="1" applyFont="1" applyBorder="1" applyAlignment="1">
      <alignment vertical="top"/>
    </xf>
    <xf numFmtId="43" fontId="0" fillId="0" borderId="2" xfId="1" applyFont="1" applyBorder="1" applyAlignment="1">
      <alignment vertical="top"/>
    </xf>
    <xf numFmtId="0" fontId="5" fillId="0" borderId="1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5" fillId="0" borderId="19" xfId="0" applyFont="1" applyBorder="1" applyAlignment="1">
      <alignment horizontal="center" vertical="center" shrinkToFit="1"/>
    </xf>
    <xf numFmtId="0" fontId="5" fillId="0" borderId="20" xfId="0" applyFont="1" applyBorder="1" applyAlignment="1">
      <alignment horizontal="center" vertical="center" shrinkToFit="1"/>
    </xf>
    <xf numFmtId="0" fontId="5" fillId="0" borderId="15" xfId="0" applyFont="1" applyBorder="1" applyAlignment="1">
      <alignment horizontal="center" vertical="center" shrinkToFit="1"/>
    </xf>
    <xf numFmtId="0" fontId="5" fillId="0" borderId="16" xfId="0" applyFont="1" applyBorder="1" applyAlignment="1">
      <alignment horizontal="center" vertical="center" shrinkToFit="1"/>
    </xf>
    <xf numFmtId="0" fontId="5" fillId="0" borderId="21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center" vertical="center" shrinkToFit="1"/>
    </xf>
    <xf numFmtId="0" fontId="5" fillId="0" borderId="23" xfId="0" applyFont="1" applyBorder="1" applyAlignment="1">
      <alignment horizontal="center" vertical="center" shrinkToFit="1"/>
    </xf>
    <xf numFmtId="0" fontId="27" fillId="0" borderId="12" xfId="0" applyFont="1" applyFill="1" applyBorder="1" applyAlignment="1" applyProtection="1">
      <alignment horizontal="left" vertical="center"/>
      <protection locked="0"/>
    </xf>
    <xf numFmtId="0" fontId="9" fillId="0" borderId="9" xfId="0" applyFont="1" applyBorder="1" applyAlignment="1" applyProtection="1">
      <alignment horizontal="center" vertical="center"/>
    </xf>
    <xf numFmtId="0" fontId="9" fillId="0" borderId="2" xfId="0" applyFont="1" applyBorder="1" applyAlignment="1" applyProtection="1">
      <alignment horizontal="center" vertical="center"/>
    </xf>
    <xf numFmtId="0" fontId="22" fillId="0" borderId="1" xfId="0" applyFont="1" applyBorder="1" applyAlignment="1" applyProtection="1">
      <alignment horizontal="center" vertical="center"/>
    </xf>
    <xf numFmtId="0" fontId="22" fillId="0" borderId="9" xfId="0" applyFont="1" applyBorder="1" applyAlignment="1" applyProtection="1">
      <alignment horizontal="center" vertical="center"/>
    </xf>
    <xf numFmtId="0" fontId="22" fillId="0" borderId="2" xfId="0" applyFont="1" applyBorder="1" applyAlignment="1" applyProtection="1">
      <alignment horizontal="center" vertical="center"/>
    </xf>
    <xf numFmtId="0" fontId="23" fillId="0" borderId="1" xfId="0" applyFont="1" applyBorder="1" applyAlignment="1" applyProtection="1">
      <alignment horizontal="left" vertical="center"/>
    </xf>
    <xf numFmtId="0" fontId="23" fillId="0" borderId="9" xfId="0" applyFont="1" applyBorder="1" applyAlignment="1" applyProtection="1">
      <alignment horizontal="left" vertical="center"/>
    </xf>
    <xf numFmtId="0" fontId="23" fillId="0" borderId="2" xfId="0" applyFont="1" applyBorder="1" applyAlignment="1" applyProtection="1">
      <alignment horizontal="left" vertical="center"/>
    </xf>
    <xf numFmtId="166" fontId="22" fillId="0" borderId="1" xfId="0" applyNumberFormat="1" applyFont="1" applyBorder="1" applyAlignment="1" applyProtection="1">
      <alignment horizontal="left" vertical="center"/>
    </xf>
    <xf numFmtId="166" fontId="22" fillId="0" borderId="9" xfId="0" applyNumberFormat="1" applyFont="1" applyBorder="1" applyAlignment="1" applyProtection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1" fontId="9" fillId="0" borderId="3" xfId="1" applyNumberFormat="1" applyFont="1" applyBorder="1" applyAlignment="1">
      <alignment horizontal="center" vertical="center"/>
    </xf>
    <xf numFmtId="1" fontId="9" fillId="0" borderId="4" xfId="1" applyNumberFormat="1" applyFont="1" applyBorder="1" applyAlignment="1">
      <alignment horizontal="center" vertical="center"/>
    </xf>
    <xf numFmtId="1" fontId="9" fillId="0" borderId="5" xfId="1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14" fontId="0" fillId="0" borderId="1" xfId="1" applyNumberFormat="1" applyFont="1" applyBorder="1" applyAlignment="1">
      <alignment horizontal="left" vertical="center"/>
    </xf>
    <xf numFmtId="14" fontId="0" fillId="0" borderId="9" xfId="1" applyNumberFormat="1" applyFont="1" applyBorder="1" applyAlignment="1">
      <alignment horizontal="left" vertical="center"/>
    </xf>
    <xf numFmtId="14" fontId="0" fillId="0" borderId="2" xfId="1" applyNumberFormat="1" applyFont="1" applyBorder="1" applyAlignment="1">
      <alignment horizontal="left" vertical="center"/>
    </xf>
    <xf numFmtId="0" fontId="18" fillId="0" borderId="1" xfId="0" applyNumberFormat="1" applyFont="1" applyFill="1" applyBorder="1" applyAlignment="1">
      <alignment horizontal="center" vertical="center"/>
    </xf>
    <xf numFmtId="0" fontId="18" fillId="0" borderId="9" xfId="0" applyNumberFormat="1" applyFont="1" applyFill="1" applyBorder="1" applyAlignment="1">
      <alignment horizontal="center" vertical="center"/>
    </xf>
    <xf numFmtId="0" fontId="18" fillId="0" borderId="2" xfId="0" applyNumberFormat="1" applyFont="1" applyFill="1" applyBorder="1" applyAlignment="1">
      <alignment horizontal="center" vertical="center"/>
    </xf>
    <xf numFmtId="11" fontId="5" fillId="0" borderId="12" xfId="0" applyNumberFormat="1" applyFont="1" applyBorder="1" applyAlignment="1">
      <alignment horizontal="center" vertical="center"/>
    </xf>
    <xf numFmtId="11" fontId="5" fillId="0" borderId="14" xfId="0" applyNumberFormat="1" applyFont="1" applyBorder="1" applyAlignment="1">
      <alignment horizontal="center" vertical="center"/>
    </xf>
    <xf numFmtId="11" fontId="5" fillId="0" borderId="13" xfId="0" applyNumberFormat="1" applyFont="1" applyBorder="1" applyAlignment="1">
      <alignment horizontal="center" vertical="center"/>
    </xf>
    <xf numFmtId="11" fontId="5" fillId="0" borderId="7" xfId="0" applyNumberFormat="1" applyFont="1" applyBorder="1" applyAlignment="1">
      <alignment horizontal="center" vertical="center"/>
    </xf>
    <xf numFmtId="11" fontId="5" fillId="0" borderId="0" xfId="0" applyNumberFormat="1" applyFont="1" applyBorder="1" applyAlignment="1">
      <alignment horizontal="center" vertical="center"/>
    </xf>
    <xf numFmtId="11" fontId="5" fillId="0" borderId="8" xfId="0" applyNumberFormat="1" applyFont="1" applyBorder="1" applyAlignment="1">
      <alignment horizontal="center" vertical="center"/>
    </xf>
    <xf numFmtId="11" fontId="5" fillId="0" borderId="3" xfId="0" applyNumberFormat="1" applyFont="1" applyBorder="1" applyAlignment="1">
      <alignment horizontal="center" vertical="center"/>
    </xf>
    <xf numFmtId="11" fontId="5" fillId="0" borderId="4" xfId="0" applyNumberFormat="1" applyFont="1" applyBorder="1" applyAlignment="1">
      <alignment horizontal="center" vertical="center"/>
    </xf>
    <xf numFmtId="11" fontId="5" fillId="0" borderId="5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12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3" xfId="0" applyBorder="1" applyAlignment="1">
      <alignment horizontal="left"/>
    </xf>
    <xf numFmtId="166" fontId="0" fillId="0" borderId="1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1" fillId="0" borderId="10" xfId="0" applyFont="1" applyFill="1" applyBorder="1" applyAlignment="1" applyProtection="1">
      <alignment horizontal="left" vertical="top"/>
    </xf>
    <xf numFmtId="0" fontId="1" fillId="0" borderId="11" xfId="0" applyFont="1" applyFill="1" applyBorder="1" applyAlignment="1" applyProtection="1">
      <alignment horizontal="left" vertical="top"/>
    </xf>
    <xf numFmtId="0" fontId="1" fillId="0" borderId="1" xfId="0" applyFont="1" applyBorder="1" applyAlignment="1" applyProtection="1">
      <alignment horizontal="center" vertical="center"/>
    </xf>
    <xf numFmtId="0" fontId="1" fillId="0" borderId="9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164" fontId="1" fillId="0" borderId="9" xfId="0" applyNumberFormat="1" applyFont="1" applyBorder="1" applyAlignment="1" applyProtection="1">
      <alignment horizontal="center" vertical="center"/>
    </xf>
    <xf numFmtId="164" fontId="1" fillId="0" borderId="2" xfId="0" applyNumberFormat="1" applyFont="1" applyBorder="1" applyAlignment="1" applyProtection="1">
      <alignment horizontal="center" vertical="center"/>
    </xf>
    <xf numFmtId="164" fontId="4" fillId="0" borderId="2" xfId="0" applyNumberFormat="1" applyFont="1" applyBorder="1" applyAlignment="1" applyProtection="1">
      <alignment horizontal="center" vertical="center"/>
    </xf>
    <xf numFmtId="0" fontId="4" fillId="0" borderId="1" xfId="0" applyFont="1" applyFill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1" fillId="0" borderId="9" xfId="0" applyFont="1" applyFill="1" applyBorder="1" applyAlignment="1" applyProtection="1">
      <alignment horizontal="center" vertical="center"/>
    </xf>
    <xf numFmtId="0" fontId="1" fillId="0" borderId="2" xfId="0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0" fillId="0" borderId="0" xfId="0" applyNumberFormat="1"/>
    <xf numFmtId="167" fontId="0" fillId="0" borderId="0" xfId="0" applyNumberFormat="1"/>
  </cellXfs>
  <cellStyles count="2">
    <cellStyle name="Comma" xfId="1" builtinId="3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352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114300</xdr:colOff>
      <xdr:row>0</xdr:row>
      <xdr:rowOff>152400</xdr:rowOff>
    </xdr:from>
    <xdr:to>
      <xdr:col>30</xdr:col>
      <xdr:colOff>238125</xdr:colOff>
      <xdr:row>7</xdr:row>
      <xdr:rowOff>66675</xdr:rowOff>
    </xdr:to>
    <xdr:sp macro="[0]!Oval1_Click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220950" y="152400"/>
          <a:ext cx="2447925" cy="1247775"/>
        </a:xfrm>
        <a:prstGeom prst="ellipse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FF0000"/>
              </a:solidFill>
            </a:rPr>
            <a:t>Go to Sheets</a:t>
          </a:r>
          <a:r>
            <a:rPr lang="en-US" sz="2000" b="1" baseline="0">
              <a:solidFill>
                <a:srgbClr val="FF0000"/>
              </a:solidFill>
            </a:rPr>
            <a:t>  1 &amp; 2 &amp; 3</a:t>
          </a:r>
          <a:endParaRPr lang="en-US" sz="20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0</xdr:colOff>
      <xdr:row>16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485938" cy="3048000"/>
        </a:xfrm>
        <a:prstGeom prst="rect">
          <a:avLst/>
        </a:prstGeom>
        <a:scene3d>
          <a:camera prst="orthographicFront"/>
          <a:lightRig rig="threePt" dir="t">
            <a:rot lat="0" lon="0" rev="1200000"/>
          </a:lightRig>
        </a:scene3d>
        <a:sp3d prstMaterial="metal"/>
      </xdr:spPr>
    </xdr:pic>
    <xdr:clientData/>
  </xdr:twoCellAnchor>
  <xdr:twoCellAnchor editAs="absolute">
    <xdr:from>
      <xdr:col>0</xdr:col>
      <xdr:colOff>146050</xdr:colOff>
      <xdr:row>0</xdr:row>
      <xdr:rowOff>76196</xdr:rowOff>
    </xdr:from>
    <xdr:to>
      <xdr:col>4</xdr:col>
      <xdr:colOff>127000</xdr:colOff>
      <xdr:row>6</xdr:row>
      <xdr:rowOff>171446</xdr:rowOff>
    </xdr:to>
    <xdr:sp macro="[0]!Oval2_Click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6050" y="76196"/>
          <a:ext cx="2298700" cy="1238250"/>
        </a:xfrm>
        <a:prstGeom prst="ellipse">
          <a:avLst/>
        </a:prstGeom>
        <a:solidFill>
          <a:schemeClr val="tx2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Shipping</a:t>
          </a:r>
          <a:r>
            <a:rPr lang="en-US" sz="1400" b="1" baseline="0"/>
            <a:t> </a:t>
          </a:r>
          <a:r>
            <a:rPr lang="en-US" sz="1400" b="1"/>
            <a:t>Labels</a:t>
          </a:r>
        </a:p>
      </xdr:txBody>
    </xdr:sp>
    <xdr:clientData/>
  </xdr:twoCellAnchor>
  <xdr:twoCellAnchor editAs="absolute">
    <xdr:from>
      <xdr:col>26</xdr:col>
      <xdr:colOff>492125</xdr:colOff>
      <xdr:row>0</xdr:row>
      <xdr:rowOff>103188</xdr:rowOff>
    </xdr:from>
    <xdr:to>
      <xdr:col>30</xdr:col>
      <xdr:colOff>469519</xdr:colOff>
      <xdr:row>7</xdr:row>
      <xdr:rowOff>4128</xdr:rowOff>
    </xdr:to>
    <xdr:sp macro="[0]!Oval3_Click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12080875" y="103188"/>
          <a:ext cx="2295144" cy="1234440"/>
        </a:xfrm>
        <a:prstGeom prst="ellipse">
          <a:avLst/>
        </a:prstGeom>
        <a:solidFill>
          <a:schemeClr val="tx2"/>
        </a:solidFill>
        <a:scene3d>
          <a:camera prst="orthographicFront"/>
          <a:lightRig rig="balanced" dir="t"/>
        </a:scene3d>
        <a:sp3d prstMaterial="plastic">
          <a:bevelT w="165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lt1"/>
              </a:solidFill>
              <a:latin typeface="+mn-lt"/>
              <a:ea typeface="+mn-ea"/>
              <a:cs typeface="+mn-cs"/>
            </a:rPr>
            <a:t>Receiving</a:t>
          </a:r>
          <a:r>
            <a:rPr lang="en-US" sz="1100" baseline="0"/>
            <a:t> </a:t>
          </a:r>
          <a:r>
            <a:rPr lang="en-US" sz="1400" b="1">
              <a:solidFill>
                <a:schemeClr val="lt1"/>
              </a:solidFill>
              <a:latin typeface="+mn-lt"/>
              <a:ea typeface="+mn-ea"/>
              <a:cs typeface="+mn-cs"/>
            </a:rPr>
            <a:t>Labels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18</xdr:row>
      <xdr:rowOff>47625</xdr:rowOff>
    </xdr:from>
    <xdr:to>
      <xdr:col>8</xdr:col>
      <xdr:colOff>590632</xdr:colOff>
      <xdr:row>20</xdr:row>
      <xdr:rowOff>152482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375" y="3724275"/>
          <a:ext cx="590632" cy="590632"/>
        </a:xfrm>
        <a:prstGeom prst="rect">
          <a:avLst/>
        </a:prstGeom>
      </xdr:spPr>
    </xdr:pic>
    <xdr:clientData/>
  </xdr:twoCellAnchor>
  <xdr:twoCellAnchor editAs="oneCell">
    <xdr:from>
      <xdr:col>3</xdr:col>
      <xdr:colOff>6803</xdr:colOff>
      <xdr:row>0</xdr:row>
      <xdr:rowOff>47626</xdr:rowOff>
    </xdr:from>
    <xdr:to>
      <xdr:col>10</xdr:col>
      <xdr:colOff>0</xdr:colOff>
      <xdr:row>1</xdr:row>
      <xdr:rowOff>156483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417" b="11983"/>
        <a:stretch/>
      </xdr:blipFill>
      <xdr:spPr>
        <a:xfrm>
          <a:off x="204107" y="47626"/>
          <a:ext cx="5184322" cy="54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209550</xdr:rowOff>
        </xdr:from>
        <xdr:to>
          <xdr:col>0</xdr:col>
          <xdr:colOff>561975</xdr:colOff>
          <xdr:row>3</xdr:row>
          <xdr:rowOff>19050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0</xdr:row>
          <xdr:rowOff>209550</xdr:rowOff>
        </xdr:from>
        <xdr:to>
          <xdr:col>1</xdr:col>
          <xdr:colOff>590550</xdr:colOff>
          <xdr:row>3</xdr:row>
          <xdr:rowOff>19050</xdr:rowOff>
        </xdr:to>
        <xdr:sp macro="" textlink="">
          <xdr:nvSpPr>
            <xdr:cNvPr id="7171" name="Option 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209550</xdr:rowOff>
        </xdr:from>
        <xdr:to>
          <xdr:col>2</xdr:col>
          <xdr:colOff>552450</xdr:colOff>
          <xdr:row>3</xdr:row>
          <xdr:rowOff>19050</xdr:rowOff>
        </xdr:to>
        <xdr:sp macro="" textlink="">
          <xdr:nvSpPr>
            <xdr:cNvPr id="7172" name="Option 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0</xdr:row>
          <xdr:rowOff>209550</xdr:rowOff>
        </xdr:from>
        <xdr:to>
          <xdr:col>3</xdr:col>
          <xdr:colOff>523875</xdr:colOff>
          <xdr:row>3</xdr:row>
          <xdr:rowOff>19050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28575</xdr:rowOff>
        </xdr:from>
        <xdr:to>
          <xdr:col>6</xdr:col>
          <xdr:colOff>1295400</xdr:colOff>
          <xdr:row>3</xdr:row>
          <xdr:rowOff>57150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7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Print &amp; make a new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3</xdr:row>
          <xdr:rowOff>228600</xdr:rowOff>
        </xdr:from>
        <xdr:to>
          <xdr:col>6</xdr:col>
          <xdr:colOff>1276350</xdr:colOff>
          <xdr:row>5</xdr:row>
          <xdr:rowOff>228600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7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Print 4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337b7d9dfa5660b/Desktop/Payam/Jobs/Email_Shorten_Link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ails"/>
      <sheetName val="Link Data"/>
      <sheetName val="Customers"/>
    </sheetNames>
    <sheetDataSet>
      <sheetData sheetId="0"/>
      <sheetData sheetId="1"/>
      <sheetData sheetId="2">
        <row r="2">
          <cell r="O2" t="str">
            <v>[All Types]</v>
          </cell>
        </row>
        <row r="3">
          <cell r="O3" t="str">
            <v>New</v>
          </cell>
        </row>
        <row r="4">
          <cell r="O4" t="str">
            <v>Existing</v>
          </cell>
        </row>
        <row r="5">
          <cell r="O5" t="str">
            <v>Lead</v>
          </cell>
        </row>
        <row r="6">
          <cell r="O6" t="str">
            <v>Prospect</v>
          </cell>
        </row>
        <row r="7">
          <cell r="O7">
            <v>0</v>
          </cell>
        </row>
        <row r="8">
          <cell r="O8">
            <v>0</v>
          </cell>
        </row>
        <row r="9">
          <cell r="O9">
            <v>0</v>
          </cell>
        </row>
        <row r="10">
          <cell r="O10">
            <v>0</v>
          </cell>
        </row>
        <row r="11">
          <cell r="O11">
            <v>0</v>
          </cell>
        </row>
        <row r="12">
          <cell r="O12">
            <v>0</v>
          </cell>
        </row>
        <row r="13">
          <cell r="O13">
            <v>0</v>
          </cell>
        </row>
        <row r="14">
          <cell r="O14">
            <v>0</v>
          </cell>
        </row>
        <row r="15">
          <cell r="O15">
            <v>0</v>
          </cell>
        </row>
        <row r="16">
          <cell r="O16">
            <v>0</v>
          </cell>
        </row>
        <row r="17">
          <cell r="O17">
            <v>0</v>
          </cell>
        </row>
        <row r="18">
          <cell r="O18">
            <v>0</v>
          </cell>
        </row>
        <row r="19">
          <cell r="O19">
            <v>0</v>
          </cell>
        </row>
        <row r="20">
          <cell r="O2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BBC89-E876-427A-9CA2-6404FF2BD7A0}">
  <sheetPr codeName="Sheet7"/>
  <dimension ref="A1:AE16"/>
  <sheetViews>
    <sheetView zoomScaleNormal="100" workbookViewId="0">
      <selection activeCell="E12" sqref="E12"/>
    </sheetView>
  </sheetViews>
  <sheetFormatPr defaultColWidth="0" defaultRowHeight="15" zeroHeight="1" x14ac:dyDescent="0.25"/>
  <cols>
    <col min="1" max="11" width="8.7109375" style="22" customWidth="1"/>
    <col min="12" max="17" width="8.7109375" style="22" hidden="1" customWidth="1"/>
    <col min="18" max="31" width="8.7109375" style="22" customWidth="1"/>
    <col min="32" max="16384" width="9.140625" style="22" hidden="1"/>
  </cols>
  <sheetData>
    <row r="1" spans="5:25" x14ac:dyDescent="0.25"/>
    <row r="2" spans="5:25" x14ac:dyDescent="0.25"/>
    <row r="3" spans="5:25" x14ac:dyDescent="0.25"/>
    <row r="4" spans="5:25" x14ac:dyDescent="0.25"/>
    <row r="5" spans="5:25" x14ac:dyDescent="0.25"/>
    <row r="6" spans="5:25" x14ac:dyDescent="0.25"/>
    <row r="7" spans="5:25" x14ac:dyDescent="0.25"/>
    <row r="8" spans="5:25" x14ac:dyDescent="0.25"/>
    <row r="9" spans="5:25" x14ac:dyDescent="0.25"/>
    <row r="10" spans="5:25" x14ac:dyDescent="0.25"/>
    <row r="11" spans="5:25" x14ac:dyDescent="0.25"/>
    <row r="12" spans="5:25" x14ac:dyDescent="0.25">
      <c r="E12" s="146"/>
    </row>
    <row r="13" spans="5:25" x14ac:dyDescent="0.25"/>
    <row r="14" spans="5:25" x14ac:dyDescent="0.25">
      <c r="Y14" s="41"/>
    </row>
    <row r="15" spans="5:25" x14ac:dyDescent="0.25"/>
    <row r="16" spans="5:25" x14ac:dyDescent="0.25"/>
  </sheetData>
  <sheetProtection algorithmName="SHA-512" hashValue="7Ay4q+YIdzpMkZvoMymlH41YKM7lgtvpUq5Jw58cF5khRLqcndnu8idXOOdFplLEXSLpF9gr2ktJewu8jEDgGw==" saltValue="+uWjJOYNK8PgwSblcGb+TQ==" spinCount="100000" sheet="1" selectLockedCells="1" selectUnlockedCells="1"/>
  <printOptions horizontalCentered="1" verticalCentered="1"/>
  <pageMargins left="0" right="0" top="0" bottom="0" header="0" footer="0"/>
  <pageSetup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CD9DD-7E25-492F-99F3-6F50653EC397}">
  <sheetPr codeName="Sheet6"/>
  <dimension ref="A1:Y10"/>
  <sheetViews>
    <sheetView workbookViewId="0">
      <selection sqref="A1:A1048576"/>
    </sheetView>
  </sheetViews>
  <sheetFormatPr defaultRowHeight="15" x14ac:dyDescent="0.25"/>
  <sheetData>
    <row r="1" spans="1:25" x14ac:dyDescent="0.25">
      <c r="C1">
        <f>IF(clacs!H2="No",VALUE(SUM(A1:A30)),VALUE(clacs!H1*SUM(A1:A50)))</f>
        <v>365</v>
      </c>
      <c r="Y1">
        <v>1</v>
      </c>
    </row>
    <row r="2" spans="1:25" x14ac:dyDescent="0.25">
      <c r="A2">
        <v>25</v>
      </c>
    </row>
    <row r="3" spans="1:25" x14ac:dyDescent="0.25">
      <c r="A3">
        <v>30</v>
      </c>
    </row>
    <row r="4" spans="1:25" x14ac:dyDescent="0.25">
      <c r="A4">
        <v>10</v>
      </c>
    </row>
    <row r="5" spans="1:25" x14ac:dyDescent="0.25">
      <c r="A5">
        <v>48</v>
      </c>
      <c r="S5">
        <v>1</v>
      </c>
    </row>
    <row r="6" spans="1:25" x14ac:dyDescent="0.25">
      <c r="A6">
        <v>40</v>
      </c>
    </row>
    <row r="7" spans="1:25" x14ac:dyDescent="0.25">
      <c r="A7">
        <v>59</v>
      </c>
    </row>
    <row r="8" spans="1:25" x14ac:dyDescent="0.25">
      <c r="A8">
        <v>45</v>
      </c>
    </row>
    <row r="9" spans="1:25" x14ac:dyDescent="0.25">
      <c r="A9">
        <v>45</v>
      </c>
    </row>
    <row r="10" spans="1:25" x14ac:dyDescent="0.25">
      <c r="A10">
        <v>63</v>
      </c>
    </row>
  </sheetData>
  <pageMargins left="0.7" right="0.7" top="0.75" bottom="0.75" header="0.3" footer="0.3"/>
  <pageSetup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2C97E-1A80-465D-9469-70B9802F2B7E}">
  <sheetPr codeName="Sheet15">
    <pageSetUpPr fitToPage="1"/>
  </sheetPr>
  <dimension ref="A1:R213"/>
  <sheetViews>
    <sheetView workbookViewId="0">
      <selection activeCell="G9" sqref="G9"/>
    </sheetView>
  </sheetViews>
  <sheetFormatPr defaultColWidth="9.140625" defaultRowHeight="15" x14ac:dyDescent="0.25"/>
  <cols>
    <col min="1" max="1" width="30.7109375" style="24" customWidth="1"/>
    <col min="2" max="2" width="18.28515625" style="24" customWidth="1"/>
    <col min="3" max="3" width="7.42578125" style="24" customWidth="1"/>
    <col min="4" max="4" width="7.5703125" style="24" customWidth="1"/>
    <col min="5" max="5" width="8.7109375" style="24" customWidth="1"/>
    <col min="6" max="6" width="7.140625" style="24" customWidth="1"/>
    <col min="7" max="7" width="10" style="24" customWidth="1"/>
    <col min="8" max="8" width="6.5703125" style="24" customWidth="1"/>
    <col min="9" max="9" width="18.28515625" style="24" customWidth="1"/>
    <col min="10" max="10" width="9.140625" style="24"/>
    <col min="11" max="11" width="0" style="24" hidden="1" customWidth="1"/>
    <col min="12" max="15" width="9.140625" style="24"/>
    <col min="16" max="16" width="9.140625" style="24" hidden="1" customWidth="1"/>
    <col min="17" max="18" width="0" style="24" hidden="1" customWidth="1"/>
    <col min="19" max="16384" width="9.140625" style="24"/>
  </cols>
  <sheetData>
    <row r="1" spans="1:18" ht="36.75" thickBot="1" x14ac:dyDescent="0.3">
      <c r="A1" s="222" t="s">
        <v>78</v>
      </c>
      <c r="B1" s="223"/>
      <c r="C1" s="223"/>
      <c r="D1" s="223"/>
      <c r="E1" s="223"/>
      <c r="F1" s="223"/>
      <c r="G1" s="223"/>
      <c r="H1" s="223"/>
      <c r="I1" s="224"/>
    </row>
    <row r="2" spans="1:18" s="147" customFormat="1" ht="203.25" customHeight="1" thickBot="1" x14ac:dyDescent="0.3">
      <c r="A2" s="225" t="s">
        <v>107</v>
      </c>
      <c r="B2" s="226"/>
      <c r="C2" s="226"/>
      <c r="D2" s="226"/>
      <c r="E2" s="226"/>
      <c r="F2" s="226"/>
      <c r="G2" s="226"/>
      <c r="H2" s="226"/>
      <c r="I2" s="227"/>
    </row>
    <row r="3" spans="1:18" s="147" customFormat="1" ht="60" customHeight="1" thickBot="1" x14ac:dyDescent="0.3">
      <c r="A3" s="148" t="s">
        <v>79</v>
      </c>
      <c r="B3" s="164"/>
      <c r="C3" s="149"/>
      <c r="D3" s="149"/>
      <c r="E3" s="149"/>
      <c r="F3" s="149"/>
      <c r="G3" s="162" t="s">
        <v>309</v>
      </c>
      <c r="H3" s="156"/>
      <c r="I3" s="157"/>
    </row>
    <row r="4" spans="1:18" s="147" customFormat="1" ht="57" customHeight="1" thickBot="1" x14ac:dyDescent="0.75">
      <c r="A4" s="201" t="s">
        <v>65</v>
      </c>
      <c r="B4" s="203"/>
      <c r="C4" s="150"/>
      <c r="D4" s="150"/>
      <c r="E4" s="151" t="s">
        <v>80</v>
      </c>
      <c r="F4" s="150"/>
      <c r="G4" s="150"/>
      <c r="H4" s="150"/>
      <c r="I4" s="202"/>
    </row>
    <row r="5" spans="1:18" s="147" customFormat="1" ht="27" customHeight="1" thickBot="1" x14ac:dyDescent="0.3">
      <c r="A5" s="228">
        <f ca="1">TODAY()</f>
        <v>44590</v>
      </c>
      <c r="B5" s="229"/>
      <c r="C5" s="229"/>
      <c r="D5" s="229"/>
      <c r="E5" s="229"/>
      <c r="F5" s="229"/>
      <c r="G5" s="229"/>
      <c r="H5" s="220" t="s">
        <v>81</v>
      </c>
      <c r="I5" s="221"/>
      <c r="K5" s="152" t="s">
        <v>87</v>
      </c>
      <c r="P5" s="147" t="s">
        <v>30</v>
      </c>
      <c r="R5" s="147" t="s">
        <v>82</v>
      </c>
    </row>
    <row r="6" spans="1:18" ht="15.75" x14ac:dyDescent="0.25">
      <c r="A6" s="147"/>
      <c r="B6" s="147"/>
      <c r="C6" s="147"/>
      <c r="D6" s="147"/>
      <c r="E6" s="147"/>
      <c r="F6" s="147"/>
      <c r="G6" s="147"/>
      <c r="H6" s="147"/>
      <c r="I6" s="147"/>
      <c r="K6" s="153" t="s">
        <v>88</v>
      </c>
      <c r="P6" s="147" t="s">
        <v>31</v>
      </c>
      <c r="R6" s="24" t="s">
        <v>83</v>
      </c>
    </row>
    <row r="7" spans="1:18" ht="15.75" x14ac:dyDescent="0.25">
      <c r="A7" s="147"/>
      <c r="B7" s="147"/>
      <c r="C7" s="147"/>
      <c r="D7" s="147"/>
      <c r="E7" s="147"/>
      <c r="F7" s="147"/>
      <c r="G7" s="147"/>
      <c r="H7" s="147"/>
      <c r="I7" s="147"/>
      <c r="K7" s="152" t="s">
        <v>89</v>
      </c>
      <c r="P7" s="147" t="s">
        <v>32</v>
      </c>
      <c r="R7" s="24" t="s">
        <v>3</v>
      </c>
    </row>
    <row r="8" spans="1:18" ht="15.75" x14ac:dyDescent="0.25">
      <c r="A8" s="147"/>
      <c r="B8" s="147"/>
      <c r="C8" s="147"/>
      <c r="D8" s="147"/>
      <c r="E8" s="147"/>
      <c r="F8" s="147"/>
      <c r="G8" s="147"/>
      <c r="H8" s="147"/>
      <c r="I8" s="147"/>
      <c r="K8" s="153" t="s">
        <v>90</v>
      </c>
      <c r="P8" s="147" t="s">
        <v>33</v>
      </c>
      <c r="R8" s="147" t="s">
        <v>84</v>
      </c>
    </row>
    <row r="9" spans="1:18" ht="15.75" x14ac:dyDescent="0.25">
      <c r="A9" s="147"/>
      <c r="B9" s="147"/>
      <c r="C9" s="147"/>
      <c r="D9" s="147"/>
      <c r="E9" s="147"/>
      <c r="F9" s="147"/>
      <c r="G9" s="147"/>
      <c r="H9" s="147"/>
      <c r="I9" s="147"/>
      <c r="K9" s="152" t="s">
        <v>91</v>
      </c>
      <c r="P9" s="147" t="s">
        <v>34</v>
      </c>
      <c r="R9" s="147" t="s">
        <v>85</v>
      </c>
    </row>
    <row r="10" spans="1:18" ht="15.75" x14ac:dyDescent="0.25">
      <c r="A10" s="147"/>
      <c r="B10" s="147"/>
      <c r="C10" s="147"/>
      <c r="D10" s="147"/>
      <c r="E10" s="147"/>
      <c r="F10" s="147"/>
      <c r="G10" s="147"/>
      <c r="H10" s="147"/>
      <c r="I10" s="147"/>
      <c r="K10" s="153" t="s">
        <v>92</v>
      </c>
      <c r="P10" s="147" t="s">
        <v>35</v>
      </c>
      <c r="R10" s="147" t="s">
        <v>86</v>
      </c>
    </row>
    <row r="11" spans="1:18" ht="15.75" x14ac:dyDescent="0.25">
      <c r="A11" s="147"/>
      <c r="B11" s="147"/>
      <c r="C11" s="147"/>
      <c r="D11" s="147"/>
      <c r="E11" s="147"/>
      <c r="F11" s="147"/>
      <c r="G11" s="147"/>
      <c r="H11" s="147"/>
      <c r="I11" s="147"/>
      <c r="K11" s="152" t="s">
        <v>93</v>
      </c>
      <c r="P11" s="147" t="s">
        <v>36</v>
      </c>
    </row>
    <row r="12" spans="1:18" ht="15.75" x14ac:dyDescent="0.25">
      <c r="A12" s="147"/>
      <c r="B12" s="147"/>
      <c r="C12" s="147"/>
      <c r="D12" s="147"/>
      <c r="E12" s="147"/>
      <c r="F12" s="147"/>
      <c r="G12" s="147"/>
      <c r="H12" s="147"/>
      <c r="I12" s="147"/>
      <c r="K12" s="153" t="s">
        <v>94</v>
      </c>
      <c r="P12" s="147" t="s">
        <v>37</v>
      </c>
    </row>
    <row r="13" spans="1:18" ht="15.75" x14ac:dyDescent="0.25">
      <c r="A13" s="147"/>
      <c r="B13" s="147"/>
      <c r="C13" s="147"/>
      <c r="D13" s="147"/>
      <c r="E13" s="147"/>
      <c r="F13" s="147"/>
      <c r="G13" s="147"/>
      <c r="H13" s="147"/>
      <c r="I13" s="147"/>
      <c r="K13" s="152" t="s">
        <v>95</v>
      </c>
      <c r="P13" s="147" t="s">
        <v>38</v>
      </c>
    </row>
    <row r="14" spans="1:18" ht="15.75" x14ac:dyDescent="0.25">
      <c r="A14" s="147"/>
      <c r="B14" s="147"/>
      <c r="C14" s="147"/>
      <c r="D14" s="147"/>
      <c r="E14" s="147"/>
      <c r="F14" s="147"/>
      <c r="G14" s="147"/>
      <c r="H14" s="147"/>
      <c r="I14" s="147"/>
      <c r="K14" s="153" t="s">
        <v>96</v>
      </c>
      <c r="P14" s="147" t="s">
        <v>45</v>
      </c>
    </row>
    <row r="15" spans="1:18" ht="15.75" x14ac:dyDescent="0.25">
      <c r="A15" s="147"/>
      <c r="B15" s="147"/>
      <c r="C15" s="147"/>
      <c r="D15" s="147"/>
      <c r="E15" s="147"/>
      <c r="F15" s="147"/>
      <c r="G15" s="147"/>
      <c r="H15" s="147"/>
      <c r="I15" s="147"/>
      <c r="K15" s="152" t="s">
        <v>97</v>
      </c>
      <c r="P15" s="147" t="s">
        <v>39</v>
      </c>
    </row>
    <row r="16" spans="1:18" ht="15.75" x14ac:dyDescent="0.25">
      <c r="A16" s="147"/>
      <c r="B16" s="147"/>
      <c r="C16" s="147"/>
      <c r="D16" s="147"/>
      <c r="E16" s="147"/>
      <c r="F16" s="147"/>
      <c r="G16" s="147"/>
      <c r="H16" s="147"/>
      <c r="I16" s="147"/>
      <c r="K16" s="153" t="s">
        <v>98</v>
      </c>
      <c r="P16" s="147" t="s">
        <v>40</v>
      </c>
    </row>
    <row r="17" spans="1:11" ht="15.75" x14ac:dyDescent="0.25">
      <c r="A17" s="147"/>
      <c r="B17" s="147"/>
      <c r="C17" s="147"/>
      <c r="D17" s="147"/>
      <c r="E17" s="147"/>
      <c r="F17" s="147"/>
      <c r="G17" s="147"/>
      <c r="H17" s="147"/>
      <c r="I17" s="147"/>
      <c r="K17" s="152" t="s">
        <v>99</v>
      </c>
    </row>
    <row r="18" spans="1:11" ht="15.75" x14ac:dyDescent="0.25">
      <c r="A18" s="147"/>
      <c r="B18" s="147"/>
      <c r="C18" s="147"/>
      <c r="D18" s="147"/>
      <c r="E18" s="147"/>
      <c r="F18" s="147"/>
      <c r="G18" s="147"/>
      <c r="H18" s="147"/>
      <c r="I18" s="147"/>
      <c r="K18" s="153" t="s">
        <v>100</v>
      </c>
    </row>
    <row r="19" spans="1:11" ht="15.75" x14ac:dyDescent="0.25">
      <c r="A19" s="147"/>
      <c r="B19" s="147"/>
      <c r="C19" s="147"/>
      <c r="D19" s="147"/>
      <c r="E19" s="147"/>
      <c r="F19" s="147"/>
      <c r="G19" s="147"/>
      <c r="H19" s="147"/>
      <c r="I19" s="147"/>
      <c r="K19" s="152" t="s">
        <v>101</v>
      </c>
    </row>
    <row r="20" spans="1:11" ht="15.75" x14ac:dyDescent="0.25">
      <c r="A20" s="147"/>
      <c r="B20" s="147"/>
      <c r="C20" s="147"/>
      <c r="D20" s="147"/>
      <c r="E20" s="147"/>
      <c r="F20" s="147"/>
      <c r="G20" s="147"/>
      <c r="H20" s="147"/>
      <c r="I20" s="147"/>
      <c r="K20" s="153" t="s">
        <v>102</v>
      </c>
    </row>
    <row r="21" spans="1:11" ht="15.75" x14ac:dyDescent="0.25">
      <c r="A21" s="147"/>
      <c r="B21" s="147"/>
      <c r="C21" s="147"/>
      <c r="D21" s="147"/>
      <c r="E21" s="147"/>
      <c r="F21" s="147"/>
      <c r="G21" s="147"/>
      <c r="H21" s="147"/>
      <c r="I21" s="147"/>
      <c r="K21" s="152" t="s">
        <v>103</v>
      </c>
    </row>
    <row r="22" spans="1:11" ht="15.75" x14ac:dyDescent="0.25">
      <c r="A22" s="147"/>
      <c r="B22" s="147"/>
      <c r="C22" s="147"/>
      <c r="D22" s="147"/>
      <c r="E22" s="147"/>
      <c r="F22" s="147"/>
      <c r="G22" s="147"/>
      <c r="H22" s="147"/>
      <c r="I22" s="147"/>
      <c r="K22" s="153" t="s">
        <v>104</v>
      </c>
    </row>
    <row r="23" spans="1:11" ht="15.75" x14ac:dyDescent="0.25">
      <c r="A23" s="147"/>
      <c r="B23" s="147"/>
      <c r="C23" s="147"/>
      <c r="D23" s="147"/>
      <c r="E23" s="147"/>
      <c r="F23" s="147"/>
      <c r="G23" s="147"/>
      <c r="H23" s="147"/>
      <c r="I23" s="147"/>
      <c r="K23" s="152" t="s">
        <v>105</v>
      </c>
    </row>
    <row r="24" spans="1:11" ht="15.75" x14ac:dyDescent="0.25">
      <c r="A24" s="147"/>
      <c r="B24" s="147"/>
      <c r="C24" s="147"/>
      <c r="D24" s="147"/>
      <c r="E24" s="147"/>
      <c r="F24" s="147"/>
      <c r="G24" s="147"/>
      <c r="H24" s="147"/>
      <c r="I24" s="147"/>
      <c r="K24" s="153" t="s">
        <v>106</v>
      </c>
    </row>
    <row r="25" spans="1:11" ht="15.75" x14ac:dyDescent="0.25">
      <c r="A25" s="147"/>
      <c r="B25" s="147"/>
      <c r="C25" s="147"/>
      <c r="D25" s="147"/>
      <c r="E25" s="147"/>
      <c r="F25" s="147"/>
      <c r="G25" s="147"/>
      <c r="H25" s="147"/>
      <c r="I25" s="147"/>
      <c r="K25" s="154" t="s">
        <v>107</v>
      </c>
    </row>
    <row r="26" spans="1:11" ht="15.75" x14ac:dyDescent="0.25">
      <c r="A26" s="147"/>
      <c r="B26" s="147"/>
      <c r="C26" s="147"/>
      <c r="D26" s="147"/>
      <c r="E26" s="147"/>
      <c r="F26" s="147"/>
      <c r="G26" s="147"/>
      <c r="H26" s="147"/>
      <c r="I26" s="147"/>
      <c r="K26" s="155" t="s">
        <v>108</v>
      </c>
    </row>
    <row r="27" spans="1:11" ht="15.75" x14ac:dyDescent="0.25">
      <c r="A27" s="147"/>
      <c r="B27" s="147"/>
      <c r="C27" s="147"/>
      <c r="D27" s="147"/>
      <c r="E27" s="147"/>
      <c r="F27" s="147"/>
      <c r="G27" s="147"/>
      <c r="H27" s="147"/>
      <c r="I27" s="147"/>
      <c r="K27" s="154" t="s">
        <v>109</v>
      </c>
    </row>
    <row r="28" spans="1:11" ht="15.75" x14ac:dyDescent="0.25">
      <c r="A28" s="147"/>
      <c r="B28" s="147"/>
      <c r="C28" s="147"/>
      <c r="D28" s="147"/>
      <c r="E28" s="147"/>
      <c r="F28" s="147"/>
      <c r="G28" s="147"/>
      <c r="H28" s="147"/>
      <c r="I28" s="147"/>
      <c r="K28" s="155" t="s">
        <v>110</v>
      </c>
    </row>
    <row r="29" spans="1:11" x14ac:dyDescent="0.25">
      <c r="K29" s="154" t="s">
        <v>111</v>
      </c>
    </row>
    <row r="30" spans="1:11" x14ac:dyDescent="0.25">
      <c r="K30" s="155" t="s">
        <v>112</v>
      </c>
    </row>
    <row r="31" spans="1:11" x14ac:dyDescent="0.25">
      <c r="K31" s="154" t="s">
        <v>113</v>
      </c>
    </row>
    <row r="32" spans="1:11" x14ac:dyDescent="0.25">
      <c r="K32" s="155" t="s">
        <v>114</v>
      </c>
    </row>
    <row r="33" spans="11:11" x14ac:dyDescent="0.25">
      <c r="K33" s="154" t="s">
        <v>115</v>
      </c>
    </row>
    <row r="34" spans="11:11" x14ac:dyDescent="0.25">
      <c r="K34" s="155" t="s">
        <v>116</v>
      </c>
    </row>
    <row r="35" spans="11:11" x14ac:dyDescent="0.25">
      <c r="K35" s="154" t="s">
        <v>117</v>
      </c>
    </row>
    <row r="36" spans="11:11" x14ac:dyDescent="0.25">
      <c r="K36" s="155" t="s">
        <v>118</v>
      </c>
    </row>
    <row r="37" spans="11:11" x14ac:dyDescent="0.25">
      <c r="K37" s="154" t="s">
        <v>119</v>
      </c>
    </row>
    <row r="38" spans="11:11" x14ac:dyDescent="0.25">
      <c r="K38" s="155" t="s">
        <v>120</v>
      </c>
    </row>
    <row r="39" spans="11:11" x14ac:dyDescent="0.25">
      <c r="K39" s="154" t="s">
        <v>121</v>
      </c>
    </row>
    <row r="40" spans="11:11" x14ac:dyDescent="0.25">
      <c r="K40" s="155" t="s">
        <v>122</v>
      </c>
    </row>
    <row r="41" spans="11:11" x14ac:dyDescent="0.25">
      <c r="K41" s="154" t="s">
        <v>123</v>
      </c>
    </row>
    <row r="42" spans="11:11" x14ac:dyDescent="0.25">
      <c r="K42" s="155" t="s">
        <v>124</v>
      </c>
    </row>
    <row r="43" spans="11:11" x14ac:dyDescent="0.25">
      <c r="K43" s="154" t="s">
        <v>125</v>
      </c>
    </row>
    <row r="44" spans="11:11" x14ac:dyDescent="0.25">
      <c r="K44" s="155" t="s">
        <v>126</v>
      </c>
    </row>
    <row r="45" spans="11:11" x14ac:dyDescent="0.25">
      <c r="K45" s="154" t="s">
        <v>127</v>
      </c>
    </row>
    <row r="46" spans="11:11" x14ac:dyDescent="0.25">
      <c r="K46" s="155" t="s">
        <v>128</v>
      </c>
    </row>
    <row r="47" spans="11:11" x14ac:dyDescent="0.25">
      <c r="K47" s="154" t="s">
        <v>129</v>
      </c>
    </row>
    <row r="48" spans="11:11" x14ac:dyDescent="0.25">
      <c r="K48" s="155" t="s">
        <v>130</v>
      </c>
    </row>
    <row r="49" spans="11:11" x14ac:dyDescent="0.25">
      <c r="K49" s="154" t="s">
        <v>131</v>
      </c>
    </row>
    <row r="50" spans="11:11" x14ac:dyDescent="0.25">
      <c r="K50" s="155" t="s">
        <v>132</v>
      </c>
    </row>
    <row r="51" spans="11:11" x14ac:dyDescent="0.25">
      <c r="K51" s="154" t="s">
        <v>133</v>
      </c>
    </row>
    <row r="52" spans="11:11" x14ac:dyDescent="0.25">
      <c r="K52" s="155" t="s">
        <v>134</v>
      </c>
    </row>
    <row r="53" spans="11:11" x14ac:dyDescent="0.25">
      <c r="K53" s="154" t="s">
        <v>135</v>
      </c>
    </row>
    <row r="54" spans="11:11" x14ac:dyDescent="0.25">
      <c r="K54" s="155" t="s">
        <v>136</v>
      </c>
    </row>
    <row r="55" spans="11:11" x14ac:dyDescent="0.25">
      <c r="K55" s="154" t="s">
        <v>137</v>
      </c>
    </row>
    <row r="56" spans="11:11" x14ac:dyDescent="0.25">
      <c r="K56" s="155" t="s">
        <v>138</v>
      </c>
    </row>
    <row r="57" spans="11:11" x14ac:dyDescent="0.25">
      <c r="K57" s="154" t="s">
        <v>139</v>
      </c>
    </row>
    <row r="58" spans="11:11" x14ac:dyDescent="0.25">
      <c r="K58" s="155" t="s">
        <v>140</v>
      </c>
    </row>
    <row r="59" spans="11:11" x14ac:dyDescent="0.25">
      <c r="K59" s="154" t="s">
        <v>141</v>
      </c>
    </row>
    <row r="60" spans="11:11" x14ac:dyDescent="0.25">
      <c r="K60" s="155" t="s">
        <v>142</v>
      </c>
    </row>
    <row r="61" spans="11:11" x14ac:dyDescent="0.25">
      <c r="K61" s="154" t="s">
        <v>143</v>
      </c>
    </row>
    <row r="62" spans="11:11" x14ac:dyDescent="0.25">
      <c r="K62" s="155" t="s">
        <v>144</v>
      </c>
    </row>
    <row r="63" spans="11:11" x14ac:dyDescent="0.25">
      <c r="K63" s="154" t="s">
        <v>145</v>
      </c>
    </row>
    <row r="64" spans="11:11" x14ac:dyDescent="0.25">
      <c r="K64" s="155" t="s">
        <v>146</v>
      </c>
    </row>
    <row r="65" spans="11:11" x14ac:dyDescent="0.25">
      <c r="K65" s="154" t="s">
        <v>147</v>
      </c>
    </row>
    <row r="66" spans="11:11" x14ac:dyDescent="0.25">
      <c r="K66" s="155" t="s">
        <v>148</v>
      </c>
    </row>
    <row r="67" spans="11:11" x14ac:dyDescent="0.25">
      <c r="K67" s="154" t="s">
        <v>149</v>
      </c>
    </row>
    <row r="68" spans="11:11" x14ac:dyDescent="0.25">
      <c r="K68" s="154" t="s">
        <v>150</v>
      </c>
    </row>
    <row r="69" spans="11:11" x14ac:dyDescent="0.25">
      <c r="K69" s="155" t="s">
        <v>151</v>
      </c>
    </row>
    <row r="70" spans="11:11" x14ac:dyDescent="0.25">
      <c r="K70" s="154" t="s">
        <v>152</v>
      </c>
    </row>
    <row r="71" spans="11:11" x14ac:dyDescent="0.25">
      <c r="K71" s="155" t="s">
        <v>153</v>
      </c>
    </row>
    <row r="72" spans="11:11" x14ac:dyDescent="0.25">
      <c r="K72" s="154" t="s">
        <v>154</v>
      </c>
    </row>
    <row r="73" spans="11:11" x14ac:dyDescent="0.25">
      <c r="K73" s="155" t="s">
        <v>155</v>
      </c>
    </row>
    <row r="74" spans="11:11" x14ac:dyDescent="0.25">
      <c r="K74" s="154" t="s">
        <v>156</v>
      </c>
    </row>
    <row r="75" spans="11:11" x14ac:dyDescent="0.25">
      <c r="K75" s="155" t="s">
        <v>157</v>
      </c>
    </row>
    <row r="76" spans="11:11" x14ac:dyDescent="0.25">
      <c r="K76" s="154" t="s">
        <v>158</v>
      </c>
    </row>
    <row r="77" spans="11:11" x14ac:dyDescent="0.25">
      <c r="K77" s="155" t="s">
        <v>159</v>
      </c>
    </row>
    <row r="78" spans="11:11" x14ac:dyDescent="0.25">
      <c r="K78" s="154" t="s">
        <v>160</v>
      </c>
    </row>
    <row r="79" spans="11:11" x14ac:dyDescent="0.25">
      <c r="K79" s="155" t="s">
        <v>161</v>
      </c>
    </row>
    <row r="80" spans="11:11" x14ac:dyDescent="0.25">
      <c r="K80" s="154" t="s">
        <v>162</v>
      </c>
    </row>
    <row r="81" spans="11:11" x14ac:dyDescent="0.25">
      <c r="K81" s="154" t="s">
        <v>163</v>
      </c>
    </row>
    <row r="82" spans="11:11" x14ac:dyDescent="0.25">
      <c r="K82" s="155" t="s">
        <v>164</v>
      </c>
    </row>
    <row r="83" spans="11:11" x14ac:dyDescent="0.25">
      <c r="K83" s="154" t="s">
        <v>165</v>
      </c>
    </row>
    <row r="84" spans="11:11" x14ac:dyDescent="0.25">
      <c r="K84" s="155" t="s">
        <v>166</v>
      </c>
    </row>
    <row r="85" spans="11:11" x14ac:dyDescent="0.25">
      <c r="K85" s="154" t="s">
        <v>167</v>
      </c>
    </row>
    <row r="86" spans="11:11" x14ac:dyDescent="0.25">
      <c r="K86" s="155" t="s">
        <v>168</v>
      </c>
    </row>
    <row r="87" spans="11:11" x14ac:dyDescent="0.25">
      <c r="K87" s="154" t="s">
        <v>169</v>
      </c>
    </row>
    <row r="88" spans="11:11" x14ac:dyDescent="0.25">
      <c r="K88" s="155" t="s">
        <v>170</v>
      </c>
    </row>
    <row r="89" spans="11:11" x14ac:dyDescent="0.25">
      <c r="K89" s="154" t="s">
        <v>171</v>
      </c>
    </row>
    <row r="90" spans="11:11" x14ac:dyDescent="0.25">
      <c r="K90" s="154" t="s">
        <v>172</v>
      </c>
    </row>
    <row r="91" spans="11:11" x14ac:dyDescent="0.25">
      <c r="K91" s="155" t="s">
        <v>173</v>
      </c>
    </row>
    <row r="92" spans="11:11" x14ac:dyDescent="0.25">
      <c r="K92" s="154" t="s">
        <v>174</v>
      </c>
    </row>
    <row r="93" spans="11:11" x14ac:dyDescent="0.25">
      <c r="K93" s="154" t="s">
        <v>175</v>
      </c>
    </row>
    <row r="94" spans="11:11" x14ac:dyDescent="0.25">
      <c r="K94" s="154" t="s">
        <v>176</v>
      </c>
    </row>
    <row r="95" spans="11:11" x14ac:dyDescent="0.25">
      <c r="K95" s="155" t="s">
        <v>177</v>
      </c>
    </row>
    <row r="96" spans="11:11" x14ac:dyDescent="0.25">
      <c r="K96" s="154" t="s">
        <v>178</v>
      </c>
    </row>
    <row r="97" spans="11:11" x14ac:dyDescent="0.25">
      <c r="K97" s="155" t="s">
        <v>179</v>
      </c>
    </row>
    <row r="98" spans="11:11" x14ac:dyDescent="0.25">
      <c r="K98" s="154" t="s">
        <v>180</v>
      </c>
    </row>
    <row r="99" spans="11:11" x14ac:dyDescent="0.25">
      <c r="K99" s="155" t="s">
        <v>181</v>
      </c>
    </row>
    <row r="100" spans="11:11" x14ac:dyDescent="0.25">
      <c r="K100" s="154" t="s">
        <v>182</v>
      </c>
    </row>
    <row r="101" spans="11:11" x14ac:dyDescent="0.25">
      <c r="K101" s="155" t="s">
        <v>183</v>
      </c>
    </row>
    <row r="102" spans="11:11" x14ac:dyDescent="0.25">
      <c r="K102" s="154" t="s">
        <v>184</v>
      </c>
    </row>
    <row r="103" spans="11:11" x14ac:dyDescent="0.25">
      <c r="K103" s="155" t="s">
        <v>185</v>
      </c>
    </row>
    <row r="104" spans="11:11" x14ac:dyDescent="0.25">
      <c r="K104" s="154" t="s">
        <v>186</v>
      </c>
    </row>
    <row r="105" spans="11:11" x14ac:dyDescent="0.25">
      <c r="K105" s="155" t="s">
        <v>187</v>
      </c>
    </row>
    <row r="106" spans="11:11" x14ac:dyDescent="0.25">
      <c r="K106" s="154" t="s">
        <v>188</v>
      </c>
    </row>
    <row r="107" spans="11:11" x14ac:dyDescent="0.25">
      <c r="K107" s="155" t="s">
        <v>189</v>
      </c>
    </row>
    <row r="108" spans="11:11" x14ac:dyDescent="0.25">
      <c r="K108" s="154" t="s">
        <v>190</v>
      </c>
    </row>
    <row r="109" spans="11:11" x14ac:dyDescent="0.25">
      <c r="K109" s="155" t="s">
        <v>191</v>
      </c>
    </row>
    <row r="110" spans="11:11" x14ac:dyDescent="0.25">
      <c r="K110" s="154" t="s">
        <v>192</v>
      </c>
    </row>
    <row r="111" spans="11:11" x14ac:dyDescent="0.25">
      <c r="K111" s="155" t="s">
        <v>193</v>
      </c>
    </row>
    <row r="112" spans="11:11" x14ac:dyDescent="0.25">
      <c r="K112" s="154" t="s">
        <v>194</v>
      </c>
    </row>
    <row r="113" spans="11:11" x14ac:dyDescent="0.25">
      <c r="K113" s="155" t="s">
        <v>195</v>
      </c>
    </row>
    <row r="114" spans="11:11" x14ac:dyDescent="0.25">
      <c r="K114" s="154" t="s">
        <v>196</v>
      </c>
    </row>
    <row r="115" spans="11:11" x14ac:dyDescent="0.25">
      <c r="K115" s="155" t="s">
        <v>197</v>
      </c>
    </row>
    <row r="116" spans="11:11" x14ac:dyDescent="0.25">
      <c r="K116" s="154" t="s">
        <v>198</v>
      </c>
    </row>
    <row r="117" spans="11:11" x14ac:dyDescent="0.25">
      <c r="K117" s="155" t="s">
        <v>199</v>
      </c>
    </row>
    <row r="118" spans="11:11" x14ac:dyDescent="0.25">
      <c r="K118" s="154" t="s">
        <v>200</v>
      </c>
    </row>
    <row r="119" spans="11:11" x14ac:dyDescent="0.25">
      <c r="K119" s="155" t="s">
        <v>201</v>
      </c>
    </row>
    <row r="120" spans="11:11" x14ac:dyDescent="0.25">
      <c r="K120" s="154" t="s">
        <v>202</v>
      </c>
    </row>
    <row r="121" spans="11:11" x14ac:dyDescent="0.25">
      <c r="K121" s="155" t="s">
        <v>203</v>
      </c>
    </row>
    <row r="122" spans="11:11" x14ac:dyDescent="0.25">
      <c r="K122" s="154" t="s">
        <v>204</v>
      </c>
    </row>
    <row r="123" spans="11:11" x14ac:dyDescent="0.25">
      <c r="K123" s="155" t="s">
        <v>205</v>
      </c>
    </row>
    <row r="124" spans="11:11" x14ac:dyDescent="0.25">
      <c r="K124" s="154" t="s">
        <v>206</v>
      </c>
    </row>
    <row r="125" spans="11:11" x14ac:dyDescent="0.25">
      <c r="K125" s="155" t="s">
        <v>207</v>
      </c>
    </row>
    <row r="126" spans="11:11" x14ac:dyDescent="0.25">
      <c r="K126" s="154" t="s">
        <v>208</v>
      </c>
    </row>
    <row r="127" spans="11:11" x14ac:dyDescent="0.25">
      <c r="K127" s="154" t="s">
        <v>209</v>
      </c>
    </row>
    <row r="128" spans="11:11" x14ac:dyDescent="0.25">
      <c r="K128" s="155" t="s">
        <v>210</v>
      </c>
    </row>
    <row r="129" spans="11:11" x14ac:dyDescent="0.25">
      <c r="K129" s="154" t="s">
        <v>211</v>
      </c>
    </row>
    <row r="130" spans="11:11" x14ac:dyDescent="0.25">
      <c r="K130" s="155" t="s">
        <v>212</v>
      </c>
    </row>
    <row r="131" spans="11:11" x14ac:dyDescent="0.25">
      <c r="K131" s="154" t="s">
        <v>213</v>
      </c>
    </row>
    <row r="132" spans="11:11" x14ac:dyDescent="0.25">
      <c r="K132" s="155" t="s">
        <v>214</v>
      </c>
    </row>
    <row r="133" spans="11:11" x14ac:dyDescent="0.25">
      <c r="K133" s="154" t="s">
        <v>215</v>
      </c>
    </row>
    <row r="134" spans="11:11" x14ac:dyDescent="0.25">
      <c r="K134" s="155" t="s">
        <v>216</v>
      </c>
    </row>
    <row r="135" spans="11:11" x14ac:dyDescent="0.25">
      <c r="K135" s="154" t="s">
        <v>217</v>
      </c>
    </row>
    <row r="136" spans="11:11" x14ac:dyDescent="0.25">
      <c r="K136" s="155" t="s">
        <v>218</v>
      </c>
    </row>
    <row r="137" spans="11:11" x14ac:dyDescent="0.25">
      <c r="K137" s="154" t="s">
        <v>219</v>
      </c>
    </row>
    <row r="138" spans="11:11" x14ac:dyDescent="0.25">
      <c r="K138" s="154" t="s">
        <v>220</v>
      </c>
    </row>
    <row r="139" spans="11:11" x14ac:dyDescent="0.25">
      <c r="K139" s="155" t="s">
        <v>221</v>
      </c>
    </row>
    <row r="140" spans="11:11" x14ac:dyDescent="0.25">
      <c r="K140" s="154" t="s">
        <v>222</v>
      </c>
    </row>
    <row r="141" spans="11:11" x14ac:dyDescent="0.25">
      <c r="K141" s="155" t="s">
        <v>223</v>
      </c>
    </row>
    <row r="142" spans="11:11" x14ac:dyDescent="0.25">
      <c r="K142" s="154" t="s">
        <v>224</v>
      </c>
    </row>
    <row r="143" spans="11:11" x14ac:dyDescent="0.25">
      <c r="K143" s="155" t="s">
        <v>225</v>
      </c>
    </row>
    <row r="144" spans="11:11" x14ac:dyDescent="0.25">
      <c r="K144" s="154" t="s">
        <v>226</v>
      </c>
    </row>
    <row r="145" spans="11:11" x14ac:dyDescent="0.25">
      <c r="K145" s="155" t="s">
        <v>227</v>
      </c>
    </row>
    <row r="146" spans="11:11" x14ac:dyDescent="0.25">
      <c r="K146" s="154" t="s">
        <v>228</v>
      </c>
    </row>
    <row r="147" spans="11:11" x14ac:dyDescent="0.25">
      <c r="K147" s="155" t="s">
        <v>229</v>
      </c>
    </row>
    <row r="148" spans="11:11" x14ac:dyDescent="0.25">
      <c r="K148" s="154" t="s">
        <v>230</v>
      </c>
    </row>
    <row r="149" spans="11:11" x14ac:dyDescent="0.25">
      <c r="K149" s="155" t="s">
        <v>231</v>
      </c>
    </row>
    <row r="150" spans="11:11" x14ac:dyDescent="0.25">
      <c r="K150" s="154" t="s">
        <v>232</v>
      </c>
    </row>
    <row r="151" spans="11:11" x14ac:dyDescent="0.25">
      <c r="K151" s="155" t="s">
        <v>233</v>
      </c>
    </row>
    <row r="152" spans="11:11" x14ac:dyDescent="0.25">
      <c r="K152" s="154" t="s">
        <v>234</v>
      </c>
    </row>
    <row r="153" spans="11:11" x14ac:dyDescent="0.25">
      <c r="K153" s="155" t="s">
        <v>235</v>
      </c>
    </row>
    <row r="154" spans="11:11" x14ac:dyDescent="0.25">
      <c r="K154" s="154" t="s">
        <v>236</v>
      </c>
    </row>
    <row r="155" spans="11:11" x14ac:dyDescent="0.25">
      <c r="K155" s="155" t="s">
        <v>237</v>
      </c>
    </row>
    <row r="156" spans="11:11" x14ac:dyDescent="0.25">
      <c r="K156" s="154" t="s">
        <v>238</v>
      </c>
    </row>
    <row r="157" spans="11:11" x14ac:dyDescent="0.25">
      <c r="K157" s="155" t="s">
        <v>239</v>
      </c>
    </row>
    <row r="158" spans="11:11" x14ac:dyDescent="0.25">
      <c r="K158" s="154" t="s">
        <v>240</v>
      </c>
    </row>
    <row r="159" spans="11:11" x14ac:dyDescent="0.25">
      <c r="K159" s="155" t="s">
        <v>241</v>
      </c>
    </row>
    <row r="160" spans="11:11" x14ac:dyDescent="0.25">
      <c r="K160" s="154" t="s">
        <v>242</v>
      </c>
    </row>
    <row r="161" spans="11:11" x14ac:dyDescent="0.25">
      <c r="K161" s="155" t="s">
        <v>243</v>
      </c>
    </row>
    <row r="162" spans="11:11" x14ac:dyDescent="0.25">
      <c r="K162" s="154" t="s">
        <v>244</v>
      </c>
    </row>
    <row r="163" spans="11:11" x14ac:dyDescent="0.25">
      <c r="K163" s="155" t="s">
        <v>245</v>
      </c>
    </row>
    <row r="164" spans="11:11" x14ac:dyDescent="0.25">
      <c r="K164" s="154" t="s">
        <v>246</v>
      </c>
    </row>
    <row r="165" spans="11:11" x14ac:dyDescent="0.25">
      <c r="K165" s="155" t="s">
        <v>247</v>
      </c>
    </row>
    <row r="166" spans="11:11" x14ac:dyDescent="0.25">
      <c r="K166" s="154" t="s">
        <v>248</v>
      </c>
    </row>
    <row r="167" spans="11:11" x14ac:dyDescent="0.25">
      <c r="K167" s="155" t="s">
        <v>249</v>
      </c>
    </row>
    <row r="168" spans="11:11" x14ac:dyDescent="0.25">
      <c r="K168" s="154" t="s">
        <v>250</v>
      </c>
    </row>
    <row r="169" spans="11:11" x14ac:dyDescent="0.25">
      <c r="K169" s="155" t="s">
        <v>251</v>
      </c>
    </row>
    <row r="170" spans="11:11" x14ac:dyDescent="0.25">
      <c r="K170" s="154" t="s">
        <v>252</v>
      </c>
    </row>
    <row r="171" spans="11:11" x14ac:dyDescent="0.25">
      <c r="K171" s="155" t="s">
        <v>253</v>
      </c>
    </row>
    <row r="172" spans="11:11" x14ac:dyDescent="0.25">
      <c r="K172" s="154" t="s">
        <v>254</v>
      </c>
    </row>
    <row r="173" spans="11:11" x14ac:dyDescent="0.25">
      <c r="K173" s="155" t="s">
        <v>255</v>
      </c>
    </row>
    <row r="174" spans="11:11" x14ac:dyDescent="0.25">
      <c r="K174" s="154" t="s">
        <v>256</v>
      </c>
    </row>
    <row r="175" spans="11:11" x14ac:dyDescent="0.25">
      <c r="K175" s="154" t="s">
        <v>257</v>
      </c>
    </row>
    <row r="176" spans="11:11" x14ac:dyDescent="0.25">
      <c r="K176" s="155" t="s">
        <v>258</v>
      </c>
    </row>
    <row r="177" spans="11:11" x14ac:dyDescent="0.25">
      <c r="K177" s="154" t="s">
        <v>259</v>
      </c>
    </row>
    <row r="178" spans="11:11" x14ac:dyDescent="0.25">
      <c r="K178" s="155" t="s">
        <v>260</v>
      </c>
    </row>
    <row r="179" spans="11:11" x14ac:dyDescent="0.25">
      <c r="K179" s="154" t="s">
        <v>261</v>
      </c>
    </row>
    <row r="180" spans="11:11" x14ac:dyDescent="0.25">
      <c r="K180" s="155" t="s">
        <v>262</v>
      </c>
    </row>
    <row r="181" spans="11:11" x14ac:dyDescent="0.25">
      <c r="K181" s="154" t="s">
        <v>263</v>
      </c>
    </row>
    <row r="182" spans="11:11" x14ac:dyDescent="0.25">
      <c r="K182" s="155" t="s">
        <v>264</v>
      </c>
    </row>
    <row r="183" spans="11:11" x14ac:dyDescent="0.25">
      <c r="K183" s="154" t="s">
        <v>265</v>
      </c>
    </row>
    <row r="184" spans="11:11" x14ac:dyDescent="0.25">
      <c r="K184" s="155" t="s">
        <v>266</v>
      </c>
    </row>
    <row r="185" spans="11:11" x14ac:dyDescent="0.25">
      <c r="K185" s="154" t="s">
        <v>267</v>
      </c>
    </row>
    <row r="186" spans="11:11" x14ac:dyDescent="0.25">
      <c r="K186" s="155" t="s">
        <v>268</v>
      </c>
    </row>
    <row r="187" spans="11:11" x14ac:dyDescent="0.25">
      <c r="K187" s="154" t="s">
        <v>269</v>
      </c>
    </row>
    <row r="188" spans="11:11" x14ac:dyDescent="0.25">
      <c r="K188" s="155" t="s">
        <v>270</v>
      </c>
    </row>
    <row r="189" spans="11:11" x14ac:dyDescent="0.25">
      <c r="K189" s="154" t="s">
        <v>271</v>
      </c>
    </row>
    <row r="190" spans="11:11" x14ac:dyDescent="0.25">
      <c r="K190" s="155" t="s">
        <v>272</v>
      </c>
    </row>
    <row r="191" spans="11:11" x14ac:dyDescent="0.25">
      <c r="K191" s="154" t="s">
        <v>273</v>
      </c>
    </row>
    <row r="192" spans="11:11" x14ac:dyDescent="0.25">
      <c r="K192" s="155" t="s">
        <v>274</v>
      </c>
    </row>
    <row r="193" spans="11:11" x14ac:dyDescent="0.25">
      <c r="K193" s="154" t="s">
        <v>275</v>
      </c>
    </row>
    <row r="194" spans="11:11" x14ac:dyDescent="0.25">
      <c r="K194" s="155" t="s">
        <v>276</v>
      </c>
    </row>
    <row r="195" spans="11:11" x14ac:dyDescent="0.25">
      <c r="K195" s="154" t="s">
        <v>277</v>
      </c>
    </row>
    <row r="196" spans="11:11" x14ac:dyDescent="0.25">
      <c r="K196" s="155" t="s">
        <v>278</v>
      </c>
    </row>
    <row r="197" spans="11:11" x14ac:dyDescent="0.25">
      <c r="K197" s="154" t="s">
        <v>279</v>
      </c>
    </row>
    <row r="198" spans="11:11" x14ac:dyDescent="0.25">
      <c r="K198" s="154" t="s">
        <v>280</v>
      </c>
    </row>
    <row r="199" spans="11:11" x14ac:dyDescent="0.25">
      <c r="K199" s="155" t="s">
        <v>281</v>
      </c>
    </row>
    <row r="200" spans="11:11" x14ac:dyDescent="0.25">
      <c r="K200" s="154" t="s">
        <v>282</v>
      </c>
    </row>
    <row r="201" spans="11:11" x14ac:dyDescent="0.25">
      <c r="K201" s="155" t="s">
        <v>283</v>
      </c>
    </row>
    <row r="202" spans="11:11" x14ac:dyDescent="0.25">
      <c r="K202" s="154" t="s">
        <v>284</v>
      </c>
    </row>
    <row r="203" spans="11:11" x14ac:dyDescent="0.25">
      <c r="K203" s="155" t="s">
        <v>285</v>
      </c>
    </row>
    <row r="204" spans="11:11" x14ac:dyDescent="0.25">
      <c r="K204" s="154" t="s">
        <v>286</v>
      </c>
    </row>
    <row r="205" spans="11:11" x14ac:dyDescent="0.25">
      <c r="K205" s="155" t="s">
        <v>287</v>
      </c>
    </row>
    <row r="206" spans="11:11" x14ac:dyDescent="0.25">
      <c r="K206" s="154" t="s">
        <v>288</v>
      </c>
    </row>
    <row r="207" spans="11:11" x14ac:dyDescent="0.25">
      <c r="K207" s="155" t="s">
        <v>289</v>
      </c>
    </row>
    <row r="208" spans="11:11" x14ac:dyDescent="0.25">
      <c r="K208" s="154" t="s">
        <v>290</v>
      </c>
    </row>
    <row r="209" spans="11:11" x14ac:dyDescent="0.25">
      <c r="K209" s="155" t="s">
        <v>291</v>
      </c>
    </row>
    <row r="210" spans="11:11" x14ac:dyDescent="0.25">
      <c r="K210" s="154" t="s">
        <v>292</v>
      </c>
    </row>
    <row r="211" spans="11:11" x14ac:dyDescent="0.25">
      <c r="K211" s="155" t="s">
        <v>293</v>
      </c>
    </row>
    <row r="212" spans="11:11" x14ac:dyDescent="0.25">
      <c r="K212" s="154" t="s">
        <v>294</v>
      </c>
    </row>
    <row r="213" spans="11:11" x14ac:dyDescent="0.25">
      <c r="K213" s="154" t="s">
        <v>295</v>
      </c>
    </row>
  </sheetData>
  <sheetProtection algorithmName="SHA-512" hashValue="uCajyMTPKpDhhMJcKyKNfCI2k3HsUfuwh8ADQsU7YN87n5sj36tKvEl4WK1gsZxNCLeZrkbsxnlu0kFVapSO4A==" saltValue="76Qma5M/KcZWKANJFP/zaA==" spinCount="100000" sheet="1" objects="1" scenarios="1" selectLockedCells="1" selectUnlockedCells="1"/>
  <mergeCells count="4">
    <mergeCell ref="H5:I5"/>
    <mergeCell ref="A1:I1"/>
    <mergeCell ref="A2:I2"/>
    <mergeCell ref="A5:G5"/>
  </mergeCells>
  <phoneticPr fontId="10" type="noConversion"/>
  <conditionalFormatting sqref="K5:K24">
    <cfRule type="duplicateValues" dxfId="21" priority="22"/>
  </conditionalFormatting>
  <conditionalFormatting sqref="K5:K24">
    <cfRule type="duplicateValues" dxfId="20" priority="21"/>
  </conditionalFormatting>
  <conditionalFormatting sqref="K25:K40">
    <cfRule type="duplicateValues" dxfId="19" priority="20"/>
  </conditionalFormatting>
  <conditionalFormatting sqref="K41:K67">
    <cfRule type="duplicateValues" dxfId="18" priority="19"/>
  </conditionalFormatting>
  <conditionalFormatting sqref="K68:K71">
    <cfRule type="duplicateValues" dxfId="17" priority="18"/>
  </conditionalFormatting>
  <conditionalFormatting sqref="K72:K77">
    <cfRule type="duplicateValues" dxfId="16" priority="17"/>
  </conditionalFormatting>
  <conditionalFormatting sqref="K78:K80">
    <cfRule type="duplicateValues" dxfId="15" priority="16"/>
  </conditionalFormatting>
  <conditionalFormatting sqref="K81:K89">
    <cfRule type="duplicateValues" dxfId="14" priority="15"/>
  </conditionalFormatting>
  <conditionalFormatting sqref="K90:K92">
    <cfRule type="duplicateValues" dxfId="13" priority="14"/>
  </conditionalFormatting>
  <conditionalFormatting sqref="K93">
    <cfRule type="duplicateValues" dxfId="12" priority="13"/>
  </conditionalFormatting>
  <conditionalFormatting sqref="K94:K99">
    <cfRule type="duplicateValues" dxfId="11" priority="12"/>
  </conditionalFormatting>
  <conditionalFormatting sqref="K100:K109">
    <cfRule type="duplicateValues" dxfId="10" priority="11"/>
  </conditionalFormatting>
  <conditionalFormatting sqref="K110:K115">
    <cfRule type="duplicateValues" dxfId="9" priority="10"/>
  </conditionalFormatting>
  <conditionalFormatting sqref="K116:K123">
    <cfRule type="duplicateValues" dxfId="8" priority="9"/>
  </conditionalFormatting>
  <conditionalFormatting sqref="K124:K126">
    <cfRule type="duplicateValues" dxfId="7" priority="8"/>
  </conditionalFormatting>
  <conditionalFormatting sqref="K127:K137">
    <cfRule type="duplicateValues" dxfId="6" priority="7"/>
  </conditionalFormatting>
  <conditionalFormatting sqref="K138:K147">
    <cfRule type="duplicateValues" dxfId="5" priority="6"/>
  </conditionalFormatting>
  <conditionalFormatting sqref="K148:K174">
    <cfRule type="duplicateValues" dxfId="4" priority="5"/>
  </conditionalFormatting>
  <conditionalFormatting sqref="K175:K192">
    <cfRule type="duplicateValues" dxfId="3" priority="4"/>
  </conditionalFormatting>
  <conditionalFormatting sqref="K193:K197">
    <cfRule type="duplicateValues" dxfId="2" priority="3"/>
  </conditionalFormatting>
  <conditionalFormatting sqref="K198:K212">
    <cfRule type="duplicateValues" dxfId="1" priority="2"/>
  </conditionalFormatting>
  <conditionalFormatting sqref="K213">
    <cfRule type="duplicateValues" dxfId="0" priority="1"/>
  </conditionalFormatting>
  <printOptions horizontalCentered="1" verticalCentered="1"/>
  <pageMargins left="0" right="0" top="0" bottom="0" header="0" footer="0"/>
  <pageSetup scale="66" orientation="landscape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DF0B6-6763-4D5C-879E-9D7556CE9200}">
  <sheetPr codeName="Sheet12"/>
  <dimension ref="A1:AD1000"/>
  <sheetViews>
    <sheetView zoomScale="70" zoomScaleNormal="70" workbookViewId="0">
      <selection activeCell="A102" sqref="A102:D121"/>
    </sheetView>
  </sheetViews>
  <sheetFormatPr defaultRowHeight="15.75" thickBottom="1" x14ac:dyDescent="0.3"/>
  <cols>
    <col min="18" max="20" width="9.140625" style="91"/>
  </cols>
  <sheetData>
    <row r="1" spans="1:30" thickBot="1" x14ac:dyDescent="0.3">
      <c r="G1" t="s">
        <v>73</v>
      </c>
      <c r="H1" s="109">
        <v>3</v>
      </c>
      <c r="N1">
        <f>A1</f>
        <v>0</v>
      </c>
      <c r="O1">
        <f t="shared" ref="O1:O64" si="0">B1</f>
        <v>0</v>
      </c>
      <c r="P1">
        <f t="shared" ref="P1:P64" si="1">C1</f>
        <v>0</v>
      </c>
      <c r="Q1">
        <f t="shared" ref="Q1:Q64" si="2">D1</f>
        <v>0</v>
      </c>
    </row>
    <row r="2" spans="1:30" thickBot="1" x14ac:dyDescent="0.3">
      <c r="A2" t="s">
        <v>15</v>
      </c>
      <c r="C2" t="s">
        <v>315</v>
      </c>
      <c r="G2" t="s">
        <v>72</v>
      </c>
      <c r="H2" s="109" t="s">
        <v>312</v>
      </c>
      <c r="N2" t="str">
        <f t="shared" ref="N2:N65" si="3">A2</f>
        <v>Client:</v>
      </c>
      <c r="O2">
        <f t="shared" si="0"/>
        <v>0</v>
      </c>
      <c r="P2" t="str">
        <f t="shared" si="1"/>
        <v>BDA 2022/296/3/795</v>
      </c>
      <c r="Q2">
        <f t="shared" si="2"/>
        <v>0</v>
      </c>
    </row>
    <row r="3" spans="1:30" thickBot="1" x14ac:dyDescent="0.3">
      <c r="A3" t="s">
        <v>311</v>
      </c>
      <c r="D3" s="140"/>
      <c r="N3" t="str">
        <f t="shared" si="3"/>
        <v>INV #</v>
      </c>
      <c r="O3">
        <f t="shared" si="0"/>
        <v>0</v>
      </c>
      <c r="P3">
        <f t="shared" si="1"/>
        <v>0</v>
      </c>
      <c r="Q3">
        <f t="shared" si="2"/>
        <v>0</v>
      </c>
    </row>
    <row r="4" spans="1:30" thickBot="1" x14ac:dyDescent="0.3">
      <c r="A4" t="s">
        <v>318</v>
      </c>
      <c r="N4" t="str">
        <f t="shared" si="3"/>
        <v>-1</v>
      </c>
      <c r="O4">
        <f t="shared" si="0"/>
        <v>0</v>
      </c>
      <c r="P4">
        <f t="shared" si="1"/>
        <v>0</v>
      </c>
      <c r="Q4">
        <f t="shared" si="2"/>
        <v>0</v>
      </c>
    </row>
    <row r="5" spans="1:30" thickBot="1" x14ac:dyDescent="0.3">
      <c r="G5" s="96" t="s">
        <v>13</v>
      </c>
      <c r="H5" s="96" t="str">
        <f>B6</f>
        <v>TSHIRTS L/S</v>
      </c>
      <c r="I5" s="97">
        <f>C6</f>
        <v>0</v>
      </c>
      <c r="J5" s="97">
        <f>D6</f>
        <v>0</v>
      </c>
      <c r="K5" s="102" t="s">
        <v>65</v>
      </c>
      <c r="L5" s="127"/>
      <c r="M5" s="127"/>
      <c r="N5">
        <f t="shared" si="3"/>
        <v>0</v>
      </c>
      <c r="O5">
        <f t="shared" si="0"/>
        <v>0</v>
      </c>
      <c r="P5">
        <f t="shared" si="1"/>
        <v>0</v>
      </c>
      <c r="Q5">
        <f t="shared" si="2"/>
        <v>0</v>
      </c>
    </row>
    <row r="6" spans="1:30" thickBot="1" x14ac:dyDescent="0.3">
      <c r="A6" t="s">
        <v>13</v>
      </c>
      <c r="B6" t="s">
        <v>317</v>
      </c>
      <c r="G6" s="96" t="s">
        <v>4</v>
      </c>
      <c r="H6" s="96">
        <f>IF($H$2="No",SUM(B7,B27,B47,B67,B87,B107,B127,B147,B167,B187,B207,B227,B247,B267,B287,B307,B3027,B347,B367,B387,B407,B427,B447,B467,B487,B507,B527,B547,B567,B587),VALUE($H$1*B7))</f>
        <v>0</v>
      </c>
      <c r="I6" s="102">
        <f t="shared" ref="I6:J6" si="4">IF($H$2="No",SUM(C7,C27,C47,C67,C87,C107,C127,C147,C167,C187,C207,C227,C247,C267,C287,C307,C3027,C347,C367,C387,C407,C427,C447,C467,C487,C507,C527,C547,C567,C587),VALUE($H$1*C7))</f>
        <v>0</v>
      </c>
      <c r="J6" s="102">
        <f t="shared" si="4"/>
        <v>0</v>
      </c>
      <c r="K6" s="102" t="str">
        <f>IF(H6&gt;0,CONCATENATE(R7,X7,R27,X27,R47,X47,R67,X67,R87,X87,R107,X107,R127,X127,R147,X147,R167,X167,R187,X187,R207,X207,R227,X227,R247,X247,R267,X267,R287,X287,R307),"")</f>
        <v/>
      </c>
      <c r="L6" s="102" t="str">
        <f t="shared" ref="L6:M6" si="5">IF(I6&gt;0,CONCATENATE(S7,Y7,S27,Y27,S47,Y47,S67,Y67,S87,Y87,S107,Y107,S127,Y127,S147,Y147,S167,Y167,S187,Y187,S207,Y207,S227,Y227,S247,Y247,S267,Y267,S287,Y287,S307),"")</f>
        <v/>
      </c>
      <c r="M6" s="102" t="str">
        <f t="shared" si="5"/>
        <v/>
      </c>
      <c r="N6" t="str">
        <f t="shared" si="3"/>
        <v>SIZE</v>
      </c>
      <c r="O6" t="str">
        <f t="shared" si="0"/>
        <v>TSHIRTS L/S</v>
      </c>
      <c r="P6">
        <f t="shared" si="1"/>
        <v>0</v>
      </c>
      <c r="Q6">
        <f t="shared" si="2"/>
        <v>0</v>
      </c>
      <c r="V6">
        <v>1</v>
      </c>
    </row>
    <row r="7" spans="1:30" thickBot="1" x14ac:dyDescent="0.3">
      <c r="A7" t="s">
        <v>4</v>
      </c>
      <c r="G7" s="96" t="s">
        <v>5</v>
      </c>
      <c r="H7" s="102">
        <f t="shared" ref="H7:H14" si="6">IF($H$2="No",SUM(B8,B28,B48,B68,B88,B108,B128,B148,B168,B188,B208,B228,B248,B268,B288,B308,B3028,B348,B368,B388,B408,B428,B448,B468,B488,B508,B528,B548,B568,B588),VALUE($H$1*B8))</f>
        <v>24</v>
      </c>
      <c r="I7" s="102">
        <f t="shared" ref="I7:I14" si="7">IF($H$2="No",SUM(C8,C28,C48,C68,C88,C108,C128,C148,C168,C188,C208,C228,C248,C268,C288,C308,C3028,C348,C368,C388,C408,C428,C448,C468,C488,C508,C528,C548,C568,C588),VALUE($H$1*C8))</f>
        <v>0</v>
      </c>
      <c r="J7" s="102">
        <f t="shared" ref="J7:J14" si="8">IF($H$2="No",SUM(D8,D28,D48,D68,D88,D108,D128,D148,D168,D188,D208,D228,D248,D268,D288,D308,D3028,D348,D368,D388,D408,D428,D448,D468,D488,D508,D528,D548,D568,D588),VALUE($H$1*D8))</f>
        <v>0</v>
      </c>
      <c r="K7" s="102" t="str">
        <f t="shared" ref="K7:K15" si="9">IF(H7&gt;0,CONCATENATE(R8,X8,R28,X28,R48,X48,R68,X68,R88,X88,R108,X108,R128,X128,R148,X148,R168,X168,R188,X188,R208,X208,R228,X228,R248,X248,R268,X268,R288,X288,R308),"")</f>
        <v>1,</v>
      </c>
      <c r="L7" s="102" t="str">
        <f t="shared" ref="L7:L15" si="10">IF(I7&gt;0,CONCATENATE(S8,Y8,S28,Y28,S48,Y48,S68,Y68,S88,Y88,S108,Y108,S128,Y128,S148,Y148,S168,Y168,S188,Y188,S208,Y208,S228,Y228,S248,Y248,S268,Y268,S288,Y288,S308),"")</f>
        <v/>
      </c>
      <c r="M7" s="102" t="str">
        <f t="shared" ref="M7:M15" si="11">IF(J7&gt;0,CONCATENATE(T8,Z8,T28,Z28,T48,Z48,T68,Z68,T88,Z88,T108,Z108,T128,Z128,T148,Z148,T168,Z168,T188,Z188,T208,Z208,T228,Z228,T248,Z248,T268,Z268,T288,Z288,T308),"")</f>
        <v/>
      </c>
      <c r="N7" t="str">
        <f t="shared" si="3"/>
        <v>XS</v>
      </c>
      <c r="O7">
        <f t="shared" si="0"/>
        <v>0</v>
      </c>
      <c r="P7">
        <f t="shared" si="1"/>
        <v>0</v>
      </c>
      <c r="Q7">
        <f t="shared" si="2"/>
        <v>0</v>
      </c>
      <c r="R7" s="91" t="str">
        <f>IF(O7&gt;0,$N$20,"")</f>
        <v/>
      </c>
      <c r="S7" s="91" t="str">
        <f t="shared" ref="S7:T7" si="12">IF(P7&gt;0,$N$20,"")</f>
        <v/>
      </c>
      <c r="T7" s="91" t="str">
        <f t="shared" si="12"/>
        <v/>
      </c>
      <c r="X7" t="str">
        <f>IF(R7="","",",")</f>
        <v/>
      </c>
      <c r="Y7" t="str">
        <f t="shared" ref="Y7:AD7" si="13">IF(S7="","",",")</f>
        <v/>
      </c>
      <c r="Z7" t="str">
        <f t="shared" si="13"/>
        <v/>
      </c>
      <c r="AA7" t="str">
        <f t="shared" si="13"/>
        <v/>
      </c>
      <c r="AB7" t="str">
        <f t="shared" si="13"/>
        <v/>
      </c>
      <c r="AC7" t="str">
        <f t="shared" si="13"/>
        <v/>
      </c>
      <c r="AD7" t="str">
        <f t="shared" si="13"/>
        <v/>
      </c>
    </row>
    <row r="8" spans="1:30" thickBot="1" x14ac:dyDescent="0.3">
      <c r="A8" t="s">
        <v>5</v>
      </c>
      <c r="B8">
        <v>24</v>
      </c>
      <c r="G8" s="96" t="s">
        <v>6</v>
      </c>
      <c r="H8" s="102">
        <f t="shared" si="6"/>
        <v>72</v>
      </c>
      <c r="I8" s="102">
        <f t="shared" si="7"/>
        <v>0</v>
      </c>
      <c r="J8" s="102">
        <f t="shared" si="8"/>
        <v>0</v>
      </c>
      <c r="K8" s="102" t="str">
        <f t="shared" si="9"/>
        <v>1,6,</v>
      </c>
      <c r="L8" s="102" t="str">
        <f t="shared" si="10"/>
        <v/>
      </c>
      <c r="M8" s="102" t="str">
        <f t="shared" si="11"/>
        <v/>
      </c>
      <c r="N8" t="str">
        <f t="shared" si="3"/>
        <v>S</v>
      </c>
      <c r="O8">
        <f t="shared" si="0"/>
        <v>24</v>
      </c>
      <c r="P8">
        <f t="shared" si="1"/>
        <v>0</v>
      </c>
      <c r="Q8">
        <f t="shared" si="2"/>
        <v>0</v>
      </c>
      <c r="R8" s="91">
        <f t="shared" ref="R8:R15" si="14">IF(O8&gt;0,$N$20,"")</f>
        <v>1</v>
      </c>
      <c r="S8" s="91" t="str">
        <f t="shared" ref="S8:S15" si="15">IF(P8&gt;0,$N$20,"")</f>
        <v/>
      </c>
      <c r="T8" s="91" t="str">
        <f t="shared" ref="T8:T15" si="16">IF(Q8&gt;0,$N$20,"")</f>
        <v/>
      </c>
      <c r="X8" t="str">
        <f t="shared" ref="X8:X71" si="17">IF(R8="","",",")</f>
        <v>,</v>
      </c>
      <c r="Y8" t="str">
        <f t="shared" ref="Y8:Y71" si="18">IF(S8="","",",")</f>
        <v/>
      </c>
      <c r="Z8" t="str">
        <f t="shared" ref="Z8:Z71" si="19">IF(T8="","",",")</f>
        <v/>
      </c>
      <c r="AA8" t="str">
        <f t="shared" ref="AA8:AA71" si="20">IF(U8="","",",")</f>
        <v/>
      </c>
      <c r="AB8" t="str">
        <f t="shared" ref="AB8:AB71" si="21">IF(V8="","",",")</f>
        <v/>
      </c>
      <c r="AC8" t="str">
        <f t="shared" ref="AC8:AC71" si="22">IF(W8="","",",")</f>
        <v/>
      </c>
      <c r="AD8" t="str">
        <f t="shared" ref="AD8:AD71" si="23">IF(X8="","",",")</f>
        <v>,</v>
      </c>
    </row>
    <row r="9" spans="1:30" thickBot="1" x14ac:dyDescent="0.3">
      <c r="A9" t="s">
        <v>6</v>
      </c>
      <c r="B9">
        <v>24</v>
      </c>
      <c r="G9" s="96" t="s">
        <v>7</v>
      </c>
      <c r="H9" s="102">
        <f t="shared" si="6"/>
        <v>105</v>
      </c>
      <c r="I9" s="102">
        <f t="shared" si="7"/>
        <v>0</v>
      </c>
      <c r="J9" s="102">
        <f t="shared" si="8"/>
        <v>0</v>
      </c>
      <c r="K9" s="102" t="str">
        <f t="shared" si="9"/>
        <v>4,5,6,</v>
      </c>
      <c r="L9" s="102" t="str">
        <f t="shared" si="10"/>
        <v/>
      </c>
      <c r="M9" s="102" t="str">
        <f t="shared" si="11"/>
        <v/>
      </c>
      <c r="N9" t="str">
        <f t="shared" si="3"/>
        <v>M</v>
      </c>
      <c r="O9">
        <f t="shared" si="0"/>
        <v>24</v>
      </c>
      <c r="P9">
        <f t="shared" si="1"/>
        <v>0</v>
      </c>
      <c r="Q9">
        <f t="shared" si="2"/>
        <v>0</v>
      </c>
      <c r="R9" s="91">
        <f t="shared" si="14"/>
        <v>1</v>
      </c>
      <c r="S9" s="91" t="str">
        <f t="shared" si="15"/>
        <v/>
      </c>
      <c r="T9" s="91" t="str">
        <f t="shared" si="16"/>
        <v/>
      </c>
      <c r="X9" t="str">
        <f t="shared" si="17"/>
        <v>,</v>
      </c>
      <c r="Y9" t="str">
        <f t="shared" si="18"/>
        <v/>
      </c>
      <c r="Z9" t="str">
        <f t="shared" si="19"/>
        <v/>
      </c>
      <c r="AA9" t="str">
        <f t="shared" si="20"/>
        <v/>
      </c>
      <c r="AB9" t="str">
        <f t="shared" si="21"/>
        <v/>
      </c>
      <c r="AC9" t="str">
        <f t="shared" si="22"/>
        <v/>
      </c>
      <c r="AD9" t="str">
        <f t="shared" si="23"/>
        <v>,</v>
      </c>
    </row>
    <row r="10" spans="1:30" thickBot="1" x14ac:dyDescent="0.3">
      <c r="A10" t="s">
        <v>7</v>
      </c>
      <c r="G10" s="96" t="s">
        <v>8</v>
      </c>
      <c r="H10" s="102">
        <f t="shared" si="6"/>
        <v>75</v>
      </c>
      <c r="I10" s="102">
        <f t="shared" si="7"/>
        <v>0</v>
      </c>
      <c r="J10" s="102">
        <f t="shared" si="8"/>
        <v>0</v>
      </c>
      <c r="K10" s="102" t="str">
        <f t="shared" si="9"/>
        <v>2,3,</v>
      </c>
      <c r="L10" s="102" t="str">
        <f t="shared" si="10"/>
        <v/>
      </c>
      <c r="M10" s="102" t="str">
        <f t="shared" si="11"/>
        <v/>
      </c>
      <c r="N10" t="str">
        <f t="shared" si="3"/>
        <v>L</v>
      </c>
      <c r="O10">
        <f t="shared" si="0"/>
        <v>0</v>
      </c>
      <c r="P10">
        <f t="shared" si="1"/>
        <v>0</v>
      </c>
      <c r="Q10">
        <f t="shared" si="2"/>
        <v>0</v>
      </c>
      <c r="R10" s="91" t="str">
        <f t="shared" si="14"/>
        <v/>
      </c>
      <c r="S10" s="91" t="str">
        <f t="shared" si="15"/>
        <v/>
      </c>
      <c r="T10" s="91" t="str">
        <f t="shared" si="16"/>
        <v/>
      </c>
      <c r="X10" t="str">
        <f t="shared" si="17"/>
        <v/>
      </c>
      <c r="Y10" t="str">
        <f t="shared" si="18"/>
        <v/>
      </c>
      <c r="Z10" t="str">
        <f t="shared" si="19"/>
        <v/>
      </c>
      <c r="AA10" t="str">
        <f t="shared" si="20"/>
        <v/>
      </c>
      <c r="AB10" t="str">
        <f t="shared" si="21"/>
        <v/>
      </c>
      <c r="AC10" t="str">
        <f t="shared" si="22"/>
        <v/>
      </c>
      <c r="AD10" t="str">
        <f t="shared" si="23"/>
        <v/>
      </c>
    </row>
    <row r="11" spans="1:30" thickBot="1" x14ac:dyDescent="0.3">
      <c r="A11" t="s">
        <v>8</v>
      </c>
      <c r="G11" s="96" t="s">
        <v>9</v>
      </c>
      <c r="H11" s="102">
        <f t="shared" si="6"/>
        <v>24</v>
      </c>
      <c r="I11" s="102">
        <f t="shared" si="7"/>
        <v>0</v>
      </c>
      <c r="J11" s="102">
        <f t="shared" si="8"/>
        <v>0</v>
      </c>
      <c r="K11" s="102" t="str">
        <f t="shared" si="9"/>
        <v>3,</v>
      </c>
      <c r="L11" s="102" t="str">
        <f t="shared" si="10"/>
        <v/>
      </c>
      <c r="M11" s="102" t="str">
        <f t="shared" si="11"/>
        <v/>
      </c>
      <c r="N11" t="str">
        <f t="shared" si="3"/>
        <v>XL</v>
      </c>
      <c r="O11">
        <f t="shared" si="0"/>
        <v>0</v>
      </c>
      <c r="P11">
        <f t="shared" si="1"/>
        <v>0</v>
      </c>
      <c r="Q11">
        <f t="shared" si="2"/>
        <v>0</v>
      </c>
      <c r="R11" s="91" t="str">
        <f t="shared" si="14"/>
        <v/>
      </c>
      <c r="S11" s="91" t="str">
        <f t="shared" si="15"/>
        <v/>
      </c>
      <c r="T11" s="91" t="str">
        <f t="shared" si="16"/>
        <v/>
      </c>
      <c r="X11" t="str">
        <f t="shared" si="17"/>
        <v/>
      </c>
      <c r="Y11" t="str">
        <f t="shared" si="18"/>
        <v/>
      </c>
      <c r="Z11" t="str">
        <f t="shared" si="19"/>
        <v/>
      </c>
      <c r="AA11" t="str">
        <f t="shared" si="20"/>
        <v/>
      </c>
      <c r="AB11" t="str">
        <f t="shared" si="21"/>
        <v/>
      </c>
      <c r="AC11" t="str">
        <f t="shared" si="22"/>
        <v/>
      </c>
      <c r="AD11" t="str">
        <f t="shared" si="23"/>
        <v/>
      </c>
    </row>
    <row r="12" spans="1:30" thickBot="1" x14ac:dyDescent="0.3">
      <c r="A12" t="s">
        <v>9</v>
      </c>
      <c r="G12" s="96" t="s">
        <v>11</v>
      </c>
      <c r="H12" s="102">
        <f t="shared" si="6"/>
        <v>0</v>
      </c>
      <c r="I12" s="102">
        <f t="shared" si="7"/>
        <v>0</v>
      </c>
      <c r="J12" s="102">
        <f t="shared" si="8"/>
        <v>0</v>
      </c>
      <c r="K12" s="102" t="str">
        <f t="shared" si="9"/>
        <v/>
      </c>
      <c r="L12" s="102" t="str">
        <f t="shared" si="10"/>
        <v/>
      </c>
      <c r="M12" s="102" t="str">
        <f t="shared" si="11"/>
        <v/>
      </c>
      <c r="N12" t="str">
        <f t="shared" si="3"/>
        <v>2XL</v>
      </c>
      <c r="O12">
        <f t="shared" si="0"/>
        <v>0</v>
      </c>
      <c r="P12">
        <f t="shared" si="1"/>
        <v>0</v>
      </c>
      <c r="Q12">
        <f t="shared" si="2"/>
        <v>0</v>
      </c>
      <c r="R12" s="91" t="str">
        <f t="shared" si="14"/>
        <v/>
      </c>
      <c r="S12" s="91" t="str">
        <f t="shared" si="15"/>
        <v/>
      </c>
      <c r="T12" s="91" t="str">
        <f t="shared" si="16"/>
        <v/>
      </c>
      <c r="X12" t="str">
        <f t="shared" si="17"/>
        <v/>
      </c>
      <c r="Y12" t="str">
        <f t="shared" si="18"/>
        <v/>
      </c>
      <c r="Z12" t="str">
        <f t="shared" si="19"/>
        <v/>
      </c>
      <c r="AA12" t="str">
        <f t="shared" si="20"/>
        <v/>
      </c>
      <c r="AB12" t="str">
        <f t="shared" si="21"/>
        <v/>
      </c>
      <c r="AC12" t="str">
        <f t="shared" si="22"/>
        <v/>
      </c>
      <c r="AD12" t="str">
        <f t="shared" si="23"/>
        <v/>
      </c>
    </row>
    <row r="13" spans="1:30" thickBot="1" x14ac:dyDescent="0.3">
      <c r="A13" t="s">
        <v>11</v>
      </c>
      <c r="G13" s="96" t="s">
        <v>12</v>
      </c>
      <c r="H13" s="102">
        <f t="shared" si="6"/>
        <v>0</v>
      </c>
      <c r="I13" s="102">
        <f t="shared" si="7"/>
        <v>0</v>
      </c>
      <c r="J13" s="102">
        <f t="shared" si="8"/>
        <v>0</v>
      </c>
      <c r="K13" s="102" t="str">
        <f t="shared" si="9"/>
        <v/>
      </c>
      <c r="L13" s="102" t="str">
        <f t="shared" si="10"/>
        <v/>
      </c>
      <c r="M13" s="102" t="str">
        <f t="shared" si="11"/>
        <v/>
      </c>
      <c r="N13" t="str">
        <f t="shared" si="3"/>
        <v>3XL</v>
      </c>
      <c r="O13">
        <f t="shared" si="0"/>
        <v>0</v>
      </c>
      <c r="P13">
        <f t="shared" si="1"/>
        <v>0</v>
      </c>
      <c r="Q13">
        <f t="shared" si="2"/>
        <v>0</v>
      </c>
      <c r="R13" s="91" t="str">
        <f t="shared" si="14"/>
        <v/>
      </c>
      <c r="S13" s="91" t="str">
        <f t="shared" si="15"/>
        <v/>
      </c>
      <c r="T13" s="91" t="str">
        <f t="shared" si="16"/>
        <v/>
      </c>
      <c r="X13" t="str">
        <f t="shared" si="17"/>
        <v/>
      </c>
      <c r="Y13" t="str">
        <f t="shared" si="18"/>
        <v/>
      </c>
      <c r="Z13" t="str">
        <f t="shared" si="19"/>
        <v/>
      </c>
      <c r="AA13" t="str">
        <f t="shared" si="20"/>
        <v/>
      </c>
      <c r="AB13" t="str">
        <f t="shared" si="21"/>
        <v/>
      </c>
      <c r="AC13" t="str">
        <f t="shared" si="22"/>
        <v/>
      </c>
      <c r="AD13" t="str">
        <f t="shared" si="23"/>
        <v/>
      </c>
    </row>
    <row r="14" spans="1:30" thickBot="1" x14ac:dyDescent="0.3">
      <c r="A14" t="s">
        <v>12</v>
      </c>
      <c r="G14" s="120" t="s">
        <v>71</v>
      </c>
      <c r="H14" s="102">
        <f t="shared" si="6"/>
        <v>0</v>
      </c>
      <c r="I14" s="102">
        <f t="shared" si="7"/>
        <v>0</v>
      </c>
      <c r="J14" s="102">
        <f t="shared" si="8"/>
        <v>0</v>
      </c>
      <c r="K14" s="102" t="str">
        <f t="shared" si="9"/>
        <v/>
      </c>
      <c r="L14" s="102" t="str">
        <f t="shared" si="10"/>
        <v/>
      </c>
      <c r="M14" s="102" t="str">
        <f t="shared" si="11"/>
        <v/>
      </c>
      <c r="N14" t="str">
        <f t="shared" si="3"/>
        <v>4XL</v>
      </c>
      <c r="O14">
        <f t="shared" si="0"/>
        <v>0</v>
      </c>
      <c r="P14">
        <f t="shared" si="1"/>
        <v>0</v>
      </c>
      <c r="Q14">
        <f t="shared" si="2"/>
        <v>0</v>
      </c>
      <c r="R14" s="91" t="str">
        <f t="shared" si="14"/>
        <v/>
      </c>
      <c r="S14" s="91" t="str">
        <f t="shared" si="15"/>
        <v/>
      </c>
      <c r="T14" s="91" t="str">
        <f t="shared" si="16"/>
        <v/>
      </c>
      <c r="X14" t="str">
        <f t="shared" si="17"/>
        <v/>
      </c>
      <c r="Y14" t="str">
        <f t="shared" si="18"/>
        <v/>
      </c>
      <c r="Z14" t="str">
        <f t="shared" si="19"/>
        <v/>
      </c>
      <c r="AA14" t="str">
        <f t="shared" si="20"/>
        <v/>
      </c>
      <c r="AB14" t="str">
        <f t="shared" si="21"/>
        <v/>
      </c>
      <c r="AC14" t="str">
        <f t="shared" si="22"/>
        <v/>
      </c>
      <c r="AD14" t="str">
        <f t="shared" si="23"/>
        <v/>
      </c>
    </row>
    <row r="15" spans="1:30" thickBot="1" x14ac:dyDescent="0.3">
      <c r="A15" t="s">
        <v>70</v>
      </c>
      <c r="G15" s="96" t="s">
        <v>59</v>
      </c>
      <c r="H15" s="103">
        <f>SUM(H6:H13)</f>
        <v>300</v>
      </c>
      <c r="I15" s="103">
        <f t="shared" ref="I15:J15" si="24">SUM(I6:I13)</f>
        <v>0</v>
      </c>
      <c r="J15" s="103">
        <f t="shared" si="24"/>
        <v>0</v>
      </c>
      <c r="K15" s="102" t="str">
        <f t="shared" si="9"/>
        <v/>
      </c>
      <c r="L15" s="102" t="str">
        <f t="shared" si="10"/>
        <v/>
      </c>
      <c r="M15" s="102" t="str">
        <f t="shared" si="11"/>
        <v/>
      </c>
      <c r="N15" t="str">
        <f t="shared" si="3"/>
        <v>Promo.</v>
      </c>
      <c r="O15">
        <f t="shared" si="0"/>
        <v>0</v>
      </c>
      <c r="P15">
        <f t="shared" si="1"/>
        <v>0</v>
      </c>
      <c r="Q15">
        <f t="shared" si="2"/>
        <v>0</v>
      </c>
      <c r="R15" s="91" t="str">
        <f t="shared" si="14"/>
        <v/>
      </c>
      <c r="S15" s="91" t="str">
        <f t="shared" si="15"/>
        <v/>
      </c>
      <c r="T15" s="91" t="str">
        <f t="shared" si="16"/>
        <v/>
      </c>
      <c r="X15" t="str">
        <f t="shared" si="17"/>
        <v/>
      </c>
      <c r="Y15" t="str">
        <f t="shared" si="18"/>
        <v/>
      </c>
      <c r="Z15" t="str">
        <f t="shared" si="19"/>
        <v/>
      </c>
      <c r="AA15" t="str">
        <f t="shared" si="20"/>
        <v/>
      </c>
      <c r="AB15" t="str">
        <f t="shared" si="21"/>
        <v/>
      </c>
      <c r="AC15" t="str">
        <f t="shared" si="22"/>
        <v/>
      </c>
      <c r="AD15" t="str">
        <f t="shared" si="23"/>
        <v/>
      </c>
    </row>
    <row r="16" spans="1:30" thickBot="1" x14ac:dyDescent="0.3">
      <c r="A16" t="s">
        <v>18</v>
      </c>
      <c r="G16" t="str">
        <f>BDA!C23</f>
        <v xml:space="preserve">  -  CB  -  </v>
      </c>
      <c r="N16" t="str">
        <f t="shared" si="3"/>
        <v>DESCRIPTION</v>
      </c>
      <c r="O16">
        <f t="shared" si="0"/>
        <v>0</v>
      </c>
      <c r="P16">
        <f t="shared" si="1"/>
        <v>0</v>
      </c>
      <c r="Q16">
        <f t="shared" si="2"/>
        <v>0</v>
      </c>
      <c r="X16" t="str">
        <f t="shared" si="17"/>
        <v/>
      </c>
      <c r="Y16" t="str">
        <f t="shared" si="18"/>
        <v/>
      </c>
      <c r="Z16" t="str">
        <f t="shared" si="19"/>
        <v/>
      </c>
      <c r="AA16" t="str">
        <f t="shared" si="20"/>
        <v/>
      </c>
      <c r="AB16" t="str">
        <f t="shared" si="21"/>
        <v/>
      </c>
      <c r="AC16" t="str">
        <f t="shared" si="22"/>
        <v/>
      </c>
      <c r="AD16" t="str">
        <f t="shared" si="23"/>
        <v/>
      </c>
    </row>
    <row r="17" spans="1:30" thickBot="1" x14ac:dyDescent="0.3">
      <c r="H17" t="str">
        <f>IF(B7=B27=B47=B67=B87=B107=B127=B147=B167=B187=B207=B227=B247=B267=B287=B307=B327=B347=B367=B387,"Yes","No")</f>
        <v>Yes</v>
      </c>
      <c r="I17" t="str">
        <f t="shared" ref="I17:J17" si="25">IF(C7=C27=C47=C67=C87=C107=C127=C147=C167=C187=C207=C227=C247=C267=C287=C307=C327=C347=C367=C387,"Yes","No")</f>
        <v>Yes</v>
      </c>
      <c r="J17" t="str">
        <f t="shared" si="25"/>
        <v>Yes</v>
      </c>
      <c r="N17">
        <f t="shared" si="3"/>
        <v>0</v>
      </c>
      <c r="O17">
        <f t="shared" si="0"/>
        <v>0</v>
      </c>
      <c r="P17">
        <f t="shared" si="1"/>
        <v>0</v>
      </c>
      <c r="Q17">
        <f t="shared" si="2"/>
        <v>0</v>
      </c>
      <c r="X17" t="str">
        <f t="shared" si="17"/>
        <v/>
      </c>
      <c r="Y17" t="str">
        <f t="shared" si="18"/>
        <v/>
      </c>
      <c r="Z17" t="str">
        <f t="shared" si="19"/>
        <v/>
      </c>
      <c r="AA17" t="str">
        <f t="shared" si="20"/>
        <v/>
      </c>
      <c r="AB17" t="str">
        <f t="shared" si="21"/>
        <v/>
      </c>
      <c r="AC17" t="str">
        <f t="shared" si="22"/>
        <v/>
      </c>
      <c r="AD17" t="str">
        <f t="shared" si="23"/>
        <v/>
      </c>
    </row>
    <row r="18" spans="1:30" thickBot="1" x14ac:dyDescent="0.3">
      <c r="G18">
        <f>BDA!K39</f>
        <v>0</v>
      </c>
      <c r="N18">
        <f t="shared" si="3"/>
        <v>0</v>
      </c>
      <c r="O18">
        <f t="shared" si="0"/>
        <v>0</v>
      </c>
      <c r="P18">
        <f t="shared" si="1"/>
        <v>0</v>
      </c>
      <c r="Q18">
        <f t="shared" si="2"/>
        <v>0</v>
      </c>
      <c r="X18" t="str">
        <f t="shared" si="17"/>
        <v/>
      </c>
      <c r="Y18" t="str">
        <f t="shared" si="18"/>
        <v/>
      </c>
      <c r="Z18" t="str">
        <f t="shared" si="19"/>
        <v/>
      </c>
      <c r="AA18" t="str">
        <f t="shared" si="20"/>
        <v/>
      </c>
      <c r="AB18" t="str">
        <f t="shared" si="21"/>
        <v/>
      </c>
      <c r="AC18" t="str">
        <f t="shared" si="22"/>
        <v/>
      </c>
      <c r="AD18" t="str">
        <f t="shared" si="23"/>
        <v/>
      </c>
    </row>
    <row r="19" spans="1:30" thickBot="1" x14ac:dyDescent="0.3">
      <c r="A19" t="s">
        <v>17</v>
      </c>
      <c r="C19">
        <v>48</v>
      </c>
      <c r="N19" t="str">
        <f t="shared" si="3"/>
        <v>TOTAL OF:</v>
      </c>
      <c r="O19">
        <f t="shared" si="0"/>
        <v>0</v>
      </c>
      <c r="P19">
        <f t="shared" si="1"/>
        <v>48</v>
      </c>
      <c r="Q19">
        <f t="shared" si="2"/>
        <v>0</v>
      </c>
      <c r="X19" t="str">
        <f t="shared" si="17"/>
        <v/>
      </c>
      <c r="Y19" t="str">
        <f t="shared" si="18"/>
        <v/>
      </c>
      <c r="Z19" t="str">
        <f t="shared" si="19"/>
        <v/>
      </c>
      <c r="AA19" t="str">
        <f t="shared" si="20"/>
        <v/>
      </c>
      <c r="AB19" t="str">
        <f t="shared" si="21"/>
        <v/>
      </c>
      <c r="AC19" t="str">
        <f t="shared" si="22"/>
        <v/>
      </c>
      <c r="AD19" t="str">
        <f t="shared" si="23"/>
        <v/>
      </c>
    </row>
    <row r="20" spans="1:30" thickBot="1" x14ac:dyDescent="0.3">
      <c r="A20">
        <v>1</v>
      </c>
      <c r="B20" t="s">
        <v>10</v>
      </c>
      <c r="N20">
        <f t="shared" si="3"/>
        <v>1</v>
      </c>
      <c r="O20" t="str">
        <f t="shared" si="0"/>
        <v xml:space="preserve">of </v>
      </c>
      <c r="P20">
        <f t="shared" si="1"/>
        <v>0</v>
      </c>
      <c r="Q20">
        <f t="shared" si="2"/>
        <v>0</v>
      </c>
      <c r="X20" t="str">
        <f t="shared" si="17"/>
        <v/>
      </c>
      <c r="Y20" t="str">
        <f t="shared" si="18"/>
        <v/>
      </c>
      <c r="Z20" t="str">
        <f t="shared" si="19"/>
        <v/>
      </c>
      <c r="AA20" t="str">
        <f t="shared" si="20"/>
        <v/>
      </c>
      <c r="AB20" t="str">
        <f t="shared" si="21"/>
        <v/>
      </c>
      <c r="AC20" t="str">
        <f t="shared" si="22"/>
        <v/>
      </c>
      <c r="AD20" t="str">
        <f t="shared" si="23"/>
        <v/>
      </c>
    </row>
    <row r="21" spans="1:30" thickBot="1" x14ac:dyDescent="0.3">
      <c r="A21" t="s">
        <v>44</v>
      </c>
      <c r="B21" s="308">
        <v>44590</v>
      </c>
      <c r="C21" t="s">
        <v>319</v>
      </c>
      <c r="D21" s="309">
        <v>44590</v>
      </c>
      <c r="N21" t="str">
        <f t="shared" si="3"/>
        <v>ID #</v>
      </c>
      <c r="O21">
        <f t="shared" si="0"/>
        <v>44590</v>
      </c>
      <c r="P21" t="str">
        <f t="shared" si="1"/>
        <v xml:space="preserve">  -  CB  -  </v>
      </c>
      <c r="Q21">
        <f t="shared" si="2"/>
        <v>44590</v>
      </c>
      <c r="X21" t="str">
        <f t="shared" si="17"/>
        <v/>
      </c>
      <c r="Y21" t="str">
        <f t="shared" si="18"/>
        <v/>
      </c>
      <c r="Z21" t="str">
        <f t="shared" si="19"/>
        <v/>
      </c>
      <c r="AA21" t="str">
        <f t="shared" si="20"/>
        <v/>
      </c>
      <c r="AB21" t="str">
        <f t="shared" si="21"/>
        <v/>
      </c>
      <c r="AC21" t="str">
        <f t="shared" si="22"/>
        <v/>
      </c>
      <c r="AD21" t="str">
        <f t="shared" si="23"/>
        <v/>
      </c>
    </row>
    <row r="22" spans="1:30" thickBot="1" x14ac:dyDescent="0.3">
      <c r="A22" t="s">
        <v>15</v>
      </c>
      <c r="C22" t="s">
        <v>315</v>
      </c>
      <c r="N22" t="str">
        <f t="shared" si="3"/>
        <v>Client:</v>
      </c>
      <c r="O22">
        <f t="shared" si="0"/>
        <v>0</v>
      </c>
      <c r="P22" t="str">
        <f t="shared" si="1"/>
        <v>BDA 2022/296/3/795</v>
      </c>
      <c r="Q22">
        <f t="shared" si="2"/>
        <v>0</v>
      </c>
      <c r="X22" t="str">
        <f t="shared" si="17"/>
        <v/>
      </c>
      <c r="Y22" t="str">
        <f t="shared" si="18"/>
        <v/>
      </c>
      <c r="Z22" t="str">
        <f t="shared" si="19"/>
        <v/>
      </c>
      <c r="AA22" t="str">
        <f t="shared" si="20"/>
        <v/>
      </c>
      <c r="AB22" t="str">
        <f t="shared" si="21"/>
        <v/>
      </c>
      <c r="AC22" t="str">
        <f t="shared" si="22"/>
        <v/>
      </c>
      <c r="AD22" t="str">
        <f t="shared" si="23"/>
        <v/>
      </c>
    </row>
    <row r="23" spans="1:30" thickBot="1" x14ac:dyDescent="0.3">
      <c r="A23" t="s">
        <v>311</v>
      </c>
      <c r="D23" s="140"/>
      <c r="N23" t="str">
        <f t="shared" si="3"/>
        <v>INV #</v>
      </c>
      <c r="O23">
        <f t="shared" si="0"/>
        <v>0</v>
      </c>
      <c r="P23">
        <f t="shared" si="1"/>
        <v>0</v>
      </c>
      <c r="Q23">
        <f t="shared" si="2"/>
        <v>0</v>
      </c>
      <c r="X23" t="str">
        <f t="shared" si="17"/>
        <v/>
      </c>
      <c r="Y23" t="str">
        <f t="shared" si="18"/>
        <v/>
      </c>
      <c r="Z23" t="str">
        <f t="shared" si="19"/>
        <v/>
      </c>
      <c r="AA23" t="str">
        <f t="shared" si="20"/>
        <v/>
      </c>
      <c r="AB23" t="str">
        <f t="shared" si="21"/>
        <v/>
      </c>
      <c r="AC23" t="str">
        <f t="shared" si="22"/>
        <v/>
      </c>
      <c r="AD23" t="str">
        <f t="shared" si="23"/>
        <v/>
      </c>
    </row>
    <row r="24" spans="1:30" thickBot="1" x14ac:dyDescent="0.3">
      <c r="A24" t="s">
        <v>318</v>
      </c>
      <c r="N24" t="str">
        <f t="shared" si="3"/>
        <v>-1</v>
      </c>
      <c r="O24">
        <f t="shared" si="0"/>
        <v>0</v>
      </c>
      <c r="P24">
        <f t="shared" si="1"/>
        <v>0</v>
      </c>
      <c r="Q24">
        <f t="shared" si="2"/>
        <v>0</v>
      </c>
      <c r="X24" t="str">
        <f t="shared" si="17"/>
        <v/>
      </c>
      <c r="Y24" t="str">
        <f t="shared" si="18"/>
        <v/>
      </c>
      <c r="Z24" t="str">
        <f t="shared" si="19"/>
        <v/>
      </c>
      <c r="AA24" t="str">
        <f t="shared" si="20"/>
        <v/>
      </c>
      <c r="AB24" t="str">
        <f t="shared" si="21"/>
        <v/>
      </c>
      <c r="AC24" t="str">
        <f t="shared" si="22"/>
        <v/>
      </c>
      <c r="AD24" t="str">
        <f t="shared" si="23"/>
        <v/>
      </c>
    </row>
    <row r="25" spans="1:30" thickBot="1" x14ac:dyDescent="0.3">
      <c r="N25">
        <f t="shared" si="3"/>
        <v>0</v>
      </c>
      <c r="O25">
        <f t="shared" si="0"/>
        <v>0</v>
      </c>
      <c r="P25">
        <f t="shared" si="1"/>
        <v>0</v>
      </c>
      <c r="Q25">
        <f t="shared" si="2"/>
        <v>0</v>
      </c>
      <c r="X25" t="str">
        <f t="shared" si="17"/>
        <v/>
      </c>
      <c r="Y25" t="str">
        <f t="shared" si="18"/>
        <v/>
      </c>
      <c r="Z25" t="str">
        <f t="shared" si="19"/>
        <v/>
      </c>
      <c r="AA25" t="str">
        <f t="shared" si="20"/>
        <v/>
      </c>
      <c r="AB25" t="str">
        <f t="shared" si="21"/>
        <v/>
      </c>
      <c r="AC25" t="str">
        <f t="shared" si="22"/>
        <v/>
      </c>
      <c r="AD25" t="str">
        <f t="shared" si="23"/>
        <v/>
      </c>
    </row>
    <row r="26" spans="1:30" thickBot="1" x14ac:dyDescent="0.3">
      <c r="A26" t="s">
        <v>13</v>
      </c>
      <c r="B26" t="s">
        <v>317</v>
      </c>
      <c r="N26" t="str">
        <f t="shared" si="3"/>
        <v>SIZE</v>
      </c>
      <c r="O26" t="str">
        <f t="shared" si="0"/>
        <v>TSHIRTS L/S</v>
      </c>
      <c r="P26">
        <f t="shared" si="1"/>
        <v>0</v>
      </c>
      <c r="Q26">
        <f t="shared" si="2"/>
        <v>0</v>
      </c>
      <c r="X26" t="str">
        <f t="shared" si="17"/>
        <v/>
      </c>
      <c r="Y26" t="str">
        <f t="shared" si="18"/>
        <v/>
      </c>
      <c r="Z26" t="str">
        <f t="shared" si="19"/>
        <v/>
      </c>
      <c r="AA26" t="str">
        <f t="shared" si="20"/>
        <v/>
      </c>
      <c r="AB26" t="str">
        <f t="shared" si="21"/>
        <v/>
      </c>
      <c r="AC26" t="str">
        <f t="shared" si="22"/>
        <v/>
      </c>
      <c r="AD26" t="str">
        <f t="shared" si="23"/>
        <v/>
      </c>
    </row>
    <row r="27" spans="1:30" thickBot="1" x14ac:dyDescent="0.3">
      <c r="A27" t="s">
        <v>4</v>
      </c>
      <c r="N27" t="str">
        <f t="shared" si="3"/>
        <v>XS</v>
      </c>
      <c r="O27">
        <f t="shared" si="0"/>
        <v>0</v>
      </c>
      <c r="P27">
        <f t="shared" si="1"/>
        <v>0</v>
      </c>
      <c r="Q27">
        <f t="shared" si="2"/>
        <v>0</v>
      </c>
      <c r="R27" s="91" t="str">
        <f>IF(O27&gt;0,$N$40,"")</f>
        <v/>
      </c>
      <c r="S27" s="91" t="str">
        <f t="shared" ref="S27:T27" si="26">IF(P27&gt;0,$N$40,"")</f>
        <v/>
      </c>
      <c r="T27" s="91" t="str">
        <f t="shared" si="26"/>
        <v/>
      </c>
      <c r="V27">
        <v>2</v>
      </c>
      <c r="X27" t="str">
        <f t="shared" si="17"/>
        <v/>
      </c>
      <c r="Y27" t="str">
        <f t="shared" si="18"/>
        <v/>
      </c>
      <c r="Z27" t="str">
        <f t="shared" si="19"/>
        <v/>
      </c>
      <c r="AA27" t="str">
        <f t="shared" si="20"/>
        <v/>
      </c>
      <c r="AB27" t="str">
        <f t="shared" si="21"/>
        <v>,</v>
      </c>
      <c r="AC27" t="str">
        <f t="shared" si="22"/>
        <v/>
      </c>
      <c r="AD27" t="str">
        <f t="shared" si="23"/>
        <v/>
      </c>
    </row>
    <row r="28" spans="1:30" thickBot="1" x14ac:dyDescent="0.3">
      <c r="A28" t="s">
        <v>5</v>
      </c>
      <c r="N28" t="str">
        <f t="shared" si="3"/>
        <v>S</v>
      </c>
      <c r="O28">
        <f t="shared" si="0"/>
        <v>0</v>
      </c>
      <c r="P28">
        <f t="shared" si="1"/>
        <v>0</v>
      </c>
      <c r="Q28">
        <f t="shared" si="2"/>
        <v>0</v>
      </c>
      <c r="R28" s="91" t="str">
        <f t="shared" ref="R28:R35" si="27">IF(O28&gt;0,$N$40,"")</f>
        <v/>
      </c>
      <c r="S28" s="91" t="str">
        <f t="shared" ref="S28:S35" si="28">IF(P28&gt;0,$N$40,"")</f>
        <v/>
      </c>
      <c r="T28" s="91" t="str">
        <f t="shared" ref="T28:T35" si="29">IF(Q28&gt;0,$N$40,"")</f>
        <v/>
      </c>
      <c r="X28" t="str">
        <f t="shared" si="17"/>
        <v/>
      </c>
      <c r="Y28" t="str">
        <f t="shared" si="18"/>
        <v/>
      </c>
      <c r="Z28" t="str">
        <f t="shared" si="19"/>
        <v/>
      </c>
      <c r="AA28" t="str">
        <f t="shared" si="20"/>
        <v/>
      </c>
      <c r="AB28" t="str">
        <f t="shared" si="21"/>
        <v/>
      </c>
      <c r="AC28" t="str">
        <f t="shared" si="22"/>
        <v/>
      </c>
      <c r="AD28" t="str">
        <f t="shared" si="23"/>
        <v/>
      </c>
    </row>
    <row r="29" spans="1:30" thickBot="1" x14ac:dyDescent="0.3">
      <c r="A29" t="s">
        <v>6</v>
      </c>
      <c r="N29" t="str">
        <f t="shared" si="3"/>
        <v>M</v>
      </c>
      <c r="O29">
        <f t="shared" si="0"/>
        <v>0</v>
      </c>
      <c r="P29">
        <f t="shared" si="1"/>
        <v>0</v>
      </c>
      <c r="Q29">
        <f t="shared" si="2"/>
        <v>0</v>
      </c>
      <c r="R29" s="91" t="str">
        <f t="shared" si="27"/>
        <v/>
      </c>
      <c r="S29" s="91" t="str">
        <f t="shared" si="28"/>
        <v/>
      </c>
      <c r="T29" s="91" t="str">
        <f t="shared" si="29"/>
        <v/>
      </c>
      <c r="X29" t="str">
        <f t="shared" si="17"/>
        <v/>
      </c>
      <c r="Y29" t="str">
        <f t="shared" si="18"/>
        <v/>
      </c>
      <c r="Z29" t="str">
        <f t="shared" si="19"/>
        <v/>
      </c>
      <c r="AA29" t="str">
        <f t="shared" si="20"/>
        <v/>
      </c>
      <c r="AB29" t="str">
        <f t="shared" si="21"/>
        <v/>
      </c>
      <c r="AC29" t="str">
        <f t="shared" si="22"/>
        <v/>
      </c>
      <c r="AD29" t="str">
        <f t="shared" si="23"/>
        <v/>
      </c>
    </row>
    <row r="30" spans="1:30" thickBot="1" x14ac:dyDescent="0.3">
      <c r="A30" t="s">
        <v>7</v>
      </c>
      <c r="N30" t="str">
        <f t="shared" si="3"/>
        <v>L</v>
      </c>
      <c r="O30">
        <f t="shared" si="0"/>
        <v>0</v>
      </c>
      <c r="P30">
        <f t="shared" si="1"/>
        <v>0</v>
      </c>
      <c r="Q30">
        <f t="shared" si="2"/>
        <v>0</v>
      </c>
      <c r="R30" s="91" t="str">
        <f t="shared" si="27"/>
        <v/>
      </c>
      <c r="S30" s="91" t="str">
        <f t="shared" si="28"/>
        <v/>
      </c>
      <c r="T30" s="91" t="str">
        <f t="shared" si="29"/>
        <v/>
      </c>
      <c r="X30" t="str">
        <f t="shared" si="17"/>
        <v/>
      </c>
      <c r="Y30" t="str">
        <f t="shared" si="18"/>
        <v/>
      </c>
      <c r="Z30" t="str">
        <f t="shared" si="19"/>
        <v/>
      </c>
      <c r="AA30" t="str">
        <f t="shared" si="20"/>
        <v/>
      </c>
      <c r="AB30" t="str">
        <f t="shared" si="21"/>
        <v/>
      </c>
      <c r="AC30" t="str">
        <f t="shared" si="22"/>
        <v/>
      </c>
      <c r="AD30" t="str">
        <f t="shared" si="23"/>
        <v/>
      </c>
    </row>
    <row r="31" spans="1:30" thickBot="1" x14ac:dyDescent="0.3">
      <c r="A31" t="s">
        <v>8</v>
      </c>
      <c r="B31">
        <v>40</v>
      </c>
      <c r="N31" t="str">
        <f t="shared" si="3"/>
        <v>XL</v>
      </c>
      <c r="O31">
        <f t="shared" si="0"/>
        <v>40</v>
      </c>
      <c r="P31">
        <f t="shared" si="1"/>
        <v>0</v>
      </c>
      <c r="Q31">
        <f t="shared" si="2"/>
        <v>0</v>
      </c>
      <c r="R31" s="91">
        <f t="shared" si="27"/>
        <v>2</v>
      </c>
      <c r="S31" s="91" t="str">
        <f t="shared" si="28"/>
        <v/>
      </c>
      <c r="T31" s="91" t="str">
        <f t="shared" si="29"/>
        <v/>
      </c>
      <c r="X31" t="str">
        <f t="shared" si="17"/>
        <v>,</v>
      </c>
      <c r="Y31" t="str">
        <f t="shared" si="18"/>
        <v/>
      </c>
      <c r="Z31" t="str">
        <f t="shared" si="19"/>
        <v/>
      </c>
      <c r="AA31" t="str">
        <f t="shared" si="20"/>
        <v/>
      </c>
      <c r="AB31" t="str">
        <f t="shared" si="21"/>
        <v/>
      </c>
      <c r="AC31" t="str">
        <f t="shared" si="22"/>
        <v/>
      </c>
      <c r="AD31" t="str">
        <f t="shared" si="23"/>
        <v>,</v>
      </c>
    </row>
    <row r="32" spans="1:30" thickBot="1" x14ac:dyDescent="0.3">
      <c r="A32" t="s">
        <v>9</v>
      </c>
      <c r="N32" t="str">
        <f t="shared" si="3"/>
        <v>2XL</v>
      </c>
      <c r="O32">
        <f t="shared" si="0"/>
        <v>0</v>
      </c>
      <c r="P32">
        <f t="shared" si="1"/>
        <v>0</v>
      </c>
      <c r="Q32">
        <f t="shared" si="2"/>
        <v>0</v>
      </c>
      <c r="R32" s="91" t="str">
        <f t="shared" si="27"/>
        <v/>
      </c>
      <c r="S32" s="91" t="str">
        <f t="shared" si="28"/>
        <v/>
      </c>
      <c r="T32" s="91" t="str">
        <f t="shared" si="29"/>
        <v/>
      </c>
      <c r="X32" t="str">
        <f t="shared" si="17"/>
        <v/>
      </c>
      <c r="Y32" t="str">
        <f t="shared" si="18"/>
        <v/>
      </c>
      <c r="Z32" t="str">
        <f t="shared" si="19"/>
        <v/>
      </c>
      <c r="AA32" t="str">
        <f t="shared" si="20"/>
        <v/>
      </c>
      <c r="AB32" t="str">
        <f t="shared" si="21"/>
        <v/>
      </c>
      <c r="AC32" t="str">
        <f t="shared" si="22"/>
        <v/>
      </c>
      <c r="AD32" t="str">
        <f t="shared" si="23"/>
        <v/>
      </c>
    </row>
    <row r="33" spans="1:30" thickBot="1" x14ac:dyDescent="0.3">
      <c r="A33" t="s">
        <v>11</v>
      </c>
      <c r="N33" t="str">
        <f t="shared" si="3"/>
        <v>3XL</v>
      </c>
      <c r="O33">
        <f t="shared" si="0"/>
        <v>0</v>
      </c>
      <c r="P33">
        <f t="shared" si="1"/>
        <v>0</v>
      </c>
      <c r="Q33">
        <f t="shared" si="2"/>
        <v>0</v>
      </c>
      <c r="R33" s="91" t="str">
        <f t="shared" si="27"/>
        <v/>
      </c>
      <c r="S33" s="91" t="str">
        <f t="shared" si="28"/>
        <v/>
      </c>
      <c r="T33" s="91" t="str">
        <f t="shared" si="29"/>
        <v/>
      </c>
      <c r="X33" t="str">
        <f t="shared" si="17"/>
        <v/>
      </c>
      <c r="Y33" t="str">
        <f t="shared" si="18"/>
        <v/>
      </c>
      <c r="Z33" t="str">
        <f t="shared" si="19"/>
        <v/>
      </c>
      <c r="AA33" t="str">
        <f t="shared" si="20"/>
        <v/>
      </c>
      <c r="AB33" t="str">
        <f t="shared" si="21"/>
        <v/>
      </c>
      <c r="AC33" t="str">
        <f t="shared" si="22"/>
        <v/>
      </c>
      <c r="AD33" t="str">
        <f t="shared" si="23"/>
        <v/>
      </c>
    </row>
    <row r="34" spans="1:30" thickBot="1" x14ac:dyDescent="0.3">
      <c r="A34" t="s">
        <v>12</v>
      </c>
      <c r="N34" t="str">
        <f t="shared" si="3"/>
        <v>4XL</v>
      </c>
      <c r="O34">
        <f t="shared" si="0"/>
        <v>0</v>
      </c>
      <c r="P34">
        <f t="shared" si="1"/>
        <v>0</v>
      </c>
      <c r="Q34">
        <f t="shared" si="2"/>
        <v>0</v>
      </c>
      <c r="R34" s="91" t="str">
        <f t="shared" si="27"/>
        <v/>
      </c>
      <c r="S34" s="91" t="str">
        <f t="shared" si="28"/>
        <v/>
      </c>
      <c r="T34" s="91" t="str">
        <f t="shared" si="29"/>
        <v/>
      </c>
      <c r="X34" t="str">
        <f t="shared" si="17"/>
        <v/>
      </c>
      <c r="Y34" t="str">
        <f t="shared" si="18"/>
        <v/>
      </c>
      <c r="Z34" t="str">
        <f t="shared" si="19"/>
        <v/>
      </c>
      <c r="AA34" t="str">
        <f t="shared" si="20"/>
        <v/>
      </c>
      <c r="AB34" t="str">
        <f t="shared" si="21"/>
        <v/>
      </c>
      <c r="AC34" t="str">
        <f t="shared" si="22"/>
        <v/>
      </c>
      <c r="AD34" t="str">
        <f t="shared" si="23"/>
        <v/>
      </c>
    </row>
    <row r="35" spans="1:30" thickBot="1" x14ac:dyDescent="0.3">
      <c r="A35" t="s">
        <v>70</v>
      </c>
      <c r="N35" t="str">
        <f t="shared" si="3"/>
        <v>Promo.</v>
      </c>
      <c r="O35">
        <f t="shared" si="0"/>
        <v>0</v>
      </c>
      <c r="P35">
        <f t="shared" si="1"/>
        <v>0</v>
      </c>
      <c r="Q35">
        <f t="shared" si="2"/>
        <v>0</v>
      </c>
      <c r="R35" s="91" t="str">
        <f t="shared" si="27"/>
        <v/>
      </c>
      <c r="S35" s="91" t="str">
        <f t="shared" si="28"/>
        <v/>
      </c>
      <c r="T35" s="91" t="str">
        <f t="shared" si="29"/>
        <v/>
      </c>
      <c r="X35" t="str">
        <f t="shared" si="17"/>
        <v/>
      </c>
      <c r="Y35" t="str">
        <f t="shared" si="18"/>
        <v/>
      </c>
      <c r="Z35" t="str">
        <f t="shared" si="19"/>
        <v/>
      </c>
      <c r="AA35" t="str">
        <f t="shared" si="20"/>
        <v/>
      </c>
      <c r="AB35" t="str">
        <f t="shared" si="21"/>
        <v/>
      </c>
      <c r="AC35" t="str">
        <f t="shared" si="22"/>
        <v/>
      </c>
      <c r="AD35" t="str">
        <f t="shared" si="23"/>
        <v/>
      </c>
    </row>
    <row r="36" spans="1:30" thickBot="1" x14ac:dyDescent="0.3">
      <c r="A36" t="s">
        <v>18</v>
      </c>
      <c r="N36" t="str">
        <f t="shared" si="3"/>
        <v>DESCRIPTION</v>
      </c>
      <c r="O36">
        <f t="shared" si="0"/>
        <v>0</v>
      </c>
      <c r="P36">
        <f t="shared" si="1"/>
        <v>0</v>
      </c>
      <c r="Q36">
        <f t="shared" si="2"/>
        <v>0</v>
      </c>
      <c r="X36" t="str">
        <f t="shared" si="17"/>
        <v/>
      </c>
      <c r="Y36" t="str">
        <f t="shared" si="18"/>
        <v/>
      </c>
      <c r="Z36" t="str">
        <f t="shared" si="19"/>
        <v/>
      </c>
      <c r="AA36" t="str">
        <f t="shared" si="20"/>
        <v/>
      </c>
      <c r="AB36" t="str">
        <f t="shared" si="21"/>
        <v/>
      </c>
      <c r="AC36" t="str">
        <f t="shared" si="22"/>
        <v/>
      </c>
      <c r="AD36" t="str">
        <f t="shared" si="23"/>
        <v/>
      </c>
    </row>
    <row r="37" spans="1:30" thickBot="1" x14ac:dyDescent="0.3">
      <c r="N37">
        <f t="shared" si="3"/>
        <v>0</v>
      </c>
      <c r="O37">
        <f t="shared" si="0"/>
        <v>0</v>
      </c>
      <c r="P37">
        <f t="shared" si="1"/>
        <v>0</v>
      </c>
      <c r="Q37">
        <f t="shared" si="2"/>
        <v>0</v>
      </c>
      <c r="X37" t="str">
        <f t="shared" si="17"/>
        <v/>
      </c>
      <c r="Y37" t="str">
        <f t="shared" si="18"/>
        <v/>
      </c>
      <c r="Z37" t="str">
        <f t="shared" si="19"/>
        <v/>
      </c>
      <c r="AA37" t="str">
        <f t="shared" si="20"/>
        <v/>
      </c>
      <c r="AB37" t="str">
        <f t="shared" si="21"/>
        <v/>
      </c>
      <c r="AC37" t="str">
        <f t="shared" si="22"/>
        <v/>
      </c>
      <c r="AD37" t="str">
        <f t="shared" si="23"/>
        <v/>
      </c>
    </row>
    <row r="38" spans="1:30" thickBot="1" x14ac:dyDescent="0.3">
      <c r="N38">
        <f t="shared" si="3"/>
        <v>0</v>
      </c>
      <c r="O38">
        <f t="shared" si="0"/>
        <v>0</v>
      </c>
      <c r="P38">
        <f t="shared" si="1"/>
        <v>0</v>
      </c>
      <c r="Q38">
        <f t="shared" si="2"/>
        <v>0</v>
      </c>
      <c r="X38" t="str">
        <f t="shared" si="17"/>
        <v/>
      </c>
      <c r="Y38" t="str">
        <f t="shared" si="18"/>
        <v/>
      </c>
      <c r="Z38" t="str">
        <f t="shared" si="19"/>
        <v/>
      </c>
      <c r="AA38" t="str">
        <f t="shared" si="20"/>
        <v/>
      </c>
      <c r="AB38" t="str">
        <f t="shared" si="21"/>
        <v/>
      </c>
      <c r="AC38" t="str">
        <f t="shared" si="22"/>
        <v/>
      </c>
      <c r="AD38" t="str">
        <f t="shared" si="23"/>
        <v/>
      </c>
    </row>
    <row r="39" spans="1:30" thickBot="1" x14ac:dyDescent="0.3">
      <c r="A39" t="s">
        <v>17</v>
      </c>
      <c r="C39">
        <v>40</v>
      </c>
      <c r="N39" t="str">
        <f t="shared" si="3"/>
        <v>TOTAL OF:</v>
      </c>
      <c r="O39">
        <f t="shared" si="0"/>
        <v>0</v>
      </c>
      <c r="P39">
        <f t="shared" si="1"/>
        <v>40</v>
      </c>
      <c r="Q39">
        <f t="shared" si="2"/>
        <v>0</v>
      </c>
      <c r="X39" t="str">
        <f t="shared" si="17"/>
        <v/>
      </c>
      <c r="Y39" t="str">
        <f t="shared" si="18"/>
        <v/>
      </c>
      <c r="Z39" t="str">
        <f t="shared" si="19"/>
        <v/>
      </c>
      <c r="AA39" t="str">
        <f t="shared" si="20"/>
        <v/>
      </c>
      <c r="AB39" t="str">
        <f t="shared" si="21"/>
        <v/>
      </c>
      <c r="AC39" t="str">
        <f t="shared" si="22"/>
        <v/>
      </c>
      <c r="AD39" t="str">
        <f t="shared" si="23"/>
        <v/>
      </c>
    </row>
    <row r="40" spans="1:30" thickBot="1" x14ac:dyDescent="0.3">
      <c r="A40">
        <v>2</v>
      </c>
      <c r="B40" t="s">
        <v>10</v>
      </c>
      <c r="N40">
        <f t="shared" si="3"/>
        <v>2</v>
      </c>
      <c r="O40" t="str">
        <f t="shared" si="0"/>
        <v xml:space="preserve">of </v>
      </c>
      <c r="P40">
        <f t="shared" si="1"/>
        <v>0</v>
      </c>
      <c r="Q40">
        <f t="shared" si="2"/>
        <v>0</v>
      </c>
      <c r="X40" t="str">
        <f t="shared" si="17"/>
        <v/>
      </c>
      <c r="Y40" t="str">
        <f t="shared" si="18"/>
        <v/>
      </c>
      <c r="Z40" t="str">
        <f t="shared" si="19"/>
        <v/>
      </c>
      <c r="AA40" t="str">
        <f t="shared" si="20"/>
        <v/>
      </c>
      <c r="AB40" t="str">
        <f t="shared" si="21"/>
        <v/>
      </c>
      <c r="AC40" t="str">
        <f t="shared" si="22"/>
        <v/>
      </c>
      <c r="AD40" t="str">
        <f t="shared" si="23"/>
        <v/>
      </c>
    </row>
    <row r="41" spans="1:30" thickBot="1" x14ac:dyDescent="0.3">
      <c r="A41" t="s">
        <v>44</v>
      </c>
      <c r="B41" s="308">
        <v>44590</v>
      </c>
      <c r="C41" t="s">
        <v>319</v>
      </c>
      <c r="D41" s="309">
        <v>44590</v>
      </c>
      <c r="N41" t="str">
        <f t="shared" si="3"/>
        <v>ID #</v>
      </c>
      <c r="O41">
        <f t="shared" si="0"/>
        <v>44590</v>
      </c>
      <c r="P41" t="str">
        <f t="shared" si="1"/>
        <v xml:space="preserve">  -  CB  -  </v>
      </c>
      <c r="Q41">
        <f t="shared" si="2"/>
        <v>44590</v>
      </c>
      <c r="X41" t="str">
        <f t="shared" si="17"/>
        <v/>
      </c>
      <c r="Y41" t="str">
        <f t="shared" si="18"/>
        <v/>
      </c>
      <c r="Z41" t="str">
        <f t="shared" si="19"/>
        <v/>
      </c>
      <c r="AA41" t="str">
        <f t="shared" si="20"/>
        <v/>
      </c>
      <c r="AB41" t="str">
        <f t="shared" si="21"/>
        <v/>
      </c>
      <c r="AC41" t="str">
        <f t="shared" si="22"/>
        <v/>
      </c>
      <c r="AD41" t="str">
        <f t="shared" si="23"/>
        <v/>
      </c>
    </row>
    <row r="42" spans="1:30" thickBot="1" x14ac:dyDescent="0.3">
      <c r="A42" t="s">
        <v>15</v>
      </c>
      <c r="C42" t="s">
        <v>315</v>
      </c>
      <c r="N42" t="str">
        <f t="shared" si="3"/>
        <v>Client:</v>
      </c>
      <c r="O42">
        <f t="shared" si="0"/>
        <v>0</v>
      </c>
      <c r="P42" t="str">
        <f t="shared" si="1"/>
        <v>BDA 2022/296/3/795</v>
      </c>
      <c r="Q42">
        <f t="shared" si="2"/>
        <v>0</v>
      </c>
      <c r="X42" t="str">
        <f t="shared" si="17"/>
        <v/>
      </c>
      <c r="Y42" t="str">
        <f t="shared" si="18"/>
        <v/>
      </c>
      <c r="Z42" t="str">
        <f t="shared" si="19"/>
        <v/>
      </c>
      <c r="AA42" t="str">
        <f t="shared" si="20"/>
        <v/>
      </c>
      <c r="AB42" t="str">
        <f t="shared" si="21"/>
        <v/>
      </c>
      <c r="AC42" t="str">
        <f t="shared" si="22"/>
        <v/>
      </c>
      <c r="AD42" t="str">
        <f t="shared" si="23"/>
        <v/>
      </c>
    </row>
    <row r="43" spans="1:30" thickBot="1" x14ac:dyDescent="0.3">
      <c r="A43" t="s">
        <v>311</v>
      </c>
      <c r="D43" s="140"/>
      <c r="N43" t="str">
        <f t="shared" si="3"/>
        <v>INV #</v>
      </c>
      <c r="O43">
        <f t="shared" si="0"/>
        <v>0</v>
      </c>
      <c r="P43">
        <f t="shared" si="1"/>
        <v>0</v>
      </c>
      <c r="Q43">
        <f t="shared" si="2"/>
        <v>0</v>
      </c>
      <c r="X43" t="str">
        <f t="shared" si="17"/>
        <v/>
      </c>
      <c r="Y43" t="str">
        <f t="shared" si="18"/>
        <v/>
      </c>
      <c r="Z43" t="str">
        <f t="shared" si="19"/>
        <v/>
      </c>
      <c r="AA43" t="str">
        <f t="shared" si="20"/>
        <v/>
      </c>
      <c r="AB43" t="str">
        <f t="shared" si="21"/>
        <v/>
      </c>
      <c r="AC43" t="str">
        <f t="shared" si="22"/>
        <v/>
      </c>
      <c r="AD43" t="str">
        <f t="shared" si="23"/>
        <v/>
      </c>
    </row>
    <row r="44" spans="1:30" thickBot="1" x14ac:dyDescent="0.3">
      <c r="A44" t="s">
        <v>318</v>
      </c>
      <c r="N44" t="str">
        <f t="shared" si="3"/>
        <v>-1</v>
      </c>
      <c r="O44">
        <f t="shared" si="0"/>
        <v>0</v>
      </c>
      <c r="P44">
        <f t="shared" si="1"/>
        <v>0</v>
      </c>
      <c r="Q44">
        <f t="shared" si="2"/>
        <v>0</v>
      </c>
      <c r="X44" t="str">
        <f t="shared" si="17"/>
        <v/>
      </c>
      <c r="Y44" t="str">
        <f t="shared" si="18"/>
        <v/>
      </c>
      <c r="Z44" t="str">
        <f t="shared" si="19"/>
        <v/>
      </c>
      <c r="AA44" t="str">
        <f t="shared" si="20"/>
        <v/>
      </c>
      <c r="AB44" t="str">
        <f t="shared" si="21"/>
        <v/>
      </c>
      <c r="AC44" t="str">
        <f t="shared" si="22"/>
        <v/>
      </c>
      <c r="AD44" t="str">
        <f t="shared" si="23"/>
        <v/>
      </c>
    </row>
    <row r="45" spans="1:30" thickBot="1" x14ac:dyDescent="0.3">
      <c r="N45">
        <f t="shared" si="3"/>
        <v>0</v>
      </c>
      <c r="O45">
        <f t="shared" si="0"/>
        <v>0</v>
      </c>
      <c r="P45">
        <f t="shared" si="1"/>
        <v>0</v>
      </c>
      <c r="Q45">
        <f t="shared" si="2"/>
        <v>0</v>
      </c>
      <c r="X45" t="str">
        <f t="shared" si="17"/>
        <v/>
      </c>
      <c r="Y45" t="str">
        <f t="shared" si="18"/>
        <v/>
      </c>
      <c r="Z45" t="str">
        <f t="shared" si="19"/>
        <v/>
      </c>
      <c r="AA45" t="str">
        <f t="shared" si="20"/>
        <v/>
      </c>
      <c r="AB45" t="str">
        <f t="shared" si="21"/>
        <v/>
      </c>
      <c r="AC45" t="str">
        <f t="shared" si="22"/>
        <v/>
      </c>
      <c r="AD45" t="str">
        <f t="shared" si="23"/>
        <v/>
      </c>
    </row>
    <row r="46" spans="1:30" thickBot="1" x14ac:dyDescent="0.3">
      <c r="A46" t="s">
        <v>13</v>
      </c>
      <c r="B46" t="s">
        <v>317</v>
      </c>
      <c r="N46" t="str">
        <f t="shared" si="3"/>
        <v>SIZE</v>
      </c>
      <c r="O46" t="str">
        <f t="shared" si="0"/>
        <v>TSHIRTS L/S</v>
      </c>
      <c r="P46">
        <f t="shared" si="1"/>
        <v>0</v>
      </c>
      <c r="Q46">
        <f t="shared" si="2"/>
        <v>0</v>
      </c>
      <c r="X46" t="str">
        <f t="shared" si="17"/>
        <v/>
      </c>
      <c r="Y46" t="str">
        <f t="shared" si="18"/>
        <v/>
      </c>
      <c r="Z46" t="str">
        <f t="shared" si="19"/>
        <v/>
      </c>
      <c r="AA46" t="str">
        <f t="shared" si="20"/>
        <v/>
      </c>
      <c r="AB46" t="str">
        <f t="shared" si="21"/>
        <v/>
      </c>
      <c r="AC46" t="str">
        <f t="shared" si="22"/>
        <v/>
      </c>
      <c r="AD46" t="str">
        <f t="shared" si="23"/>
        <v/>
      </c>
    </row>
    <row r="47" spans="1:30" thickBot="1" x14ac:dyDescent="0.3">
      <c r="A47" t="s">
        <v>4</v>
      </c>
      <c r="N47" t="str">
        <f t="shared" si="3"/>
        <v>XS</v>
      </c>
      <c r="O47">
        <f t="shared" si="0"/>
        <v>0</v>
      </c>
      <c r="P47">
        <f t="shared" si="1"/>
        <v>0</v>
      </c>
      <c r="Q47">
        <f t="shared" si="2"/>
        <v>0</v>
      </c>
      <c r="V47">
        <v>3</v>
      </c>
      <c r="X47" t="str">
        <f t="shared" si="17"/>
        <v/>
      </c>
      <c r="Y47" t="str">
        <f t="shared" si="18"/>
        <v/>
      </c>
      <c r="Z47" t="str">
        <f t="shared" si="19"/>
        <v/>
      </c>
      <c r="AA47" t="str">
        <f t="shared" si="20"/>
        <v/>
      </c>
      <c r="AB47" t="str">
        <f t="shared" si="21"/>
        <v>,</v>
      </c>
      <c r="AC47" t="str">
        <f t="shared" si="22"/>
        <v/>
      </c>
      <c r="AD47" t="str">
        <f t="shared" si="23"/>
        <v/>
      </c>
    </row>
    <row r="48" spans="1:30" thickBot="1" x14ac:dyDescent="0.3">
      <c r="A48" t="s">
        <v>5</v>
      </c>
      <c r="N48" t="str">
        <f t="shared" si="3"/>
        <v>S</v>
      </c>
      <c r="O48">
        <f t="shared" si="0"/>
        <v>0</v>
      </c>
      <c r="P48">
        <f t="shared" si="1"/>
        <v>0</v>
      </c>
      <c r="Q48">
        <f t="shared" si="2"/>
        <v>0</v>
      </c>
      <c r="R48" s="91" t="str">
        <f t="shared" ref="R48:R55" si="30">IF(O48&gt;0,$N$60,"")</f>
        <v/>
      </c>
      <c r="S48" s="91" t="str">
        <f t="shared" ref="S48:S55" si="31">IF(P48&gt;0,$N$60,"")</f>
        <v/>
      </c>
      <c r="T48" s="91" t="str">
        <f t="shared" ref="T48:T55" si="32">IF(Q48&gt;0,$N$60,"")</f>
        <v/>
      </c>
      <c r="X48" t="str">
        <f t="shared" si="17"/>
        <v/>
      </c>
      <c r="Y48" t="str">
        <f t="shared" si="18"/>
        <v/>
      </c>
      <c r="Z48" t="str">
        <f t="shared" si="19"/>
        <v/>
      </c>
      <c r="AA48" t="str">
        <f t="shared" si="20"/>
        <v/>
      </c>
      <c r="AB48" t="str">
        <f t="shared" si="21"/>
        <v/>
      </c>
      <c r="AC48" t="str">
        <f t="shared" si="22"/>
        <v/>
      </c>
      <c r="AD48" t="str">
        <f t="shared" si="23"/>
        <v/>
      </c>
    </row>
    <row r="49" spans="1:30" thickBot="1" x14ac:dyDescent="0.3">
      <c r="A49" t="s">
        <v>6</v>
      </c>
      <c r="N49" t="str">
        <f t="shared" si="3"/>
        <v>M</v>
      </c>
      <c r="O49">
        <f t="shared" si="0"/>
        <v>0</v>
      </c>
      <c r="P49">
        <f t="shared" si="1"/>
        <v>0</v>
      </c>
      <c r="Q49">
        <f t="shared" si="2"/>
        <v>0</v>
      </c>
      <c r="R49" s="91" t="str">
        <f t="shared" si="30"/>
        <v/>
      </c>
      <c r="S49" s="91" t="str">
        <f t="shared" si="31"/>
        <v/>
      </c>
      <c r="T49" s="91" t="str">
        <f t="shared" si="32"/>
        <v/>
      </c>
      <c r="X49" t="str">
        <f t="shared" si="17"/>
        <v/>
      </c>
      <c r="Y49" t="str">
        <f t="shared" si="18"/>
        <v/>
      </c>
      <c r="Z49" t="str">
        <f t="shared" si="19"/>
        <v/>
      </c>
      <c r="AA49" t="str">
        <f t="shared" si="20"/>
        <v/>
      </c>
      <c r="AB49" t="str">
        <f t="shared" si="21"/>
        <v/>
      </c>
      <c r="AC49" t="str">
        <f t="shared" si="22"/>
        <v/>
      </c>
      <c r="AD49" t="str">
        <f t="shared" si="23"/>
        <v/>
      </c>
    </row>
    <row r="50" spans="1:30" thickBot="1" x14ac:dyDescent="0.3">
      <c r="A50" t="s">
        <v>7</v>
      </c>
      <c r="N50" t="str">
        <f t="shared" si="3"/>
        <v>L</v>
      </c>
      <c r="O50">
        <f t="shared" si="0"/>
        <v>0</v>
      </c>
      <c r="P50">
        <f t="shared" si="1"/>
        <v>0</v>
      </c>
      <c r="Q50">
        <f t="shared" si="2"/>
        <v>0</v>
      </c>
      <c r="R50" s="91" t="str">
        <f t="shared" si="30"/>
        <v/>
      </c>
      <c r="S50" s="91" t="str">
        <f t="shared" si="31"/>
        <v/>
      </c>
      <c r="T50" s="91" t="str">
        <f t="shared" si="32"/>
        <v/>
      </c>
      <c r="X50" t="str">
        <f t="shared" si="17"/>
        <v/>
      </c>
      <c r="Y50" t="str">
        <f t="shared" si="18"/>
        <v/>
      </c>
      <c r="Z50" t="str">
        <f t="shared" si="19"/>
        <v/>
      </c>
      <c r="AA50" t="str">
        <f t="shared" si="20"/>
        <v/>
      </c>
      <c r="AB50" t="str">
        <f t="shared" si="21"/>
        <v/>
      </c>
      <c r="AC50" t="str">
        <f t="shared" si="22"/>
        <v/>
      </c>
      <c r="AD50" t="str">
        <f t="shared" si="23"/>
        <v/>
      </c>
    </row>
    <row r="51" spans="1:30" thickBot="1" x14ac:dyDescent="0.3">
      <c r="A51" t="s">
        <v>8</v>
      </c>
      <c r="B51">
        <v>35</v>
      </c>
      <c r="N51" t="str">
        <f t="shared" si="3"/>
        <v>XL</v>
      </c>
      <c r="O51">
        <f t="shared" si="0"/>
        <v>35</v>
      </c>
      <c r="P51">
        <f t="shared" si="1"/>
        <v>0</v>
      </c>
      <c r="Q51">
        <f t="shared" si="2"/>
        <v>0</v>
      </c>
      <c r="R51" s="91">
        <f t="shared" si="30"/>
        <v>3</v>
      </c>
      <c r="S51" s="91" t="str">
        <f t="shared" si="31"/>
        <v/>
      </c>
      <c r="T51" s="91" t="str">
        <f t="shared" si="32"/>
        <v/>
      </c>
      <c r="X51" t="str">
        <f t="shared" si="17"/>
        <v>,</v>
      </c>
      <c r="Y51" t="str">
        <f t="shared" si="18"/>
        <v/>
      </c>
      <c r="Z51" t="str">
        <f t="shared" si="19"/>
        <v/>
      </c>
      <c r="AA51" t="str">
        <f t="shared" si="20"/>
        <v/>
      </c>
      <c r="AB51" t="str">
        <f t="shared" si="21"/>
        <v/>
      </c>
      <c r="AC51" t="str">
        <f t="shared" si="22"/>
        <v/>
      </c>
      <c r="AD51" t="str">
        <f t="shared" si="23"/>
        <v>,</v>
      </c>
    </row>
    <row r="52" spans="1:30" thickBot="1" x14ac:dyDescent="0.3">
      <c r="A52" t="s">
        <v>9</v>
      </c>
      <c r="B52">
        <v>24</v>
      </c>
      <c r="N52" t="str">
        <f t="shared" si="3"/>
        <v>2XL</v>
      </c>
      <c r="O52">
        <f t="shared" si="0"/>
        <v>24</v>
      </c>
      <c r="P52">
        <f t="shared" si="1"/>
        <v>0</v>
      </c>
      <c r="Q52">
        <f t="shared" si="2"/>
        <v>0</v>
      </c>
      <c r="R52" s="91">
        <f t="shared" si="30"/>
        <v>3</v>
      </c>
      <c r="S52" s="91" t="str">
        <f t="shared" si="31"/>
        <v/>
      </c>
      <c r="T52" s="91" t="str">
        <f t="shared" si="32"/>
        <v/>
      </c>
      <c r="X52" t="str">
        <f t="shared" si="17"/>
        <v>,</v>
      </c>
      <c r="Y52" t="str">
        <f t="shared" si="18"/>
        <v/>
      </c>
      <c r="Z52" t="str">
        <f t="shared" si="19"/>
        <v/>
      </c>
      <c r="AA52" t="str">
        <f t="shared" si="20"/>
        <v/>
      </c>
      <c r="AB52" t="str">
        <f t="shared" si="21"/>
        <v/>
      </c>
      <c r="AC52" t="str">
        <f t="shared" si="22"/>
        <v/>
      </c>
      <c r="AD52" t="str">
        <f t="shared" si="23"/>
        <v>,</v>
      </c>
    </row>
    <row r="53" spans="1:30" thickBot="1" x14ac:dyDescent="0.3">
      <c r="A53" t="s">
        <v>11</v>
      </c>
      <c r="N53" t="str">
        <f t="shared" si="3"/>
        <v>3XL</v>
      </c>
      <c r="O53">
        <f t="shared" si="0"/>
        <v>0</v>
      </c>
      <c r="P53">
        <f t="shared" si="1"/>
        <v>0</v>
      </c>
      <c r="Q53">
        <f t="shared" si="2"/>
        <v>0</v>
      </c>
      <c r="R53" s="91" t="str">
        <f t="shared" si="30"/>
        <v/>
      </c>
      <c r="S53" s="91" t="str">
        <f t="shared" si="31"/>
        <v/>
      </c>
      <c r="T53" s="91" t="str">
        <f t="shared" si="32"/>
        <v/>
      </c>
      <c r="X53" t="str">
        <f t="shared" si="17"/>
        <v/>
      </c>
      <c r="Y53" t="str">
        <f t="shared" si="18"/>
        <v/>
      </c>
      <c r="Z53" t="str">
        <f t="shared" si="19"/>
        <v/>
      </c>
      <c r="AA53" t="str">
        <f t="shared" si="20"/>
        <v/>
      </c>
      <c r="AB53" t="str">
        <f t="shared" si="21"/>
        <v/>
      </c>
      <c r="AC53" t="str">
        <f t="shared" si="22"/>
        <v/>
      </c>
      <c r="AD53" t="str">
        <f t="shared" si="23"/>
        <v/>
      </c>
    </row>
    <row r="54" spans="1:30" thickBot="1" x14ac:dyDescent="0.3">
      <c r="A54" t="s">
        <v>12</v>
      </c>
      <c r="N54" t="str">
        <f t="shared" si="3"/>
        <v>4XL</v>
      </c>
      <c r="O54">
        <f t="shared" si="0"/>
        <v>0</v>
      </c>
      <c r="P54">
        <f t="shared" si="1"/>
        <v>0</v>
      </c>
      <c r="Q54">
        <f t="shared" si="2"/>
        <v>0</v>
      </c>
      <c r="R54" s="91" t="str">
        <f t="shared" si="30"/>
        <v/>
      </c>
      <c r="S54" s="91" t="str">
        <f t="shared" si="31"/>
        <v/>
      </c>
      <c r="T54" s="91" t="str">
        <f t="shared" si="32"/>
        <v/>
      </c>
      <c r="X54" t="str">
        <f t="shared" si="17"/>
        <v/>
      </c>
      <c r="Y54" t="str">
        <f t="shared" si="18"/>
        <v/>
      </c>
      <c r="Z54" t="str">
        <f t="shared" si="19"/>
        <v/>
      </c>
      <c r="AA54" t="str">
        <f t="shared" si="20"/>
        <v/>
      </c>
      <c r="AB54" t="str">
        <f t="shared" si="21"/>
        <v/>
      </c>
      <c r="AC54" t="str">
        <f t="shared" si="22"/>
        <v/>
      </c>
      <c r="AD54" t="str">
        <f t="shared" si="23"/>
        <v/>
      </c>
    </row>
    <row r="55" spans="1:30" thickBot="1" x14ac:dyDescent="0.3">
      <c r="A55" t="s">
        <v>70</v>
      </c>
      <c r="N55" t="str">
        <f t="shared" si="3"/>
        <v>Promo.</v>
      </c>
      <c r="O55">
        <f t="shared" si="0"/>
        <v>0</v>
      </c>
      <c r="P55">
        <f t="shared" si="1"/>
        <v>0</v>
      </c>
      <c r="Q55">
        <f t="shared" si="2"/>
        <v>0</v>
      </c>
      <c r="R55" s="91" t="str">
        <f t="shared" si="30"/>
        <v/>
      </c>
      <c r="S55" s="91" t="str">
        <f t="shared" si="31"/>
        <v/>
      </c>
      <c r="T55" s="91" t="str">
        <f t="shared" si="32"/>
        <v/>
      </c>
      <c r="X55" t="str">
        <f t="shared" si="17"/>
        <v/>
      </c>
      <c r="Y55" t="str">
        <f t="shared" si="18"/>
        <v/>
      </c>
      <c r="Z55" t="str">
        <f t="shared" si="19"/>
        <v/>
      </c>
      <c r="AA55" t="str">
        <f t="shared" si="20"/>
        <v/>
      </c>
      <c r="AB55" t="str">
        <f t="shared" si="21"/>
        <v/>
      </c>
      <c r="AC55" t="str">
        <f t="shared" si="22"/>
        <v/>
      </c>
      <c r="AD55" t="str">
        <f t="shared" si="23"/>
        <v/>
      </c>
    </row>
    <row r="56" spans="1:30" thickBot="1" x14ac:dyDescent="0.3">
      <c r="A56" t="s">
        <v>18</v>
      </c>
      <c r="N56" t="str">
        <f t="shared" si="3"/>
        <v>DESCRIPTION</v>
      </c>
      <c r="O56">
        <f t="shared" si="0"/>
        <v>0</v>
      </c>
      <c r="P56">
        <f t="shared" si="1"/>
        <v>0</v>
      </c>
      <c r="Q56">
        <f t="shared" si="2"/>
        <v>0</v>
      </c>
      <c r="X56" t="str">
        <f t="shared" si="17"/>
        <v/>
      </c>
      <c r="Y56" t="str">
        <f t="shared" si="18"/>
        <v/>
      </c>
      <c r="Z56" t="str">
        <f t="shared" si="19"/>
        <v/>
      </c>
      <c r="AA56" t="str">
        <f t="shared" si="20"/>
        <v/>
      </c>
      <c r="AB56" t="str">
        <f t="shared" si="21"/>
        <v/>
      </c>
      <c r="AC56" t="str">
        <f t="shared" si="22"/>
        <v/>
      </c>
      <c r="AD56" t="str">
        <f t="shared" si="23"/>
        <v/>
      </c>
    </row>
    <row r="57" spans="1:30" thickBot="1" x14ac:dyDescent="0.3">
      <c r="N57">
        <f t="shared" si="3"/>
        <v>0</v>
      </c>
      <c r="O57">
        <f t="shared" si="0"/>
        <v>0</v>
      </c>
      <c r="P57">
        <f t="shared" si="1"/>
        <v>0</v>
      </c>
      <c r="Q57">
        <f t="shared" si="2"/>
        <v>0</v>
      </c>
      <c r="X57" t="str">
        <f t="shared" si="17"/>
        <v/>
      </c>
      <c r="Y57" t="str">
        <f t="shared" si="18"/>
        <v/>
      </c>
      <c r="Z57" t="str">
        <f t="shared" si="19"/>
        <v/>
      </c>
      <c r="AA57" t="str">
        <f t="shared" si="20"/>
        <v/>
      </c>
      <c r="AB57" t="str">
        <f t="shared" si="21"/>
        <v/>
      </c>
      <c r="AC57" t="str">
        <f t="shared" si="22"/>
        <v/>
      </c>
      <c r="AD57" t="str">
        <f t="shared" si="23"/>
        <v/>
      </c>
    </row>
    <row r="58" spans="1:30" thickBot="1" x14ac:dyDescent="0.3">
      <c r="N58">
        <f t="shared" si="3"/>
        <v>0</v>
      </c>
      <c r="O58">
        <f t="shared" si="0"/>
        <v>0</v>
      </c>
      <c r="P58">
        <f t="shared" si="1"/>
        <v>0</v>
      </c>
      <c r="Q58">
        <f t="shared" si="2"/>
        <v>0</v>
      </c>
      <c r="X58" t="str">
        <f t="shared" si="17"/>
        <v/>
      </c>
      <c r="Y58" t="str">
        <f t="shared" si="18"/>
        <v/>
      </c>
      <c r="Z58" t="str">
        <f t="shared" si="19"/>
        <v/>
      </c>
      <c r="AA58" t="str">
        <f t="shared" si="20"/>
        <v/>
      </c>
      <c r="AB58" t="str">
        <f t="shared" si="21"/>
        <v/>
      </c>
      <c r="AC58" t="str">
        <f t="shared" si="22"/>
        <v/>
      </c>
      <c r="AD58" t="str">
        <f t="shared" si="23"/>
        <v/>
      </c>
    </row>
    <row r="59" spans="1:30" thickBot="1" x14ac:dyDescent="0.3">
      <c r="A59" t="s">
        <v>17</v>
      </c>
      <c r="C59">
        <v>59</v>
      </c>
      <c r="N59" t="str">
        <f t="shared" si="3"/>
        <v>TOTAL OF:</v>
      </c>
      <c r="O59">
        <f t="shared" si="0"/>
        <v>0</v>
      </c>
      <c r="P59">
        <f t="shared" si="1"/>
        <v>59</v>
      </c>
      <c r="Q59">
        <f t="shared" si="2"/>
        <v>0</v>
      </c>
      <c r="X59" t="str">
        <f t="shared" si="17"/>
        <v/>
      </c>
      <c r="Y59" t="str">
        <f t="shared" si="18"/>
        <v/>
      </c>
      <c r="Z59" t="str">
        <f t="shared" si="19"/>
        <v/>
      </c>
      <c r="AA59" t="str">
        <f t="shared" si="20"/>
        <v/>
      </c>
      <c r="AB59" t="str">
        <f t="shared" si="21"/>
        <v/>
      </c>
      <c r="AC59" t="str">
        <f t="shared" si="22"/>
        <v/>
      </c>
      <c r="AD59" t="str">
        <f t="shared" si="23"/>
        <v/>
      </c>
    </row>
    <row r="60" spans="1:30" thickBot="1" x14ac:dyDescent="0.3">
      <c r="A60">
        <v>3</v>
      </c>
      <c r="B60" t="s">
        <v>10</v>
      </c>
      <c r="N60">
        <f t="shared" si="3"/>
        <v>3</v>
      </c>
      <c r="O60" t="str">
        <f t="shared" si="0"/>
        <v xml:space="preserve">of </v>
      </c>
      <c r="P60">
        <f t="shared" si="1"/>
        <v>0</v>
      </c>
      <c r="Q60">
        <f t="shared" si="2"/>
        <v>0</v>
      </c>
      <c r="X60" t="str">
        <f t="shared" si="17"/>
        <v/>
      </c>
      <c r="Y60" t="str">
        <f t="shared" si="18"/>
        <v/>
      </c>
      <c r="Z60" t="str">
        <f t="shared" si="19"/>
        <v/>
      </c>
      <c r="AA60" t="str">
        <f t="shared" si="20"/>
        <v/>
      </c>
      <c r="AB60" t="str">
        <f t="shared" si="21"/>
        <v/>
      </c>
      <c r="AC60" t="str">
        <f t="shared" si="22"/>
        <v/>
      </c>
      <c r="AD60" t="str">
        <f t="shared" si="23"/>
        <v/>
      </c>
    </row>
    <row r="61" spans="1:30" thickBot="1" x14ac:dyDescent="0.3">
      <c r="A61" t="s">
        <v>44</v>
      </c>
      <c r="B61" s="308">
        <v>44590</v>
      </c>
      <c r="C61" t="s">
        <v>319</v>
      </c>
      <c r="D61" s="309">
        <v>44590</v>
      </c>
      <c r="N61" t="str">
        <f t="shared" si="3"/>
        <v>ID #</v>
      </c>
      <c r="O61">
        <f t="shared" si="0"/>
        <v>44590</v>
      </c>
      <c r="P61" t="str">
        <f t="shared" si="1"/>
        <v xml:space="preserve">  -  CB  -  </v>
      </c>
      <c r="Q61">
        <f t="shared" si="2"/>
        <v>44590</v>
      </c>
      <c r="X61" t="str">
        <f t="shared" si="17"/>
        <v/>
      </c>
      <c r="Y61" t="str">
        <f t="shared" si="18"/>
        <v/>
      </c>
      <c r="Z61" t="str">
        <f t="shared" si="19"/>
        <v/>
      </c>
      <c r="AA61" t="str">
        <f t="shared" si="20"/>
        <v/>
      </c>
      <c r="AB61" t="str">
        <f t="shared" si="21"/>
        <v/>
      </c>
      <c r="AC61" t="str">
        <f t="shared" si="22"/>
        <v/>
      </c>
      <c r="AD61" t="str">
        <f t="shared" si="23"/>
        <v/>
      </c>
    </row>
    <row r="62" spans="1:30" thickBot="1" x14ac:dyDescent="0.3">
      <c r="A62" t="s">
        <v>15</v>
      </c>
      <c r="C62" t="s">
        <v>315</v>
      </c>
      <c r="N62" t="str">
        <f t="shared" si="3"/>
        <v>Client:</v>
      </c>
      <c r="O62">
        <f t="shared" si="0"/>
        <v>0</v>
      </c>
      <c r="P62" t="str">
        <f t="shared" si="1"/>
        <v>BDA 2022/296/3/795</v>
      </c>
      <c r="Q62">
        <f t="shared" si="2"/>
        <v>0</v>
      </c>
      <c r="X62" t="str">
        <f t="shared" si="17"/>
        <v/>
      </c>
      <c r="Y62" t="str">
        <f t="shared" si="18"/>
        <v/>
      </c>
      <c r="Z62" t="str">
        <f t="shared" si="19"/>
        <v/>
      </c>
      <c r="AA62" t="str">
        <f t="shared" si="20"/>
        <v/>
      </c>
      <c r="AB62" t="str">
        <f t="shared" si="21"/>
        <v/>
      </c>
      <c r="AC62" t="str">
        <f t="shared" si="22"/>
        <v/>
      </c>
      <c r="AD62" t="str">
        <f t="shared" si="23"/>
        <v/>
      </c>
    </row>
    <row r="63" spans="1:30" thickBot="1" x14ac:dyDescent="0.3">
      <c r="A63" t="s">
        <v>311</v>
      </c>
      <c r="D63" s="140"/>
      <c r="N63" t="str">
        <f t="shared" si="3"/>
        <v>INV #</v>
      </c>
      <c r="O63">
        <f t="shared" si="0"/>
        <v>0</v>
      </c>
      <c r="P63">
        <f t="shared" si="1"/>
        <v>0</v>
      </c>
      <c r="Q63">
        <f t="shared" si="2"/>
        <v>0</v>
      </c>
      <c r="X63" t="str">
        <f t="shared" si="17"/>
        <v/>
      </c>
      <c r="Y63" t="str">
        <f t="shared" si="18"/>
        <v/>
      </c>
      <c r="Z63" t="str">
        <f t="shared" si="19"/>
        <v/>
      </c>
      <c r="AA63" t="str">
        <f t="shared" si="20"/>
        <v/>
      </c>
      <c r="AB63" t="str">
        <f t="shared" si="21"/>
        <v/>
      </c>
      <c r="AC63" t="str">
        <f t="shared" si="22"/>
        <v/>
      </c>
      <c r="AD63" t="str">
        <f t="shared" si="23"/>
        <v/>
      </c>
    </row>
    <row r="64" spans="1:30" thickBot="1" x14ac:dyDescent="0.3">
      <c r="A64" t="s">
        <v>318</v>
      </c>
      <c r="N64" t="str">
        <f t="shared" si="3"/>
        <v>-1</v>
      </c>
      <c r="O64">
        <f t="shared" si="0"/>
        <v>0</v>
      </c>
      <c r="P64">
        <f t="shared" si="1"/>
        <v>0</v>
      </c>
      <c r="Q64">
        <f t="shared" si="2"/>
        <v>0</v>
      </c>
      <c r="X64" t="str">
        <f t="shared" si="17"/>
        <v/>
      </c>
      <c r="Y64" t="str">
        <f t="shared" si="18"/>
        <v/>
      </c>
      <c r="Z64" t="str">
        <f t="shared" si="19"/>
        <v/>
      </c>
      <c r="AA64" t="str">
        <f t="shared" si="20"/>
        <v/>
      </c>
      <c r="AB64" t="str">
        <f t="shared" si="21"/>
        <v/>
      </c>
      <c r="AC64" t="str">
        <f t="shared" si="22"/>
        <v/>
      </c>
      <c r="AD64" t="str">
        <f t="shared" si="23"/>
        <v/>
      </c>
    </row>
    <row r="65" spans="1:30" thickBot="1" x14ac:dyDescent="0.3">
      <c r="N65">
        <f t="shared" si="3"/>
        <v>0</v>
      </c>
      <c r="O65">
        <f t="shared" ref="O65:O128" si="33">B65</f>
        <v>0</v>
      </c>
      <c r="P65">
        <f t="shared" ref="P65:P128" si="34">C65</f>
        <v>0</v>
      </c>
      <c r="Q65">
        <f t="shared" ref="Q65:Q128" si="35">D65</f>
        <v>0</v>
      </c>
      <c r="X65" t="str">
        <f t="shared" si="17"/>
        <v/>
      </c>
      <c r="Y65" t="str">
        <f t="shared" si="18"/>
        <v/>
      </c>
      <c r="Z65" t="str">
        <f t="shared" si="19"/>
        <v/>
      </c>
      <c r="AA65" t="str">
        <f t="shared" si="20"/>
        <v/>
      </c>
      <c r="AB65" t="str">
        <f t="shared" si="21"/>
        <v/>
      </c>
      <c r="AC65" t="str">
        <f t="shared" si="22"/>
        <v/>
      </c>
      <c r="AD65" t="str">
        <f t="shared" si="23"/>
        <v/>
      </c>
    </row>
    <row r="66" spans="1:30" thickBot="1" x14ac:dyDescent="0.3">
      <c r="A66" t="s">
        <v>13</v>
      </c>
      <c r="B66" t="s">
        <v>317</v>
      </c>
      <c r="N66" t="str">
        <f t="shared" ref="N66:N129" si="36">A66</f>
        <v>SIZE</v>
      </c>
      <c r="O66" t="str">
        <f t="shared" si="33"/>
        <v>TSHIRTS L/S</v>
      </c>
      <c r="P66">
        <f t="shared" si="34"/>
        <v>0</v>
      </c>
      <c r="Q66">
        <f t="shared" si="35"/>
        <v>0</v>
      </c>
      <c r="X66" t="str">
        <f t="shared" si="17"/>
        <v/>
      </c>
      <c r="Y66" t="str">
        <f t="shared" si="18"/>
        <v/>
      </c>
      <c r="Z66" t="str">
        <f t="shared" si="19"/>
        <v/>
      </c>
      <c r="AA66" t="str">
        <f t="shared" si="20"/>
        <v/>
      </c>
      <c r="AB66" t="str">
        <f t="shared" si="21"/>
        <v/>
      </c>
      <c r="AC66" t="str">
        <f t="shared" si="22"/>
        <v/>
      </c>
      <c r="AD66" t="str">
        <f t="shared" si="23"/>
        <v/>
      </c>
    </row>
    <row r="67" spans="1:30" thickBot="1" x14ac:dyDescent="0.3">
      <c r="A67" t="s">
        <v>4</v>
      </c>
      <c r="N67" t="str">
        <f t="shared" si="36"/>
        <v>XS</v>
      </c>
      <c r="O67">
        <f t="shared" si="33"/>
        <v>0</v>
      </c>
      <c r="P67">
        <f t="shared" si="34"/>
        <v>0</v>
      </c>
      <c r="Q67">
        <f t="shared" si="35"/>
        <v>0</v>
      </c>
      <c r="V67">
        <v>4</v>
      </c>
      <c r="X67" t="str">
        <f t="shared" si="17"/>
        <v/>
      </c>
      <c r="Y67" t="str">
        <f t="shared" si="18"/>
        <v/>
      </c>
      <c r="Z67" t="str">
        <f t="shared" si="19"/>
        <v/>
      </c>
      <c r="AA67" t="str">
        <f t="shared" si="20"/>
        <v/>
      </c>
      <c r="AB67" t="str">
        <f t="shared" si="21"/>
        <v>,</v>
      </c>
      <c r="AC67" t="str">
        <f t="shared" si="22"/>
        <v/>
      </c>
      <c r="AD67" t="str">
        <f t="shared" si="23"/>
        <v/>
      </c>
    </row>
    <row r="68" spans="1:30" thickBot="1" x14ac:dyDescent="0.3">
      <c r="A68" t="s">
        <v>5</v>
      </c>
      <c r="N68" t="str">
        <f t="shared" si="36"/>
        <v>S</v>
      </c>
      <c r="O68">
        <f t="shared" si="33"/>
        <v>0</v>
      </c>
      <c r="P68">
        <f t="shared" si="34"/>
        <v>0</v>
      </c>
      <c r="Q68">
        <f t="shared" si="35"/>
        <v>0</v>
      </c>
      <c r="R68" s="91" t="str">
        <f t="shared" ref="R68:R75" si="37">IF(O68&gt;0,$N$80,"")</f>
        <v/>
      </c>
      <c r="S68" s="91" t="str">
        <f t="shared" ref="S68:S75" si="38">IF(P68&gt;0,$N$80,"")</f>
        <v/>
      </c>
      <c r="T68" s="91" t="str">
        <f t="shared" ref="T68:T75" si="39">IF(Q68&gt;0,$N$80,"")</f>
        <v/>
      </c>
      <c r="X68" t="str">
        <f t="shared" si="17"/>
        <v/>
      </c>
      <c r="Y68" t="str">
        <f t="shared" si="18"/>
        <v/>
      </c>
      <c r="Z68" t="str">
        <f t="shared" si="19"/>
        <v/>
      </c>
      <c r="AA68" t="str">
        <f t="shared" si="20"/>
        <v/>
      </c>
      <c r="AB68" t="str">
        <f t="shared" si="21"/>
        <v/>
      </c>
      <c r="AC68" t="str">
        <f t="shared" si="22"/>
        <v/>
      </c>
      <c r="AD68" t="str">
        <f t="shared" si="23"/>
        <v/>
      </c>
    </row>
    <row r="69" spans="1:30" thickBot="1" x14ac:dyDescent="0.3">
      <c r="A69" t="s">
        <v>6</v>
      </c>
      <c r="N69" t="str">
        <f t="shared" si="36"/>
        <v>M</v>
      </c>
      <c r="O69">
        <f t="shared" si="33"/>
        <v>0</v>
      </c>
      <c r="P69">
        <f t="shared" si="34"/>
        <v>0</v>
      </c>
      <c r="Q69">
        <f t="shared" si="35"/>
        <v>0</v>
      </c>
      <c r="R69" s="91" t="str">
        <f t="shared" si="37"/>
        <v/>
      </c>
      <c r="S69" s="91" t="str">
        <f t="shared" si="38"/>
        <v/>
      </c>
      <c r="T69" s="91" t="str">
        <f t="shared" si="39"/>
        <v/>
      </c>
      <c r="X69" t="str">
        <f t="shared" si="17"/>
        <v/>
      </c>
      <c r="Y69" t="str">
        <f t="shared" si="18"/>
        <v/>
      </c>
      <c r="Z69" t="str">
        <f t="shared" si="19"/>
        <v/>
      </c>
      <c r="AA69" t="str">
        <f t="shared" si="20"/>
        <v/>
      </c>
      <c r="AB69" t="str">
        <f t="shared" si="21"/>
        <v/>
      </c>
      <c r="AC69" t="str">
        <f t="shared" si="22"/>
        <v/>
      </c>
      <c r="AD69" t="str">
        <f t="shared" si="23"/>
        <v/>
      </c>
    </row>
    <row r="70" spans="1:30" thickBot="1" x14ac:dyDescent="0.3">
      <c r="A70" t="s">
        <v>7</v>
      </c>
      <c r="B70">
        <v>45</v>
      </c>
      <c r="N70" t="str">
        <f t="shared" si="36"/>
        <v>L</v>
      </c>
      <c r="O70">
        <f t="shared" si="33"/>
        <v>45</v>
      </c>
      <c r="P70">
        <f t="shared" si="34"/>
        <v>0</v>
      </c>
      <c r="Q70">
        <f t="shared" si="35"/>
        <v>0</v>
      </c>
      <c r="R70" s="91">
        <f t="shared" si="37"/>
        <v>4</v>
      </c>
      <c r="S70" s="91" t="str">
        <f t="shared" si="38"/>
        <v/>
      </c>
      <c r="T70" s="91" t="str">
        <f t="shared" si="39"/>
        <v/>
      </c>
      <c r="X70" t="str">
        <f t="shared" si="17"/>
        <v>,</v>
      </c>
      <c r="Y70" t="str">
        <f t="shared" si="18"/>
        <v/>
      </c>
      <c r="Z70" t="str">
        <f t="shared" si="19"/>
        <v/>
      </c>
      <c r="AA70" t="str">
        <f t="shared" si="20"/>
        <v/>
      </c>
      <c r="AB70" t="str">
        <f t="shared" si="21"/>
        <v/>
      </c>
      <c r="AC70" t="str">
        <f t="shared" si="22"/>
        <v/>
      </c>
      <c r="AD70" t="str">
        <f t="shared" si="23"/>
        <v>,</v>
      </c>
    </row>
    <row r="71" spans="1:30" thickBot="1" x14ac:dyDescent="0.3">
      <c r="A71" t="s">
        <v>8</v>
      </c>
      <c r="N71" t="str">
        <f t="shared" si="36"/>
        <v>XL</v>
      </c>
      <c r="O71">
        <f t="shared" si="33"/>
        <v>0</v>
      </c>
      <c r="P71">
        <f t="shared" si="34"/>
        <v>0</v>
      </c>
      <c r="Q71">
        <f t="shared" si="35"/>
        <v>0</v>
      </c>
      <c r="R71" s="91" t="str">
        <f t="shared" si="37"/>
        <v/>
      </c>
      <c r="S71" s="91" t="str">
        <f t="shared" si="38"/>
        <v/>
      </c>
      <c r="T71" s="91" t="str">
        <f t="shared" si="39"/>
        <v/>
      </c>
      <c r="X71" t="str">
        <f t="shared" si="17"/>
        <v/>
      </c>
      <c r="Y71" t="str">
        <f t="shared" si="18"/>
        <v/>
      </c>
      <c r="Z71" t="str">
        <f t="shared" si="19"/>
        <v/>
      </c>
      <c r="AA71" t="str">
        <f t="shared" si="20"/>
        <v/>
      </c>
      <c r="AB71" t="str">
        <f t="shared" si="21"/>
        <v/>
      </c>
      <c r="AC71" t="str">
        <f t="shared" si="22"/>
        <v/>
      </c>
      <c r="AD71" t="str">
        <f t="shared" si="23"/>
        <v/>
      </c>
    </row>
    <row r="72" spans="1:30" thickBot="1" x14ac:dyDescent="0.3">
      <c r="A72" t="s">
        <v>9</v>
      </c>
      <c r="N72" t="str">
        <f t="shared" si="36"/>
        <v>2XL</v>
      </c>
      <c r="O72">
        <f t="shared" si="33"/>
        <v>0</v>
      </c>
      <c r="P72">
        <f t="shared" si="34"/>
        <v>0</v>
      </c>
      <c r="Q72">
        <f t="shared" si="35"/>
        <v>0</v>
      </c>
      <c r="R72" s="91" t="str">
        <f t="shared" si="37"/>
        <v/>
      </c>
      <c r="S72" s="91" t="str">
        <f t="shared" si="38"/>
        <v/>
      </c>
      <c r="T72" s="91" t="str">
        <f t="shared" si="39"/>
        <v/>
      </c>
      <c r="X72" t="str">
        <f t="shared" ref="X72:X135" si="40">IF(R72="","",",")</f>
        <v/>
      </c>
      <c r="Y72" t="str">
        <f t="shared" ref="Y72:Y135" si="41">IF(S72="","",",")</f>
        <v/>
      </c>
      <c r="Z72" t="str">
        <f t="shared" ref="Z72:Z135" si="42">IF(T72="","",",")</f>
        <v/>
      </c>
      <c r="AA72" t="str">
        <f t="shared" ref="AA72:AA135" si="43">IF(U72="","",",")</f>
        <v/>
      </c>
      <c r="AB72" t="str">
        <f t="shared" ref="AB72:AB135" si="44">IF(V72="","",",")</f>
        <v/>
      </c>
      <c r="AC72" t="str">
        <f t="shared" ref="AC72:AC135" si="45">IF(W72="","",",")</f>
        <v/>
      </c>
      <c r="AD72" t="str">
        <f t="shared" ref="AD72:AD135" si="46">IF(X72="","",",")</f>
        <v/>
      </c>
    </row>
    <row r="73" spans="1:30" thickBot="1" x14ac:dyDescent="0.3">
      <c r="A73" t="s">
        <v>11</v>
      </c>
      <c r="N73" t="str">
        <f t="shared" si="36"/>
        <v>3XL</v>
      </c>
      <c r="O73">
        <f t="shared" si="33"/>
        <v>0</v>
      </c>
      <c r="P73">
        <f t="shared" si="34"/>
        <v>0</v>
      </c>
      <c r="Q73">
        <f t="shared" si="35"/>
        <v>0</v>
      </c>
      <c r="R73" s="91" t="str">
        <f t="shared" si="37"/>
        <v/>
      </c>
      <c r="S73" s="91" t="str">
        <f t="shared" si="38"/>
        <v/>
      </c>
      <c r="T73" s="91" t="str">
        <f t="shared" si="39"/>
        <v/>
      </c>
      <c r="X73" t="str">
        <f t="shared" si="40"/>
        <v/>
      </c>
      <c r="Y73" t="str">
        <f t="shared" si="41"/>
        <v/>
      </c>
      <c r="Z73" t="str">
        <f t="shared" si="42"/>
        <v/>
      </c>
      <c r="AA73" t="str">
        <f t="shared" si="43"/>
        <v/>
      </c>
      <c r="AB73" t="str">
        <f t="shared" si="44"/>
        <v/>
      </c>
      <c r="AC73" t="str">
        <f t="shared" si="45"/>
        <v/>
      </c>
      <c r="AD73" t="str">
        <f t="shared" si="46"/>
        <v/>
      </c>
    </row>
    <row r="74" spans="1:30" thickBot="1" x14ac:dyDescent="0.3">
      <c r="A74" t="s">
        <v>12</v>
      </c>
      <c r="N74" t="str">
        <f t="shared" si="36"/>
        <v>4XL</v>
      </c>
      <c r="O74">
        <f t="shared" si="33"/>
        <v>0</v>
      </c>
      <c r="P74">
        <f t="shared" si="34"/>
        <v>0</v>
      </c>
      <c r="Q74">
        <f t="shared" si="35"/>
        <v>0</v>
      </c>
      <c r="R74" s="91" t="str">
        <f t="shared" si="37"/>
        <v/>
      </c>
      <c r="S74" s="91" t="str">
        <f t="shared" si="38"/>
        <v/>
      </c>
      <c r="T74" s="91" t="str">
        <f t="shared" si="39"/>
        <v/>
      </c>
      <c r="X74" t="str">
        <f t="shared" si="40"/>
        <v/>
      </c>
      <c r="Y74" t="str">
        <f t="shared" si="41"/>
        <v/>
      </c>
      <c r="Z74" t="str">
        <f t="shared" si="42"/>
        <v/>
      </c>
      <c r="AA74" t="str">
        <f t="shared" si="43"/>
        <v/>
      </c>
      <c r="AB74" t="str">
        <f t="shared" si="44"/>
        <v/>
      </c>
      <c r="AC74" t="str">
        <f t="shared" si="45"/>
        <v/>
      </c>
      <c r="AD74" t="str">
        <f t="shared" si="46"/>
        <v/>
      </c>
    </row>
    <row r="75" spans="1:30" thickBot="1" x14ac:dyDescent="0.3">
      <c r="A75" t="s">
        <v>70</v>
      </c>
      <c r="N75" t="str">
        <f t="shared" si="36"/>
        <v>Promo.</v>
      </c>
      <c r="O75">
        <f t="shared" si="33"/>
        <v>0</v>
      </c>
      <c r="P75">
        <f t="shared" si="34"/>
        <v>0</v>
      </c>
      <c r="Q75">
        <f t="shared" si="35"/>
        <v>0</v>
      </c>
      <c r="R75" s="91" t="str">
        <f t="shared" si="37"/>
        <v/>
      </c>
      <c r="S75" s="91" t="str">
        <f t="shared" si="38"/>
        <v/>
      </c>
      <c r="T75" s="91" t="str">
        <f t="shared" si="39"/>
        <v/>
      </c>
      <c r="X75" t="str">
        <f t="shared" si="40"/>
        <v/>
      </c>
      <c r="Y75" t="str">
        <f t="shared" si="41"/>
        <v/>
      </c>
      <c r="Z75" t="str">
        <f t="shared" si="42"/>
        <v/>
      </c>
      <c r="AA75" t="str">
        <f t="shared" si="43"/>
        <v/>
      </c>
      <c r="AB75" t="str">
        <f t="shared" si="44"/>
        <v/>
      </c>
      <c r="AC75" t="str">
        <f t="shared" si="45"/>
        <v/>
      </c>
      <c r="AD75" t="str">
        <f t="shared" si="46"/>
        <v/>
      </c>
    </row>
    <row r="76" spans="1:30" thickBot="1" x14ac:dyDescent="0.3">
      <c r="A76" t="s">
        <v>18</v>
      </c>
      <c r="N76" t="str">
        <f t="shared" si="36"/>
        <v>DESCRIPTION</v>
      </c>
      <c r="O76">
        <f t="shared" si="33"/>
        <v>0</v>
      </c>
      <c r="P76">
        <f t="shared" si="34"/>
        <v>0</v>
      </c>
      <c r="Q76">
        <f t="shared" si="35"/>
        <v>0</v>
      </c>
      <c r="X76" t="str">
        <f t="shared" si="40"/>
        <v/>
      </c>
      <c r="Y76" t="str">
        <f t="shared" si="41"/>
        <v/>
      </c>
      <c r="Z76" t="str">
        <f t="shared" si="42"/>
        <v/>
      </c>
      <c r="AA76" t="str">
        <f t="shared" si="43"/>
        <v/>
      </c>
      <c r="AB76" t="str">
        <f t="shared" si="44"/>
        <v/>
      </c>
      <c r="AC76" t="str">
        <f t="shared" si="45"/>
        <v/>
      </c>
      <c r="AD76" t="str">
        <f t="shared" si="46"/>
        <v/>
      </c>
    </row>
    <row r="77" spans="1:30" thickBot="1" x14ac:dyDescent="0.3">
      <c r="N77">
        <f t="shared" si="36"/>
        <v>0</v>
      </c>
      <c r="O77">
        <f t="shared" si="33"/>
        <v>0</v>
      </c>
      <c r="P77">
        <f t="shared" si="34"/>
        <v>0</v>
      </c>
      <c r="Q77">
        <f t="shared" si="35"/>
        <v>0</v>
      </c>
      <c r="X77" t="str">
        <f t="shared" si="40"/>
        <v/>
      </c>
      <c r="Y77" t="str">
        <f t="shared" si="41"/>
        <v/>
      </c>
      <c r="Z77" t="str">
        <f t="shared" si="42"/>
        <v/>
      </c>
      <c r="AA77" t="str">
        <f t="shared" si="43"/>
        <v/>
      </c>
      <c r="AB77" t="str">
        <f t="shared" si="44"/>
        <v/>
      </c>
      <c r="AC77" t="str">
        <f t="shared" si="45"/>
        <v/>
      </c>
      <c r="AD77" t="str">
        <f t="shared" si="46"/>
        <v/>
      </c>
    </row>
    <row r="78" spans="1:30" thickBot="1" x14ac:dyDescent="0.3">
      <c r="N78">
        <f t="shared" si="36"/>
        <v>0</v>
      </c>
      <c r="O78">
        <f t="shared" si="33"/>
        <v>0</v>
      </c>
      <c r="P78">
        <f t="shared" si="34"/>
        <v>0</v>
      </c>
      <c r="Q78">
        <f t="shared" si="35"/>
        <v>0</v>
      </c>
      <c r="X78" t="str">
        <f t="shared" si="40"/>
        <v/>
      </c>
      <c r="Y78" t="str">
        <f t="shared" si="41"/>
        <v/>
      </c>
      <c r="Z78" t="str">
        <f t="shared" si="42"/>
        <v/>
      </c>
      <c r="AA78" t="str">
        <f t="shared" si="43"/>
        <v/>
      </c>
      <c r="AB78" t="str">
        <f t="shared" si="44"/>
        <v/>
      </c>
      <c r="AC78" t="str">
        <f t="shared" si="45"/>
        <v/>
      </c>
      <c r="AD78" t="str">
        <f t="shared" si="46"/>
        <v/>
      </c>
    </row>
    <row r="79" spans="1:30" thickBot="1" x14ac:dyDescent="0.3">
      <c r="A79" t="s">
        <v>17</v>
      </c>
      <c r="C79">
        <v>45</v>
      </c>
      <c r="N79" t="str">
        <f t="shared" si="36"/>
        <v>TOTAL OF:</v>
      </c>
      <c r="O79">
        <f t="shared" si="33"/>
        <v>0</v>
      </c>
      <c r="P79">
        <f t="shared" si="34"/>
        <v>45</v>
      </c>
      <c r="Q79">
        <f t="shared" si="35"/>
        <v>0</v>
      </c>
      <c r="X79" t="str">
        <f t="shared" si="40"/>
        <v/>
      </c>
      <c r="Y79" t="str">
        <f t="shared" si="41"/>
        <v/>
      </c>
      <c r="Z79" t="str">
        <f t="shared" si="42"/>
        <v/>
      </c>
      <c r="AA79" t="str">
        <f t="shared" si="43"/>
        <v/>
      </c>
      <c r="AB79" t="str">
        <f t="shared" si="44"/>
        <v/>
      </c>
      <c r="AC79" t="str">
        <f t="shared" si="45"/>
        <v/>
      </c>
      <c r="AD79" t="str">
        <f t="shared" si="46"/>
        <v/>
      </c>
    </row>
    <row r="80" spans="1:30" thickBot="1" x14ac:dyDescent="0.3">
      <c r="A80">
        <v>4</v>
      </c>
      <c r="B80" t="s">
        <v>10</v>
      </c>
      <c r="N80">
        <f t="shared" si="36"/>
        <v>4</v>
      </c>
      <c r="O80" t="str">
        <f t="shared" si="33"/>
        <v xml:space="preserve">of </v>
      </c>
      <c r="P80">
        <f t="shared" si="34"/>
        <v>0</v>
      </c>
      <c r="Q80">
        <f t="shared" si="35"/>
        <v>0</v>
      </c>
      <c r="X80" t="str">
        <f t="shared" si="40"/>
        <v/>
      </c>
      <c r="Y80" t="str">
        <f t="shared" si="41"/>
        <v/>
      </c>
      <c r="Z80" t="str">
        <f t="shared" si="42"/>
        <v/>
      </c>
      <c r="AA80" t="str">
        <f t="shared" si="43"/>
        <v/>
      </c>
      <c r="AB80" t="str">
        <f t="shared" si="44"/>
        <v/>
      </c>
      <c r="AC80" t="str">
        <f t="shared" si="45"/>
        <v/>
      </c>
      <c r="AD80" t="str">
        <f t="shared" si="46"/>
        <v/>
      </c>
    </row>
    <row r="81" spans="1:30" thickBot="1" x14ac:dyDescent="0.3">
      <c r="A81" t="s">
        <v>44</v>
      </c>
      <c r="B81" s="308">
        <v>44590</v>
      </c>
      <c r="C81" t="s">
        <v>319</v>
      </c>
      <c r="D81" s="309">
        <v>44590</v>
      </c>
      <c r="N81" t="str">
        <f t="shared" si="36"/>
        <v>ID #</v>
      </c>
      <c r="O81">
        <f t="shared" si="33"/>
        <v>44590</v>
      </c>
      <c r="P81" t="str">
        <f t="shared" si="34"/>
        <v xml:space="preserve">  -  CB  -  </v>
      </c>
      <c r="Q81">
        <f t="shared" si="35"/>
        <v>44590</v>
      </c>
      <c r="X81" t="str">
        <f t="shared" si="40"/>
        <v/>
      </c>
      <c r="Y81" t="str">
        <f t="shared" si="41"/>
        <v/>
      </c>
      <c r="Z81" t="str">
        <f t="shared" si="42"/>
        <v/>
      </c>
      <c r="AA81" t="str">
        <f t="shared" si="43"/>
        <v/>
      </c>
      <c r="AB81" t="str">
        <f t="shared" si="44"/>
        <v/>
      </c>
      <c r="AC81" t="str">
        <f t="shared" si="45"/>
        <v/>
      </c>
      <c r="AD81" t="str">
        <f t="shared" si="46"/>
        <v/>
      </c>
    </row>
    <row r="82" spans="1:30" thickBot="1" x14ac:dyDescent="0.3">
      <c r="A82" t="s">
        <v>15</v>
      </c>
      <c r="C82" t="s">
        <v>315</v>
      </c>
      <c r="N82" t="str">
        <f t="shared" si="36"/>
        <v>Client:</v>
      </c>
      <c r="O82">
        <f t="shared" si="33"/>
        <v>0</v>
      </c>
      <c r="P82" t="str">
        <f t="shared" si="34"/>
        <v>BDA 2022/296/3/795</v>
      </c>
      <c r="Q82">
        <f t="shared" si="35"/>
        <v>0</v>
      </c>
      <c r="X82" t="str">
        <f t="shared" si="40"/>
        <v/>
      </c>
      <c r="Y82" t="str">
        <f t="shared" si="41"/>
        <v/>
      </c>
      <c r="Z82" t="str">
        <f t="shared" si="42"/>
        <v/>
      </c>
      <c r="AA82" t="str">
        <f t="shared" si="43"/>
        <v/>
      </c>
      <c r="AB82" t="str">
        <f t="shared" si="44"/>
        <v/>
      </c>
      <c r="AC82" t="str">
        <f t="shared" si="45"/>
        <v/>
      </c>
      <c r="AD82" t="str">
        <f t="shared" si="46"/>
        <v/>
      </c>
    </row>
    <row r="83" spans="1:30" thickBot="1" x14ac:dyDescent="0.3">
      <c r="A83" t="s">
        <v>311</v>
      </c>
      <c r="D83" s="140"/>
      <c r="N83" t="str">
        <f t="shared" si="36"/>
        <v>INV #</v>
      </c>
      <c r="O83">
        <f t="shared" si="33"/>
        <v>0</v>
      </c>
      <c r="P83">
        <f t="shared" si="34"/>
        <v>0</v>
      </c>
      <c r="Q83">
        <f t="shared" si="35"/>
        <v>0</v>
      </c>
      <c r="X83" t="str">
        <f t="shared" si="40"/>
        <v/>
      </c>
      <c r="Y83" t="str">
        <f t="shared" si="41"/>
        <v/>
      </c>
      <c r="Z83" t="str">
        <f t="shared" si="42"/>
        <v/>
      </c>
      <c r="AA83" t="str">
        <f t="shared" si="43"/>
        <v/>
      </c>
      <c r="AB83" t="str">
        <f t="shared" si="44"/>
        <v/>
      </c>
      <c r="AC83" t="str">
        <f t="shared" si="45"/>
        <v/>
      </c>
      <c r="AD83" t="str">
        <f t="shared" si="46"/>
        <v/>
      </c>
    </row>
    <row r="84" spans="1:30" thickBot="1" x14ac:dyDescent="0.3">
      <c r="A84" t="s">
        <v>318</v>
      </c>
      <c r="N84" t="str">
        <f t="shared" si="36"/>
        <v>-1</v>
      </c>
      <c r="O84">
        <f t="shared" si="33"/>
        <v>0</v>
      </c>
      <c r="P84">
        <f t="shared" si="34"/>
        <v>0</v>
      </c>
      <c r="Q84">
        <f t="shared" si="35"/>
        <v>0</v>
      </c>
      <c r="X84" t="str">
        <f t="shared" si="40"/>
        <v/>
      </c>
      <c r="Y84" t="str">
        <f t="shared" si="41"/>
        <v/>
      </c>
      <c r="Z84" t="str">
        <f t="shared" si="42"/>
        <v/>
      </c>
      <c r="AA84" t="str">
        <f t="shared" si="43"/>
        <v/>
      </c>
      <c r="AB84" t="str">
        <f t="shared" si="44"/>
        <v/>
      </c>
      <c r="AC84" t="str">
        <f t="shared" si="45"/>
        <v/>
      </c>
      <c r="AD84" t="str">
        <f t="shared" si="46"/>
        <v/>
      </c>
    </row>
    <row r="85" spans="1:30" thickBot="1" x14ac:dyDescent="0.3">
      <c r="N85">
        <f t="shared" si="36"/>
        <v>0</v>
      </c>
      <c r="O85">
        <f t="shared" si="33"/>
        <v>0</v>
      </c>
      <c r="P85">
        <f t="shared" si="34"/>
        <v>0</v>
      </c>
      <c r="Q85">
        <f t="shared" si="35"/>
        <v>0</v>
      </c>
      <c r="X85" t="str">
        <f t="shared" si="40"/>
        <v/>
      </c>
      <c r="Y85" t="str">
        <f t="shared" si="41"/>
        <v/>
      </c>
      <c r="Z85" t="str">
        <f t="shared" si="42"/>
        <v/>
      </c>
      <c r="AA85" t="str">
        <f t="shared" si="43"/>
        <v/>
      </c>
      <c r="AB85" t="str">
        <f t="shared" si="44"/>
        <v/>
      </c>
      <c r="AC85" t="str">
        <f t="shared" si="45"/>
        <v/>
      </c>
      <c r="AD85" t="str">
        <f t="shared" si="46"/>
        <v/>
      </c>
    </row>
    <row r="86" spans="1:30" thickBot="1" x14ac:dyDescent="0.3">
      <c r="A86" t="s">
        <v>13</v>
      </c>
      <c r="B86" t="s">
        <v>317</v>
      </c>
      <c r="N86" t="str">
        <f t="shared" si="36"/>
        <v>SIZE</v>
      </c>
      <c r="O86" t="str">
        <f t="shared" si="33"/>
        <v>TSHIRTS L/S</v>
      </c>
      <c r="P86">
        <f t="shared" si="34"/>
        <v>0</v>
      </c>
      <c r="Q86">
        <f t="shared" si="35"/>
        <v>0</v>
      </c>
      <c r="X86" t="str">
        <f t="shared" si="40"/>
        <v/>
      </c>
      <c r="Y86" t="str">
        <f t="shared" si="41"/>
        <v/>
      </c>
      <c r="Z86" t="str">
        <f t="shared" si="42"/>
        <v/>
      </c>
      <c r="AA86" t="str">
        <f t="shared" si="43"/>
        <v/>
      </c>
      <c r="AB86" t="str">
        <f t="shared" si="44"/>
        <v/>
      </c>
      <c r="AC86" t="str">
        <f t="shared" si="45"/>
        <v/>
      </c>
      <c r="AD86" t="str">
        <f t="shared" si="46"/>
        <v/>
      </c>
    </row>
    <row r="87" spans="1:30" thickBot="1" x14ac:dyDescent="0.3">
      <c r="A87" t="s">
        <v>4</v>
      </c>
      <c r="N87" t="str">
        <f t="shared" si="36"/>
        <v>XS</v>
      </c>
      <c r="O87">
        <f t="shared" si="33"/>
        <v>0</v>
      </c>
      <c r="P87">
        <f t="shared" si="34"/>
        <v>0</v>
      </c>
      <c r="Q87">
        <f t="shared" si="35"/>
        <v>0</v>
      </c>
      <c r="V87">
        <v>5</v>
      </c>
      <c r="X87" t="str">
        <f t="shared" si="40"/>
        <v/>
      </c>
      <c r="Y87" t="str">
        <f t="shared" si="41"/>
        <v/>
      </c>
      <c r="Z87" t="str">
        <f t="shared" si="42"/>
        <v/>
      </c>
      <c r="AA87" t="str">
        <f t="shared" si="43"/>
        <v/>
      </c>
      <c r="AB87" t="str">
        <f t="shared" si="44"/>
        <v>,</v>
      </c>
      <c r="AC87" t="str">
        <f t="shared" si="45"/>
        <v/>
      </c>
      <c r="AD87" t="str">
        <f t="shared" si="46"/>
        <v/>
      </c>
    </row>
    <row r="88" spans="1:30" thickBot="1" x14ac:dyDescent="0.3">
      <c r="A88" t="s">
        <v>5</v>
      </c>
      <c r="N88" t="str">
        <f t="shared" si="36"/>
        <v>S</v>
      </c>
      <c r="O88">
        <f t="shared" si="33"/>
        <v>0</v>
      </c>
      <c r="P88">
        <f t="shared" si="34"/>
        <v>0</v>
      </c>
      <c r="Q88">
        <f t="shared" si="35"/>
        <v>0</v>
      </c>
      <c r="R88" s="91" t="str">
        <f t="shared" ref="R88:R95" si="47">IF(O88&gt;0,$N$100,"")</f>
        <v/>
      </c>
      <c r="S88" s="91" t="str">
        <f t="shared" ref="S88:S95" si="48">IF(P88&gt;0,$N$100,"")</f>
        <v/>
      </c>
      <c r="T88" s="91" t="str">
        <f t="shared" ref="T88:T95" si="49">IF(Q88&gt;0,$N$100,"")</f>
        <v/>
      </c>
      <c r="X88" t="str">
        <f t="shared" si="40"/>
        <v/>
      </c>
      <c r="Y88" t="str">
        <f t="shared" si="41"/>
        <v/>
      </c>
      <c r="Z88" t="str">
        <f t="shared" si="42"/>
        <v/>
      </c>
      <c r="AA88" t="str">
        <f t="shared" si="43"/>
        <v/>
      </c>
      <c r="AB88" t="str">
        <f t="shared" si="44"/>
        <v/>
      </c>
      <c r="AC88" t="str">
        <f t="shared" si="45"/>
        <v/>
      </c>
      <c r="AD88" t="str">
        <f t="shared" si="46"/>
        <v/>
      </c>
    </row>
    <row r="89" spans="1:30" thickBot="1" x14ac:dyDescent="0.3">
      <c r="A89" t="s">
        <v>6</v>
      </c>
      <c r="N89" t="str">
        <f t="shared" si="36"/>
        <v>M</v>
      </c>
      <c r="O89">
        <f t="shared" si="33"/>
        <v>0</v>
      </c>
      <c r="P89">
        <f t="shared" si="34"/>
        <v>0</v>
      </c>
      <c r="Q89">
        <f t="shared" si="35"/>
        <v>0</v>
      </c>
      <c r="R89" s="91" t="str">
        <f t="shared" si="47"/>
        <v/>
      </c>
      <c r="S89" s="91" t="str">
        <f t="shared" si="48"/>
        <v/>
      </c>
      <c r="T89" s="91" t="str">
        <f t="shared" si="49"/>
        <v/>
      </c>
      <c r="X89" t="str">
        <f t="shared" si="40"/>
        <v/>
      </c>
      <c r="Y89" t="str">
        <f t="shared" si="41"/>
        <v/>
      </c>
      <c r="Z89" t="str">
        <f t="shared" si="42"/>
        <v/>
      </c>
      <c r="AA89" t="str">
        <f t="shared" si="43"/>
        <v/>
      </c>
      <c r="AB89" t="str">
        <f t="shared" si="44"/>
        <v/>
      </c>
      <c r="AC89" t="str">
        <f t="shared" si="45"/>
        <v/>
      </c>
      <c r="AD89" t="str">
        <f t="shared" si="46"/>
        <v/>
      </c>
    </row>
    <row r="90" spans="1:30" thickBot="1" x14ac:dyDescent="0.3">
      <c r="A90" t="s">
        <v>7</v>
      </c>
      <c r="B90">
        <v>45</v>
      </c>
      <c r="N90" t="str">
        <f t="shared" si="36"/>
        <v>L</v>
      </c>
      <c r="O90">
        <f t="shared" si="33"/>
        <v>45</v>
      </c>
      <c r="P90">
        <f t="shared" si="34"/>
        <v>0</v>
      </c>
      <c r="Q90">
        <f t="shared" si="35"/>
        <v>0</v>
      </c>
      <c r="R90" s="91">
        <f t="shared" si="47"/>
        <v>5</v>
      </c>
      <c r="S90" s="91" t="str">
        <f t="shared" si="48"/>
        <v/>
      </c>
      <c r="T90" s="91" t="str">
        <f t="shared" si="49"/>
        <v/>
      </c>
      <c r="X90" t="str">
        <f t="shared" si="40"/>
        <v>,</v>
      </c>
      <c r="Y90" t="str">
        <f t="shared" si="41"/>
        <v/>
      </c>
      <c r="Z90" t="str">
        <f t="shared" si="42"/>
        <v/>
      </c>
      <c r="AA90" t="str">
        <f t="shared" si="43"/>
        <v/>
      </c>
      <c r="AB90" t="str">
        <f t="shared" si="44"/>
        <v/>
      </c>
      <c r="AC90" t="str">
        <f t="shared" si="45"/>
        <v/>
      </c>
      <c r="AD90" t="str">
        <f t="shared" si="46"/>
        <v>,</v>
      </c>
    </row>
    <row r="91" spans="1:30" thickBot="1" x14ac:dyDescent="0.3">
      <c r="A91" t="s">
        <v>8</v>
      </c>
      <c r="N91" t="str">
        <f t="shared" si="36"/>
        <v>XL</v>
      </c>
      <c r="O91">
        <f t="shared" si="33"/>
        <v>0</v>
      </c>
      <c r="P91">
        <f t="shared" si="34"/>
        <v>0</v>
      </c>
      <c r="Q91">
        <f t="shared" si="35"/>
        <v>0</v>
      </c>
      <c r="R91" s="91" t="str">
        <f t="shared" si="47"/>
        <v/>
      </c>
      <c r="S91" s="91" t="str">
        <f t="shared" si="48"/>
        <v/>
      </c>
      <c r="T91" s="91" t="str">
        <f t="shared" si="49"/>
        <v/>
      </c>
      <c r="X91" t="str">
        <f t="shared" si="40"/>
        <v/>
      </c>
      <c r="Y91" t="str">
        <f t="shared" si="41"/>
        <v/>
      </c>
      <c r="Z91" t="str">
        <f t="shared" si="42"/>
        <v/>
      </c>
      <c r="AA91" t="str">
        <f t="shared" si="43"/>
        <v/>
      </c>
      <c r="AB91" t="str">
        <f t="shared" si="44"/>
        <v/>
      </c>
      <c r="AC91" t="str">
        <f t="shared" si="45"/>
        <v/>
      </c>
      <c r="AD91" t="str">
        <f t="shared" si="46"/>
        <v/>
      </c>
    </row>
    <row r="92" spans="1:30" thickBot="1" x14ac:dyDescent="0.3">
      <c r="A92" t="s">
        <v>9</v>
      </c>
      <c r="N92" t="str">
        <f t="shared" si="36"/>
        <v>2XL</v>
      </c>
      <c r="O92">
        <f t="shared" si="33"/>
        <v>0</v>
      </c>
      <c r="P92">
        <f t="shared" si="34"/>
        <v>0</v>
      </c>
      <c r="Q92">
        <f t="shared" si="35"/>
        <v>0</v>
      </c>
      <c r="R92" s="91" t="str">
        <f t="shared" si="47"/>
        <v/>
      </c>
      <c r="S92" s="91" t="str">
        <f t="shared" si="48"/>
        <v/>
      </c>
      <c r="T92" s="91" t="str">
        <f t="shared" si="49"/>
        <v/>
      </c>
      <c r="X92" t="str">
        <f t="shared" si="40"/>
        <v/>
      </c>
      <c r="Y92" t="str">
        <f t="shared" si="41"/>
        <v/>
      </c>
      <c r="Z92" t="str">
        <f t="shared" si="42"/>
        <v/>
      </c>
      <c r="AA92" t="str">
        <f t="shared" si="43"/>
        <v/>
      </c>
      <c r="AB92" t="str">
        <f t="shared" si="44"/>
        <v/>
      </c>
      <c r="AC92" t="str">
        <f t="shared" si="45"/>
        <v/>
      </c>
      <c r="AD92" t="str">
        <f t="shared" si="46"/>
        <v/>
      </c>
    </row>
    <row r="93" spans="1:30" thickBot="1" x14ac:dyDescent="0.3">
      <c r="A93" t="s">
        <v>11</v>
      </c>
      <c r="N93" t="str">
        <f t="shared" si="36"/>
        <v>3XL</v>
      </c>
      <c r="O93">
        <f t="shared" si="33"/>
        <v>0</v>
      </c>
      <c r="P93">
        <f t="shared" si="34"/>
        <v>0</v>
      </c>
      <c r="Q93">
        <f t="shared" si="35"/>
        <v>0</v>
      </c>
      <c r="R93" s="91" t="str">
        <f t="shared" si="47"/>
        <v/>
      </c>
      <c r="S93" s="91" t="str">
        <f t="shared" si="48"/>
        <v/>
      </c>
      <c r="T93" s="91" t="str">
        <f t="shared" si="49"/>
        <v/>
      </c>
      <c r="X93" t="str">
        <f t="shared" si="40"/>
        <v/>
      </c>
      <c r="Y93" t="str">
        <f t="shared" si="41"/>
        <v/>
      </c>
      <c r="Z93" t="str">
        <f t="shared" si="42"/>
        <v/>
      </c>
      <c r="AA93" t="str">
        <f t="shared" si="43"/>
        <v/>
      </c>
      <c r="AB93" t="str">
        <f t="shared" si="44"/>
        <v/>
      </c>
      <c r="AC93" t="str">
        <f t="shared" si="45"/>
        <v/>
      </c>
      <c r="AD93" t="str">
        <f t="shared" si="46"/>
        <v/>
      </c>
    </row>
    <row r="94" spans="1:30" thickBot="1" x14ac:dyDescent="0.3">
      <c r="A94" t="s">
        <v>12</v>
      </c>
      <c r="N94" t="str">
        <f t="shared" si="36"/>
        <v>4XL</v>
      </c>
      <c r="O94">
        <f t="shared" si="33"/>
        <v>0</v>
      </c>
      <c r="P94">
        <f t="shared" si="34"/>
        <v>0</v>
      </c>
      <c r="Q94">
        <f t="shared" si="35"/>
        <v>0</v>
      </c>
      <c r="R94" s="91" t="str">
        <f t="shared" si="47"/>
        <v/>
      </c>
      <c r="S94" s="91" t="str">
        <f t="shared" si="48"/>
        <v/>
      </c>
      <c r="T94" s="91" t="str">
        <f t="shared" si="49"/>
        <v/>
      </c>
      <c r="X94" t="str">
        <f t="shared" si="40"/>
        <v/>
      </c>
      <c r="Y94" t="str">
        <f t="shared" si="41"/>
        <v/>
      </c>
      <c r="Z94" t="str">
        <f t="shared" si="42"/>
        <v/>
      </c>
      <c r="AA94" t="str">
        <f t="shared" si="43"/>
        <v/>
      </c>
      <c r="AB94" t="str">
        <f t="shared" si="44"/>
        <v/>
      </c>
      <c r="AC94" t="str">
        <f t="shared" si="45"/>
        <v/>
      </c>
      <c r="AD94" t="str">
        <f t="shared" si="46"/>
        <v/>
      </c>
    </row>
    <row r="95" spans="1:30" thickBot="1" x14ac:dyDescent="0.3">
      <c r="A95" t="s">
        <v>70</v>
      </c>
      <c r="N95" t="str">
        <f t="shared" si="36"/>
        <v>Promo.</v>
      </c>
      <c r="O95">
        <f t="shared" si="33"/>
        <v>0</v>
      </c>
      <c r="P95">
        <f t="shared" si="34"/>
        <v>0</v>
      </c>
      <c r="Q95">
        <f t="shared" si="35"/>
        <v>0</v>
      </c>
      <c r="R95" s="91" t="str">
        <f t="shared" si="47"/>
        <v/>
      </c>
      <c r="S95" s="91" t="str">
        <f t="shared" si="48"/>
        <v/>
      </c>
      <c r="T95" s="91" t="str">
        <f t="shared" si="49"/>
        <v/>
      </c>
      <c r="X95" t="str">
        <f t="shared" si="40"/>
        <v/>
      </c>
      <c r="Y95" t="str">
        <f t="shared" si="41"/>
        <v/>
      </c>
      <c r="Z95" t="str">
        <f t="shared" si="42"/>
        <v/>
      </c>
      <c r="AA95" t="str">
        <f t="shared" si="43"/>
        <v/>
      </c>
      <c r="AB95" t="str">
        <f t="shared" si="44"/>
        <v/>
      </c>
      <c r="AC95" t="str">
        <f t="shared" si="45"/>
        <v/>
      </c>
      <c r="AD95" t="str">
        <f t="shared" si="46"/>
        <v/>
      </c>
    </row>
    <row r="96" spans="1:30" thickBot="1" x14ac:dyDescent="0.3">
      <c r="A96" t="s">
        <v>18</v>
      </c>
      <c r="N96" t="str">
        <f t="shared" si="36"/>
        <v>DESCRIPTION</v>
      </c>
      <c r="O96">
        <f t="shared" si="33"/>
        <v>0</v>
      </c>
      <c r="P96">
        <f t="shared" si="34"/>
        <v>0</v>
      </c>
      <c r="Q96">
        <f t="shared" si="35"/>
        <v>0</v>
      </c>
      <c r="X96" t="str">
        <f t="shared" si="40"/>
        <v/>
      </c>
      <c r="Y96" t="str">
        <f t="shared" si="41"/>
        <v/>
      </c>
      <c r="Z96" t="str">
        <f t="shared" si="42"/>
        <v/>
      </c>
      <c r="AA96" t="str">
        <f t="shared" si="43"/>
        <v/>
      </c>
      <c r="AB96" t="str">
        <f t="shared" si="44"/>
        <v/>
      </c>
      <c r="AC96" t="str">
        <f t="shared" si="45"/>
        <v/>
      </c>
      <c r="AD96" t="str">
        <f t="shared" si="46"/>
        <v/>
      </c>
    </row>
    <row r="97" spans="1:30" thickBot="1" x14ac:dyDescent="0.3">
      <c r="N97">
        <f t="shared" si="36"/>
        <v>0</v>
      </c>
      <c r="O97">
        <f t="shared" si="33"/>
        <v>0</v>
      </c>
      <c r="P97">
        <f t="shared" si="34"/>
        <v>0</v>
      </c>
      <c r="Q97">
        <f t="shared" si="35"/>
        <v>0</v>
      </c>
      <c r="X97" t="str">
        <f t="shared" si="40"/>
        <v/>
      </c>
      <c r="Y97" t="str">
        <f t="shared" si="41"/>
        <v/>
      </c>
      <c r="Z97" t="str">
        <f t="shared" si="42"/>
        <v/>
      </c>
      <c r="AA97" t="str">
        <f t="shared" si="43"/>
        <v/>
      </c>
      <c r="AB97" t="str">
        <f t="shared" si="44"/>
        <v/>
      </c>
      <c r="AC97" t="str">
        <f t="shared" si="45"/>
        <v/>
      </c>
      <c r="AD97" t="str">
        <f t="shared" si="46"/>
        <v/>
      </c>
    </row>
    <row r="98" spans="1:30" thickBot="1" x14ac:dyDescent="0.3">
      <c r="N98">
        <f t="shared" si="36"/>
        <v>0</v>
      </c>
      <c r="O98">
        <f t="shared" si="33"/>
        <v>0</v>
      </c>
      <c r="P98">
        <f t="shared" si="34"/>
        <v>0</v>
      </c>
      <c r="Q98">
        <f t="shared" si="35"/>
        <v>0</v>
      </c>
      <c r="X98" t="str">
        <f t="shared" si="40"/>
        <v/>
      </c>
      <c r="Y98" t="str">
        <f t="shared" si="41"/>
        <v/>
      </c>
      <c r="Z98" t="str">
        <f t="shared" si="42"/>
        <v/>
      </c>
      <c r="AA98" t="str">
        <f t="shared" si="43"/>
        <v/>
      </c>
      <c r="AB98" t="str">
        <f t="shared" si="44"/>
        <v/>
      </c>
      <c r="AC98" t="str">
        <f t="shared" si="45"/>
        <v/>
      </c>
      <c r="AD98" t="str">
        <f t="shared" si="46"/>
        <v/>
      </c>
    </row>
    <row r="99" spans="1:30" thickBot="1" x14ac:dyDescent="0.3">
      <c r="A99" t="s">
        <v>17</v>
      </c>
      <c r="C99">
        <v>45</v>
      </c>
      <c r="N99" t="str">
        <f t="shared" si="36"/>
        <v>TOTAL OF:</v>
      </c>
      <c r="O99">
        <f t="shared" si="33"/>
        <v>0</v>
      </c>
      <c r="P99">
        <f t="shared" si="34"/>
        <v>45</v>
      </c>
      <c r="Q99">
        <f t="shared" si="35"/>
        <v>0</v>
      </c>
      <c r="X99" t="str">
        <f t="shared" si="40"/>
        <v/>
      </c>
      <c r="Y99" t="str">
        <f t="shared" si="41"/>
        <v/>
      </c>
      <c r="Z99" t="str">
        <f t="shared" si="42"/>
        <v/>
      </c>
      <c r="AA99" t="str">
        <f t="shared" si="43"/>
        <v/>
      </c>
      <c r="AB99" t="str">
        <f t="shared" si="44"/>
        <v/>
      </c>
      <c r="AC99" t="str">
        <f t="shared" si="45"/>
        <v/>
      </c>
      <c r="AD99" t="str">
        <f t="shared" si="46"/>
        <v/>
      </c>
    </row>
    <row r="100" spans="1:30" thickBot="1" x14ac:dyDescent="0.3">
      <c r="A100">
        <v>5</v>
      </c>
      <c r="B100" t="s">
        <v>10</v>
      </c>
      <c r="N100">
        <f t="shared" si="36"/>
        <v>5</v>
      </c>
      <c r="O100" t="str">
        <f t="shared" si="33"/>
        <v xml:space="preserve">of </v>
      </c>
      <c r="P100">
        <f t="shared" si="34"/>
        <v>0</v>
      </c>
      <c r="Q100">
        <f t="shared" si="35"/>
        <v>0</v>
      </c>
      <c r="X100" t="str">
        <f t="shared" si="40"/>
        <v/>
      </c>
      <c r="Y100" t="str">
        <f t="shared" si="41"/>
        <v/>
      </c>
      <c r="Z100" t="str">
        <f t="shared" si="42"/>
        <v/>
      </c>
      <c r="AA100" t="str">
        <f t="shared" si="43"/>
        <v/>
      </c>
      <c r="AB100" t="str">
        <f t="shared" si="44"/>
        <v/>
      </c>
      <c r="AC100" t="str">
        <f t="shared" si="45"/>
        <v/>
      </c>
      <c r="AD100" t="str">
        <f t="shared" si="46"/>
        <v/>
      </c>
    </row>
    <row r="101" spans="1:30" thickBot="1" x14ac:dyDescent="0.3">
      <c r="A101" t="s">
        <v>44</v>
      </c>
      <c r="B101" s="308">
        <v>44590</v>
      </c>
      <c r="C101" t="s">
        <v>319</v>
      </c>
      <c r="D101" s="309">
        <v>44590</v>
      </c>
      <c r="N101" t="str">
        <f t="shared" si="36"/>
        <v>ID #</v>
      </c>
      <c r="O101">
        <f t="shared" si="33"/>
        <v>44590</v>
      </c>
      <c r="P101" t="str">
        <f t="shared" si="34"/>
        <v xml:space="preserve">  -  CB  -  </v>
      </c>
      <c r="Q101">
        <f t="shared" si="35"/>
        <v>44590</v>
      </c>
      <c r="X101" t="str">
        <f t="shared" si="40"/>
        <v/>
      </c>
      <c r="Y101" t="str">
        <f t="shared" si="41"/>
        <v/>
      </c>
      <c r="Z101" t="str">
        <f t="shared" si="42"/>
        <v/>
      </c>
      <c r="AA101" t="str">
        <f t="shared" si="43"/>
        <v/>
      </c>
      <c r="AB101" t="str">
        <f t="shared" si="44"/>
        <v/>
      </c>
      <c r="AC101" t="str">
        <f t="shared" si="45"/>
        <v/>
      </c>
      <c r="AD101" t="str">
        <f t="shared" si="46"/>
        <v/>
      </c>
    </row>
    <row r="102" spans="1:30" thickBot="1" x14ac:dyDescent="0.3">
      <c r="A102" t="s">
        <v>15</v>
      </c>
      <c r="C102" t="s">
        <v>315</v>
      </c>
      <c r="N102" t="str">
        <f t="shared" si="36"/>
        <v>Client:</v>
      </c>
      <c r="O102">
        <f t="shared" si="33"/>
        <v>0</v>
      </c>
      <c r="P102" t="str">
        <f t="shared" si="34"/>
        <v>BDA 2022/296/3/795</v>
      </c>
      <c r="Q102">
        <f t="shared" si="35"/>
        <v>0</v>
      </c>
      <c r="X102" t="str">
        <f t="shared" si="40"/>
        <v/>
      </c>
      <c r="Y102" t="str">
        <f t="shared" si="41"/>
        <v/>
      </c>
      <c r="Z102" t="str">
        <f t="shared" si="42"/>
        <v/>
      </c>
      <c r="AA102" t="str">
        <f t="shared" si="43"/>
        <v/>
      </c>
      <c r="AB102" t="str">
        <f t="shared" si="44"/>
        <v/>
      </c>
      <c r="AC102" t="str">
        <f t="shared" si="45"/>
        <v/>
      </c>
      <c r="AD102" t="str">
        <f t="shared" si="46"/>
        <v/>
      </c>
    </row>
    <row r="103" spans="1:30" thickBot="1" x14ac:dyDescent="0.3">
      <c r="A103" t="s">
        <v>311</v>
      </c>
      <c r="D103" s="140"/>
      <c r="N103" t="str">
        <f t="shared" si="36"/>
        <v>INV #</v>
      </c>
      <c r="O103">
        <f t="shared" si="33"/>
        <v>0</v>
      </c>
      <c r="P103">
        <f t="shared" si="34"/>
        <v>0</v>
      </c>
      <c r="Q103">
        <f t="shared" si="35"/>
        <v>0</v>
      </c>
      <c r="X103" t="str">
        <f t="shared" si="40"/>
        <v/>
      </c>
      <c r="Y103" t="str">
        <f t="shared" si="41"/>
        <v/>
      </c>
      <c r="Z103" t="str">
        <f t="shared" si="42"/>
        <v/>
      </c>
      <c r="AA103" t="str">
        <f t="shared" si="43"/>
        <v/>
      </c>
      <c r="AB103" t="str">
        <f t="shared" si="44"/>
        <v/>
      </c>
      <c r="AC103" t="str">
        <f t="shared" si="45"/>
        <v/>
      </c>
      <c r="AD103" t="str">
        <f t="shared" si="46"/>
        <v/>
      </c>
    </row>
    <row r="104" spans="1:30" thickBot="1" x14ac:dyDescent="0.3">
      <c r="A104" t="s">
        <v>318</v>
      </c>
      <c r="N104" t="str">
        <f t="shared" si="36"/>
        <v>-1</v>
      </c>
      <c r="O104">
        <f t="shared" si="33"/>
        <v>0</v>
      </c>
      <c r="P104">
        <f t="shared" si="34"/>
        <v>0</v>
      </c>
      <c r="Q104">
        <f t="shared" si="35"/>
        <v>0</v>
      </c>
      <c r="X104" t="str">
        <f t="shared" si="40"/>
        <v/>
      </c>
      <c r="Y104" t="str">
        <f t="shared" si="41"/>
        <v/>
      </c>
      <c r="Z104" t="str">
        <f t="shared" si="42"/>
        <v/>
      </c>
      <c r="AA104" t="str">
        <f t="shared" si="43"/>
        <v/>
      </c>
      <c r="AB104" t="str">
        <f t="shared" si="44"/>
        <v/>
      </c>
      <c r="AC104" t="str">
        <f t="shared" si="45"/>
        <v/>
      </c>
      <c r="AD104" t="str">
        <f t="shared" si="46"/>
        <v/>
      </c>
    </row>
    <row r="105" spans="1:30" thickBot="1" x14ac:dyDescent="0.3">
      <c r="N105">
        <f t="shared" si="36"/>
        <v>0</v>
      </c>
      <c r="O105">
        <f t="shared" si="33"/>
        <v>0</v>
      </c>
      <c r="P105">
        <f t="shared" si="34"/>
        <v>0</v>
      </c>
      <c r="Q105">
        <f t="shared" si="35"/>
        <v>0</v>
      </c>
      <c r="X105" t="str">
        <f t="shared" si="40"/>
        <v/>
      </c>
      <c r="Y105" t="str">
        <f t="shared" si="41"/>
        <v/>
      </c>
      <c r="Z105" t="str">
        <f t="shared" si="42"/>
        <v/>
      </c>
      <c r="AA105" t="str">
        <f t="shared" si="43"/>
        <v/>
      </c>
      <c r="AB105" t="str">
        <f t="shared" si="44"/>
        <v/>
      </c>
      <c r="AC105" t="str">
        <f t="shared" si="45"/>
        <v/>
      </c>
      <c r="AD105" t="str">
        <f t="shared" si="46"/>
        <v/>
      </c>
    </row>
    <row r="106" spans="1:30" thickBot="1" x14ac:dyDescent="0.3">
      <c r="A106" t="s">
        <v>13</v>
      </c>
      <c r="B106" t="s">
        <v>317</v>
      </c>
      <c r="N106" t="str">
        <f t="shared" si="36"/>
        <v>SIZE</v>
      </c>
      <c r="O106" t="str">
        <f t="shared" si="33"/>
        <v>TSHIRTS L/S</v>
      </c>
      <c r="P106">
        <f t="shared" si="34"/>
        <v>0</v>
      </c>
      <c r="Q106">
        <f t="shared" si="35"/>
        <v>0</v>
      </c>
      <c r="X106" t="str">
        <f t="shared" si="40"/>
        <v/>
      </c>
      <c r="Y106" t="str">
        <f t="shared" si="41"/>
        <v/>
      </c>
      <c r="Z106" t="str">
        <f t="shared" si="42"/>
        <v/>
      </c>
      <c r="AA106" t="str">
        <f t="shared" si="43"/>
        <v/>
      </c>
      <c r="AB106" t="str">
        <f t="shared" si="44"/>
        <v/>
      </c>
      <c r="AC106" t="str">
        <f t="shared" si="45"/>
        <v/>
      </c>
      <c r="AD106" t="str">
        <f t="shared" si="46"/>
        <v/>
      </c>
    </row>
    <row r="107" spans="1:30" thickBot="1" x14ac:dyDescent="0.3">
      <c r="A107" t="s">
        <v>4</v>
      </c>
      <c r="N107" t="str">
        <f t="shared" si="36"/>
        <v>XS</v>
      </c>
      <c r="O107">
        <f t="shared" si="33"/>
        <v>0</v>
      </c>
      <c r="P107">
        <f t="shared" si="34"/>
        <v>0</v>
      </c>
      <c r="Q107">
        <f t="shared" si="35"/>
        <v>0</v>
      </c>
      <c r="V107">
        <v>6</v>
      </c>
      <c r="X107" t="str">
        <f t="shared" si="40"/>
        <v/>
      </c>
      <c r="Y107" t="str">
        <f t="shared" si="41"/>
        <v/>
      </c>
      <c r="Z107" t="str">
        <f t="shared" si="42"/>
        <v/>
      </c>
      <c r="AA107" t="str">
        <f t="shared" si="43"/>
        <v/>
      </c>
      <c r="AB107" t="str">
        <f t="shared" si="44"/>
        <v>,</v>
      </c>
      <c r="AC107" t="str">
        <f t="shared" si="45"/>
        <v/>
      </c>
      <c r="AD107" t="str">
        <f t="shared" si="46"/>
        <v/>
      </c>
    </row>
    <row r="108" spans="1:30" thickBot="1" x14ac:dyDescent="0.3">
      <c r="A108" t="s">
        <v>5</v>
      </c>
      <c r="N108" t="str">
        <f t="shared" si="36"/>
        <v>S</v>
      </c>
      <c r="O108">
        <f t="shared" si="33"/>
        <v>0</v>
      </c>
      <c r="P108">
        <f t="shared" si="34"/>
        <v>0</v>
      </c>
      <c r="Q108">
        <f t="shared" si="35"/>
        <v>0</v>
      </c>
      <c r="R108" s="91" t="str">
        <f t="shared" ref="R108:R115" si="50">IF(O108&gt;0,$N$120,"")</f>
        <v/>
      </c>
      <c r="S108" s="91" t="str">
        <f t="shared" ref="S108:S115" si="51">IF(P108&gt;0,$N$120,"")</f>
        <v/>
      </c>
      <c r="T108" s="91" t="str">
        <f t="shared" ref="T108:T115" si="52">IF(Q108&gt;0,$N$120,"")</f>
        <v/>
      </c>
      <c r="X108" t="str">
        <f t="shared" si="40"/>
        <v/>
      </c>
      <c r="Y108" t="str">
        <f t="shared" si="41"/>
        <v/>
      </c>
      <c r="Z108" t="str">
        <f t="shared" si="42"/>
        <v/>
      </c>
      <c r="AA108" t="str">
        <f t="shared" si="43"/>
        <v/>
      </c>
      <c r="AB108" t="str">
        <f t="shared" si="44"/>
        <v/>
      </c>
      <c r="AC108" t="str">
        <f t="shared" si="45"/>
        <v/>
      </c>
      <c r="AD108" t="str">
        <f t="shared" si="46"/>
        <v/>
      </c>
    </row>
    <row r="109" spans="1:30" thickBot="1" x14ac:dyDescent="0.3">
      <c r="A109" t="s">
        <v>6</v>
      </c>
      <c r="B109">
        <v>48</v>
      </c>
      <c r="N109" t="str">
        <f t="shared" si="36"/>
        <v>M</v>
      </c>
      <c r="O109">
        <f t="shared" si="33"/>
        <v>48</v>
      </c>
      <c r="P109">
        <f t="shared" si="34"/>
        <v>0</v>
      </c>
      <c r="Q109">
        <f t="shared" si="35"/>
        <v>0</v>
      </c>
      <c r="R109" s="91">
        <f t="shared" si="50"/>
        <v>6</v>
      </c>
      <c r="S109" s="91" t="str">
        <f t="shared" si="51"/>
        <v/>
      </c>
      <c r="T109" s="91" t="str">
        <f t="shared" si="52"/>
        <v/>
      </c>
      <c r="X109" t="str">
        <f t="shared" si="40"/>
        <v>,</v>
      </c>
      <c r="Y109" t="str">
        <f t="shared" si="41"/>
        <v/>
      </c>
      <c r="Z109" t="str">
        <f t="shared" si="42"/>
        <v/>
      </c>
      <c r="AA109" t="str">
        <f t="shared" si="43"/>
        <v/>
      </c>
      <c r="AB109" t="str">
        <f t="shared" si="44"/>
        <v/>
      </c>
      <c r="AC109" t="str">
        <f t="shared" si="45"/>
        <v/>
      </c>
      <c r="AD109" t="str">
        <f t="shared" si="46"/>
        <v>,</v>
      </c>
    </row>
    <row r="110" spans="1:30" thickBot="1" x14ac:dyDescent="0.3">
      <c r="A110" t="s">
        <v>7</v>
      </c>
      <c r="B110">
        <v>15</v>
      </c>
      <c r="N110" t="str">
        <f t="shared" si="36"/>
        <v>L</v>
      </c>
      <c r="O110">
        <f t="shared" si="33"/>
        <v>15</v>
      </c>
      <c r="P110">
        <f t="shared" si="34"/>
        <v>0</v>
      </c>
      <c r="Q110">
        <f t="shared" si="35"/>
        <v>0</v>
      </c>
      <c r="R110" s="91">
        <f t="shared" si="50"/>
        <v>6</v>
      </c>
      <c r="S110" s="91" t="str">
        <f t="shared" si="51"/>
        <v/>
      </c>
      <c r="T110" s="91" t="str">
        <f t="shared" si="52"/>
        <v/>
      </c>
      <c r="X110" t="str">
        <f t="shared" si="40"/>
        <v>,</v>
      </c>
      <c r="Y110" t="str">
        <f t="shared" si="41"/>
        <v/>
      </c>
      <c r="Z110" t="str">
        <f t="shared" si="42"/>
        <v/>
      </c>
      <c r="AA110" t="str">
        <f t="shared" si="43"/>
        <v/>
      </c>
      <c r="AB110" t="str">
        <f t="shared" si="44"/>
        <v/>
      </c>
      <c r="AC110" t="str">
        <f t="shared" si="45"/>
        <v/>
      </c>
      <c r="AD110" t="str">
        <f t="shared" si="46"/>
        <v>,</v>
      </c>
    </row>
    <row r="111" spans="1:30" thickBot="1" x14ac:dyDescent="0.3">
      <c r="A111" t="s">
        <v>8</v>
      </c>
      <c r="N111" t="str">
        <f t="shared" si="36"/>
        <v>XL</v>
      </c>
      <c r="O111">
        <f t="shared" si="33"/>
        <v>0</v>
      </c>
      <c r="P111">
        <f t="shared" si="34"/>
        <v>0</v>
      </c>
      <c r="Q111">
        <f t="shared" si="35"/>
        <v>0</v>
      </c>
      <c r="R111" s="91" t="str">
        <f t="shared" si="50"/>
        <v/>
      </c>
      <c r="S111" s="91" t="str">
        <f t="shared" si="51"/>
        <v/>
      </c>
      <c r="T111" s="91" t="str">
        <f t="shared" si="52"/>
        <v/>
      </c>
      <c r="X111" t="str">
        <f t="shared" si="40"/>
        <v/>
      </c>
      <c r="Y111" t="str">
        <f t="shared" si="41"/>
        <v/>
      </c>
      <c r="Z111" t="str">
        <f t="shared" si="42"/>
        <v/>
      </c>
      <c r="AA111" t="str">
        <f t="shared" si="43"/>
        <v/>
      </c>
      <c r="AB111" t="str">
        <f t="shared" si="44"/>
        <v/>
      </c>
      <c r="AC111" t="str">
        <f t="shared" si="45"/>
        <v/>
      </c>
      <c r="AD111" t="str">
        <f t="shared" si="46"/>
        <v/>
      </c>
    </row>
    <row r="112" spans="1:30" thickBot="1" x14ac:dyDescent="0.3">
      <c r="A112" t="s">
        <v>9</v>
      </c>
      <c r="N112" t="str">
        <f t="shared" si="36"/>
        <v>2XL</v>
      </c>
      <c r="O112">
        <f t="shared" si="33"/>
        <v>0</v>
      </c>
      <c r="P112">
        <f t="shared" si="34"/>
        <v>0</v>
      </c>
      <c r="Q112">
        <f t="shared" si="35"/>
        <v>0</v>
      </c>
      <c r="R112" s="91" t="str">
        <f t="shared" si="50"/>
        <v/>
      </c>
      <c r="S112" s="91" t="str">
        <f t="shared" si="51"/>
        <v/>
      </c>
      <c r="T112" s="91" t="str">
        <f t="shared" si="52"/>
        <v/>
      </c>
      <c r="X112" t="str">
        <f t="shared" si="40"/>
        <v/>
      </c>
      <c r="Y112" t="str">
        <f t="shared" si="41"/>
        <v/>
      </c>
      <c r="Z112" t="str">
        <f t="shared" si="42"/>
        <v/>
      </c>
      <c r="AA112" t="str">
        <f t="shared" si="43"/>
        <v/>
      </c>
      <c r="AB112" t="str">
        <f t="shared" si="44"/>
        <v/>
      </c>
      <c r="AC112" t="str">
        <f t="shared" si="45"/>
        <v/>
      </c>
      <c r="AD112" t="str">
        <f t="shared" si="46"/>
        <v/>
      </c>
    </row>
    <row r="113" spans="1:30" thickBot="1" x14ac:dyDescent="0.3">
      <c r="A113" t="s">
        <v>11</v>
      </c>
      <c r="N113" t="str">
        <f t="shared" si="36"/>
        <v>3XL</v>
      </c>
      <c r="O113">
        <f t="shared" si="33"/>
        <v>0</v>
      </c>
      <c r="P113">
        <f t="shared" si="34"/>
        <v>0</v>
      </c>
      <c r="Q113">
        <f t="shared" si="35"/>
        <v>0</v>
      </c>
      <c r="R113" s="91" t="str">
        <f t="shared" si="50"/>
        <v/>
      </c>
      <c r="S113" s="91" t="str">
        <f t="shared" si="51"/>
        <v/>
      </c>
      <c r="T113" s="91" t="str">
        <f t="shared" si="52"/>
        <v/>
      </c>
      <c r="X113" t="str">
        <f t="shared" si="40"/>
        <v/>
      </c>
      <c r="Y113" t="str">
        <f t="shared" si="41"/>
        <v/>
      </c>
      <c r="Z113" t="str">
        <f t="shared" si="42"/>
        <v/>
      </c>
      <c r="AA113" t="str">
        <f t="shared" si="43"/>
        <v/>
      </c>
      <c r="AB113" t="str">
        <f t="shared" si="44"/>
        <v/>
      </c>
      <c r="AC113" t="str">
        <f t="shared" si="45"/>
        <v/>
      </c>
      <c r="AD113" t="str">
        <f t="shared" si="46"/>
        <v/>
      </c>
    </row>
    <row r="114" spans="1:30" thickBot="1" x14ac:dyDescent="0.3">
      <c r="A114" t="s">
        <v>12</v>
      </c>
      <c r="N114" t="str">
        <f t="shared" si="36"/>
        <v>4XL</v>
      </c>
      <c r="O114">
        <f t="shared" si="33"/>
        <v>0</v>
      </c>
      <c r="P114">
        <f t="shared" si="34"/>
        <v>0</v>
      </c>
      <c r="Q114">
        <f t="shared" si="35"/>
        <v>0</v>
      </c>
      <c r="R114" s="91" t="str">
        <f t="shared" si="50"/>
        <v/>
      </c>
      <c r="S114" s="91" t="str">
        <f t="shared" si="51"/>
        <v/>
      </c>
      <c r="T114" s="91" t="str">
        <f t="shared" si="52"/>
        <v/>
      </c>
      <c r="X114" t="str">
        <f t="shared" si="40"/>
        <v/>
      </c>
      <c r="Y114" t="str">
        <f t="shared" si="41"/>
        <v/>
      </c>
      <c r="Z114" t="str">
        <f t="shared" si="42"/>
        <v/>
      </c>
      <c r="AA114" t="str">
        <f t="shared" si="43"/>
        <v/>
      </c>
      <c r="AB114" t="str">
        <f t="shared" si="44"/>
        <v/>
      </c>
      <c r="AC114" t="str">
        <f t="shared" si="45"/>
        <v/>
      </c>
      <c r="AD114" t="str">
        <f t="shared" si="46"/>
        <v/>
      </c>
    </row>
    <row r="115" spans="1:30" thickBot="1" x14ac:dyDescent="0.3">
      <c r="A115" t="s">
        <v>70</v>
      </c>
      <c r="N115" t="str">
        <f t="shared" si="36"/>
        <v>Promo.</v>
      </c>
      <c r="O115">
        <f t="shared" si="33"/>
        <v>0</v>
      </c>
      <c r="P115">
        <f t="shared" si="34"/>
        <v>0</v>
      </c>
      <c r="Q115">
        <f t="shared" si="35"/>
        <v>0</v>
      </c>
      <c r="R115" s="91" t="str">
        <f t="shared" si="50"/>
        <v/>
      </c>
      <c r="S115" s="91" t="str">
        <f t="shared" si="51"/>
        <v/>
      </c>
      <c r="T115" s="91" t="str">
        <f t="shared" si="52"/>
        <v/>
      </c>
      <c r="X115" t="str">
        <f t="shared" si="40"/>
        <v/>
      </c>
      <c r="Y115" t="str">
        <f t="shared" si="41"/>
        <v/>
      </c>
      <c r="Z115" t="str">
        <f t="shared" si="42"/>
        <v/>
      </c>
      <c r="AA115" t="str">
        <f t="shared" si="43"/>
        <v/>
      </c>
      <c r="AB115" t="str">
        <f t="shared" si="44"/>
        <v/>
      </c>
      <c r="AC115" t="str">
        <f t="shared" si="45"/>
        <v/>
      </c>
      <c r="AD115" t="str">
        <f t="shared" si="46"/>
        <v/>
      </c>
    </row>
    <row r="116" spans="1:30" thickBot="1" x14ac:dyDescent="0.3">
      <c r="A116" t="s">
        <v>18</v>
      </c>
      <c r="N116" t="str">
        <f t="shared" si="36"/>
        <v>DESCRIPTION</v>
      </c>
      <c r="O116">
        <f t="shared" si="33"/>
        <v>0</v>
      </c>
      <c r="P116">
        <f t="shared" si="34"/>
        <v>0</v>
      </c>
      <c r="Q116">
        <f t="shared" si="35"/>
        <v>0</v>
      </c>
      <c r="X116" t="str">
        <f t="shared" si="40"/>
        <v/>
      </c>
      <c r="Y116" t="str">
        <f t="shared" si="41"/>
        <v/>
      </c>
      <c r="Z116" t="str">
        <f t="shared" si="42"/>
        <v/>
      </c>
      <c r="AA116" t="str">
        <f t="shared" si="43"/>
        <v/>
      </c>
      <c r="AB116" t="str">
        <f t="shared" si="44"/>
        <v/>
      </c>
      <c r="AC116" t="str">
        <f t="shared" si="45"/>
        <v/>
      </c>
      <c r="AD116" t="str">
        <f t="shared" si="46"/>
        <v/>
      </c>
    </row>
    <row r="117" spans="1:30" thickBot="1" x14ac:dyDescent="0.3">
      <c r="N117">
        <f t="shared" si="36"/>
        <v>0</v>
      </c>
      <c r="O117">
        <f t="shared" si="33"/>
        <v>0</v>
      </c>
      <c r="P117">
        <f t="shared" si="34"/>
        <v>0</v>
      </c>
      <c r="Q117">
        <f t="shared" si="35"/>
        <v>0</v>
      </c>
      <c r="X117" t="str">
        <f t="shared" si="40"/>
        <v/>
      </c>
      <c r="Y117" t="str">
        <f t="shared" si="41"/>
        <v/>
      </c>
      <c r="Z117" t="str">
        <f t="shared" si="42"/>
        <v/>
      </c>
      <c r="AA117" t="str">
        <f t="shared" si="43"/>
        <v/>
      </c>
      <c r="AB117" t="str">
        <f t="shared" si="44"/>
        <v/>
      </c>
      <c r="AC117" t="str">
        <f t="shared" si="45"/>
        <v/>
      </c>
      <c r="AD117" t="str">
        <f t="shared" si="46"/>
        <v/>
      </c>
    </row>
    <row r="118" spans="1:30" thickBot="1" x14ac:dyDescent="0.3">
      <c r="N118">
        <f t="shared" si="36"/>
        <v>0</v>
      </c>
      <c r="O118">
        <f t="shared" si="33"/>
        <v>0</v>
      </c>
      <c r="P118">
        <f t="shared" si="34"/>
        <v>0</v>
      </c>
      <c r="Q118">
        <f t="shared" si="35"/>
        <v>0</v>
      </c>
      <c r="X118" t="str">
        <f t="shared" si="40"/>
        <v/>
      </c>
      <c r="Y118" t="str">
        <f t="shared" si="41"/>
        <v/>
      </c>
      <c r="Z118" t="str">
        <f t="shared" si="42"/>
        <v/>
      </c>
      <c r="AA118" t="str">
        <f t="shared" si="43"/>
        <v/>
      </c>
      <c r="AB118" t="str">
        <f t="shared" si="44"/>
        <v/>
      </c>
      <c r="AC118" t="str">
        <f t="shared" si="45"/>
        <v/>
      </c>
      <c r="AD118" t="str">
        <f t="shared" si="46"/>
        <v/>
      </c>
    </row>
    <row r="119" spans="1:30" thickBot="1" x14ac:dyDescent="0.3">
      <c r="A119" t="s">
        <v>17</v>
      </c>
      <c r="C119">
        <v>63</v>
      </c>
      <c r="N119" t="str">
        <f t="shared" si="36"/>
        <v>TOTAL OF:</v>
      </c>
      <c r="O119">
        <f t="shared" si="33"/>
        <v>0</v>
      </c>
      <c r="P119">
        <f t="shared" si="34"/>
        <v>63</v>
      </c>
      <c r="Q119">
        <f t="shared" si="35"/>
        <v>0</v>
      </c>
      <c r="X119" t="str">
        <f t="shared" si="40"/>
        <v/>
      </c>
      <c r="Y119" t="str">
        <f t="shared" si="41"/>
        <v/>
      </c>
      <c r="Z119" t="str">
        <f t="shared" si="42"/>
        <v/>
      </c>
      <c r="AA119" t="str">
        <f t="shared" si="43"/>
        <v/>
      </c>
      <c r="AB119" t="str">
        <f t="shared" si="44"/>
        <v/>
      </c>
      <c r="AC119" t="str">
        <f t="shared" si="45"/>
        <v/>
      </c>
      <c r="AD119" t="str">
        <f t="shared" si="46"/>
        <v/>
      </c>
    </row>
    <row r="120" spans="1:30" thickBot="1" x14ac:dyDescent="0.3">
      <c r="A120">
        <v>6</v>
      </c>
      <c r="B120" t="s">
        <v>10</v>
      </c>
      <c r="N120">
        <f t="shared" si="36"/>
        <v>6</v>
      </c>
      <c r="O120" t="str">
        <f t="shared" si="33"/>
        <v xml:space="preserve">of </v>
      </c>
      <c r="P120">
        <f t="shared" si="34"/>
        <v>0</v>
      </c>
      <c r="Q120">
        <f t="shared" si="35"/>
        <v>0</v>
      </c>
      <c r="X120" t="str">
        <f t="shared" si="40"/>
        <v/>
      </c>
      <c r="Y120" t="str">
        <f t="shared" si="41"/>
        <v/>
      </c>
      <c r="Z120" t="str">
        <f t="shared" si="42"/>
        <v/>
      </c>
      <c r="AA120" t="str">
        <f t="shared" si="43"/>
        <v/>
      </c>
      <c r="AB120" t="str">
        <f t="shared" si="44"/>
        <v/>
      </c>
      <c r="AC120" t="str">
        <f t="shared" si="45"/>
        <v/>
      </c>
      <c r="AD120" t="str">
        <f t="shared" si="46"/>
        <v/>
      </c>
    </row>
    <row r="121" spans="1:30" thickBot="1" x14ac:dyDescent="0.3">
      <c r="A121" t="s">
        <v>44</v>
      </c>
      <c r="B121" s="308">
        <v>44590</v>
      </c>
      <c r="C121" t="s">
        <v>319</v>
      </c>
      <c r="D121" s="309">
        <v>44590</v>
      </c>
      <c r="N121" t="str">
        <f t="shared" si="36"/>
        <v>ID #</v>
      </c>
      <c r="O121">
        <f t="shared" si="33"/>
        <v>44590</v>
      </c>
      <c r="P121" t="str">
        <f t="shared" si="34"/>
        <v xml:space="preserve">  -  CB  -  </v>
      </c>
      <c r="Q121">
        <f t="shared" si="35"/>
        <v>44590</v>
      </c>
      <c r="X121" t="str">
        <f t="shared" si="40"/>
        <v/>
      </c>
      <c r="Y121" t="str">
        <f t="shared" si="41"/>
        <v/>
      </c>
      <c r="Z121" t="str">
        <f t="shared" si="42"/>
        <v/>
      </c>
      <c r="AA121" t="str">
        <f t="shared" si="43"/>
        <v/>
      </c>
      <c r="AB121" t="str">
        <f t="shared" si="44"/>
        <v/>
      </c>
      <c r="AC121" t="str">
        <f t="shared" si="45"/>
        <v/>
      </c>
      <c r="AD121" t="str">
        <f t="shared" si="46"/>
        <v/>
      </c>
    </row>
    <row r="122" spans="1:30" thickBot="1" x14ac:dyDescent="0.3">
      <c r="N122">
        <f t="shared" si="36"/>
        <v>0</v>
      </c>
      <c r="O122">
        <f t="shared" si="33"/>
        <v>0</v>
      </c>
      <c r="P122">
        <f t="shared" si="34"/>
        <v>0</v>
      </c>
      <c r="Q122">
        <f t="shared" si="35"/>
        <v>0</v>
      </c>
      <c r="X122" t="str">
        <f t="shared" si="40"/>
        <v/>
      </c>
      <c r="Y122" t="str">
        <f t="shared" si="41"/>
        <v/>
      </c>
      <c r="Z122" t="str">
        <f t="shared" si="42"/>
        <v/>
      </c>
      <c r="AA122" t="str">
        <f t="shared" si="43"/>
        <v/>
      </c>
      <c r="AB122" t="str">
        <f t="shared" si="44"/>
        <v/>
      </c>
      <c r="AC122" t="str">
        <f t="shared" si="45"/>
        <v/>
      </c>
      <c r="AD122" t="str">
        <f t="shared" si="46"/>
        <v/>
      </c>
    </row>
    <row r="123" spans="1:30" thickBot="1" x14ac:dyDescent="0.3">
      <c r="N123">
        <f t="shared" si="36"/>
        <v>0</v>
      </c>
      <c r="O123">
        <f t="shared" si="33"/>
        <v>0</v>
      </c>
      <c r="P123">
        <f t="shared" si="34"/>
        <v>0</v>
      </c>
      <c r="Q123">
        <f t="shared" si="35"/>
        <v>0</v>
      </c>
      <c r="X123" t="str">
        <f t="shared" si="40"/>
        <v/>
      </c>
      <c r="Y123" t="str">
        <f t="shared" si="41"/>
        <v/>
      </c>
      <c r="Z123" t="str">
        <f t="shared" si="42"/>
        <v/>
      </c>
      <c r="AA123" t="str">
        <f t="shared" si="43"/>
        <v/>
      </c>
      <c r="AB123" t="str">
        <f t="shared" si="44"/>
        <v/>
      </c>
      <c r="AC123" t="str">
        <f t="shared" si="45"/>
        <v/>
      </c>
      <c r="AD123" t="str">
        <f t="shared" si="46"/>
        <v/>
      </c>
    </row>
    <row r="124" spans="1:30" thickBot="1" x14ac:dyDescent="0.3">
      <c r="N124">
        <f t="shared" si="36"/>
        <v>0</v>
      </c>
      <c r="O124">
        <f t="shared" si="33"/>
        <v>0</v>
      </c>
      <c r="P124">
        <f t="shared" si="34"/>
        <v>0</v>
      </c>
      <c r="Q124">
        <f t="shared" si="35"/>
        <v>0</v>
      </c>
      <c r="X124" t="str">
        <f t="shared" si="40"/>
        <v/>
      </c>
      <c r="Y124" t="str">
        <f t="shared" si="41"/>
        <v/>
      </c>
      <c r="Z124" t="str">
        <f t="shared" si="42"/>
        <v/>
      </c>
      <c r="AA124" t="str">
        <f t="shared" si="43"/>
        <v/>
      </c>
      <c r="AB124" t="str">
        <f t="shared" si="44"/>
        <v/>
      </c>
      <c r="AC124" t="str">
        <f t="shared" si="45"/>
        <v/>
      </c>
      <c r="AD124" t="str">
        <f t="shared" si="46"/>
        <v/>
      </c>
    </row>
    <row r="125" spans="1:30" thickBot="1" x14ac:dyDescent="0.3">
      <c r="N125">
        <f t="shared" si="36"/>
        <v>0</v>
      </c>
      <c r="O125">
        <f t="shared" si="33"/>
        <v>0</v>
      </c>
      <c r="P125">
        <f t="shared" si="34"/>
        <v>0</v>
      </c>
      <c r="Q125">
        <f t="shared" si="35"/>
        <v>0</v>
      </c>
      <c r="X125" t="str">
        <f t="shared" si="40"/>
        <v/>
      </c>
      <c r="Y125" t="str">
        <f t="shared" si="41"/>
        <v/>
      </c>
      <c r="Z125" t="str">
        <f t="shared" si="42"/>
        <v/>
      </c>
      <c r="AA125" t="str">
        <f t="shared" si="43"/>
        <v/>
      </c>
      <c r="AB125" t="str">
        <f t="shared" si="44"/>
        <v/>
      </c>
      <c r="AC125" t="str">
        <f t="shared" si="45"/>
        <v/>
      </c>
      <c r="AD125" t="str">
        <f t="shared" si="46"/>
        <v/>
      </c>
    </row>
    <row r="126" spans="1:30" thickBot="1" x14ac:dyDescent="0.3">
      <c r="N126">
        <f t="shared" si="36"/>
        <v>0</v>
      </c>
      <c r="O126">
        <f t="shared" si="33"/>
        <v>0</v>
      </c>
      <c r="P126">
        <f t="shared" si="34"/>
        <v>0</v>
      </c>
      <c r="Q126">
        <f t="shared" si="35"/>
        <v>0</v>
      </c>
      <c r="X126" t="str">
        <f t="shared" si="40"/>
        <v/>
      </c>
      <c r="Y126" t="str">
        <f t="shared" si="41"/>
        <v/>
      </c>
      <c r="Z126" t="str">
        <f t="shared" si="42"/>
        <v/>
      </c>
      <c r="AA126" t="str">
        <f t="shared" si="43"/>
        <v/>
      </c>
      <c r="AB126" t="str">
        <f t="shared" si="44"/>
        <v/>
      </c>
      <c r="AC126" t="str">
        <f t="shared" si="45"/>
        <v/>
      </c>
      <c r="AD126" t="str">
        <f t="shared" si="46"/>
        <v/>
      </c>
    </row>
    <row r="127" spans="1:30" thickBot="1" x14ac:dyDescent="0.3">
      <c r="N127">
        <f t="shared" si="36"/>
        <v>0</v>
      </c>
      <c r="O127">
        <f t="shared" si="33"/>
        <v>0</v>
      </c>
      <c r="P127">
        <f t="shared" si="34"/>
        <v>0</v>
      </c>
      <c r="Q127">
        <f t="shared" si="35"/>
        <v>0</v>
      </c>
      <c r="V127">
        <v>7</v>
      </c>
      <c r="X127" t="str">
        <f t="shared" si="40"/>
        <v/>
      </c>
      <c r="Y127" t="str">
        <f t="shared" si="41"/>
        <v/>
      </c>
      <c r="Z127" t="str">
        <f t="shared" si="42"/>
        <v/>
      </c>
      <c r="AA127" t="str">
        <f t="shared" si="43"/>
        <v/>
      </c>
      <c r="AB127" t="str">
        <f t="shared" si="44"/>
        <v>,</v>
      </c>
      <c r="AC127" t="str">
        <f t="shared" si="45"/>
        <v/>
      </c>
      <c r="AD127" t="str">
        <f t="shared" si="46"/>
        <v/>
      </c>
    </row>
    <row r="128" spans="1:30" thickBot="1" x14ac:dyDescent="0.3">
      <c r="N128">
        <f t="shared" si="36"/>
        <v>0</v>
      </c>
      <c r="O128">
        <f t="shared" si="33"/>
        <v>0</v>
      </c>
      <c r="P128">
        <f t="shared" si="34"/>
        <v>0</v>
      </c>
      <c r="Q128">
        <f t="shared" si="35"/>
        <v>0</v>
      </c>
      <c r="R128" s="91" t="str">
        <f t="shared" ref="R128:R135" si="53">IF(O128&gt;0,$N$140,"")</f>
        <v/>
      </c>
      <c r="S128" s="91" t="str">
        <f t="shared" ref="S128:S135" si="54">IF(P128&gt;0,$N$140,"")</f>
        <v/>
      </c>
      <c r="T128" s="91" t="str">
        <f t="shared" ref="T128:T135" si="55">IF(Q128&gt;0,$N$140,"")</f>
        <v/>
      </c>
      <c r="X128" t="str">
        <f t="shared" si="40"/>
        <v/>
      </c>
      <c r="Y128" t="str">
        <f t="shared" si="41"/>
        <v/>
      </c>
      <c r="Z128" t="str">
        <f t="shared" si="42"/>
        <v/>
      </c>
      <c r="AA128" t="str">
        <f t="shared" si="43"/>
        <v/>
      </c>
      <c r="AB128" t="str">
        <f t="shared" si="44"/>
        <v/>
      </c>
      <c r="AC128" t="str">
        <f t="shared" si="45"/>
        <v/>
      </c>
      <c r="AD128" t="str">
        <f t="shared" si="46"/>
        <v/>
      </c>
    </row>
    <row r="129" spans="14:30" thickBot="1" x14ac:dyDescent="0.3">
      <c r="N129">
        <f t="shared" si="36"/>
        <v>0</v>
      </c>
      <c r="O129">
        <f t="shared" ref="O129:O192" si="56">B129</f>
        <v>0</v>
      </c>
      <c r="P129">
        <f t="shared" ref="P129:P192" si="57">C129</f>
        <v>0</v>
      </c>
      <c r="Q129">
        <f t="shared" ref="Q129:Q192" si="58">D129</f>
        <v>0</v>
      </c>
      <c r="R129" s="91" t="str">
        <f t="shared" si="53"/>
        <v/>
      </c>
      <c r="S129" s="91" t="str">
        <f t="shared" si="54"/>
        <v/>
      </c>
      <c r="T129" s="91" t="str">
        <f t="shared" si="55"/>
        <v/>
      </c>
      <c r="X129" t="str">
        <f t="shared" si="40"/>
        <v/>
      </c>
      <c r="Y129" t="str">
        <f t="shared" si="41"/>
        <v/>
      </c>
      <c r="Z129" t="str">
        <f t="shared" si="42"/>
        <v/>
      </c>
      <c r="AA129" t="str">
        <f t="shared" si="43"/>
        <v/>
      </c>
      <c r="AB129" t="str">
        <f t="shared" si="44"/>
        <v/>
      </c>
      <c r="AC129" t="str">
        <f t="shared" si="45"/>
        <v/>
      </c>
      <c r="AD129" t="str">
        <f t="shared" si="46"/>
        <v/>
      </c>
    </row>
    <row r="130" spans="14:30" thickBot="1" x14ac:dyDescent="0.3">
      <c r="N130">
        <f t="shared" ref="N130:N193" si="59">A130</f>
        <v>0</v>
      </c>
      <c r="O130">
        <f t="shared" si="56"/>
        <v>0</v>
      </c>
      <c r="P130">
        <f t="shared" si="57"/>
        <v>0</v>
      </c>
      <c r="Q130">
        <f t="shared" si="58"/>
        <v>0</v>
      </c>
      <c r="R130" s="91" t="str">
        <f t="shared" si="53"/>
        <v/>
      </c>
      <c r="S130" s="91" t="str">
        <f t="shared" si="54"/>
        <v/>
      </c>
      <c r="T130" s="91" t="str">
        <f t="shared" si="55"/>
        <v/>
      </c>
      <c r="X130" t="str">
        <f t="shared" si="40"/>
        <v/>
      </c>
      <c r="Y130" t="str">
        <f t="shared" si="41"/>
        <v/>
      </c>
      <c r="Z130" t="str">
        <f t="shared" si="42"/>
        <v/>
      </c>
      <c r="AA130" t="str">
        <f t="shared" si="43"/>
        <v/>
      </c>
      <c r="AB130" t="str">
        <f t="shared" si="44"/>
        <v/>
      </c>
      <c r="AC130" t="str">
        <f t="shared" si="45"/>
        <v/>
      </c>
      <c r="AD130" t="str">
        <f t="shared" si="46"/>
        <v/>
      </c>
    </row>
    <row r="131" spans="14:30" thickBot="1" x14ac:dyDescent="0.3">
      <c r="N131">
        <f t="shared" si="59"/>
        <v>0</v>
      </c>
      <c r="O131">
        <f t="shared" si="56"/>
        <v>0</v>
      </c>
      <c r="P131">
        <f t="shared" si="57"/>
        <v>0</v>
      </c>
      <c r="Q131">
        <f t="shared" si="58"/>
        <v>0</v>
      </c>
      <c r="R131" s="91" t="str">
        <f t="shared" si="53"/>
        <v/>
      </c>
      <c r="S131" s="91" t="str">
        <f t="shared" si="54"/>
        <v/>
      </c>
      <c r="T131" s="91" t="str">
        <f t="shared" si="55"/>
        <v/>
      </c>
      <c r="X131" t="str">
        <f t="shared" si="40"/>
        <v/>
      </c>
      <c r="Y131" t="str">
        <f t="shared" si="41"/>
        <v/>
      </c>
      <c r="Z131" t="str">
        <f t="shared" si="42"/>
        <v/>
      </c>
      <c r="AA131" t="str">
        <f t="shared" si="43"/>
        <v/>
      </c>
      <c r="AB131" t="str">
        <f t="shared" si="44"/>
        <v/>
      </c>
      <c r="AC131" t="str">
        <f t="shared" si="45"/>
        <v/>
      </c>
      <c r="AD131" t="str">
        <f t="shared" si="46"/>
        <v/>
      </c>
    </row>
    <row r="132" spans="14:30" thickBot="1" x14ac:dyDescent="0.3">
      <c r="N132">
        <f t="shared" si="59"/>
        <v>0</v>
      </c>
      <c r="O132">
        <f t="shared" si="56"/>
        <v>0</v>
      </c>
      <c r="P132">
        <f t="shared" si="57"/>
        <v>0</v>
      </c>
      <c r="Q132">
        <f t="shared" si="58"/>
        <v>0</v>
      </c>
      <c r="R132" s="91" t="str">
        <f t="shared" si="53"/>
        <v/>
      </c>
      <c r="S132" s="91" t="str">
        <f t="shared" si="54"/>
        <v/>
      </c>
      <c r="T132" s="91" t="str">
        <f t="shared" si="55"/>
        <v/>
      </c>
      <c r="X132" t="str">
        <f t="shared" si="40"/>
        <v/>
      </c>
      <c r="Y132" t="str">
        <f t="shared" si="41"/>
        <v/>
      </c>
      <c r="Z132" t="str">
        <f t="shared" si="42"/>
        <v/>
      </c>
      <c r="AA132" t="str">
        <f t="shared" si="43"/>
        <v/>
      </c>
      <c r="AB132" t="str">
        <f t="shared" si="44"/>
        <v/>
      </c>
      <c r="AC132" t="str">
        <f t="shared" si="45"/>
        <v/>
      </c>
      <c r="AD132" t="str">
        <f t="shared" si="46"/>
        <v/>
      </c>
    </row>
    <row r="133" spans="14:30" thickBot="1" x14ac:dyDescent="0.3">
      <c r="N133">
        <f t="shared" si="59"/>
        <v>0</v>
      </c>
      <c r="O133">
        <f t="shared" si="56"/>
        <v>0</v>
      </c>
      <c r="P133">
        <f t="shared" si="57"/>
        <v>0</v>
      </c>
      <c r="Q133">
        <f t="shared" si="58"/>
        <v>0</v>
      </c>
      <c r="R133" s="91" t="str">
        <f t="shared" si="53"/>
        <v/>
      </c>
      <c r="S133" s="91" t="str">
        <f t="shared" si="54"/>
        <v/>
      </c>
      <c r="T133" s="91" t="str">
        <f t="shared" si="55"/>
        <v/>
      </c>
      <c r="X133" t="str">
        <f t="shared" si="40"/>
        <v/>
      </c>
      <c r="Y133" t="str">
        <f t="shared" si="41"/>
        <v/>
      </c>
      <c r="Z133" t="str">
        <f t="shared" si="42"/>
        <v/>
      </c>
      <c r="AA133" t="str">
        <f t="shared" si="43"/>
        <v/>
      </c>
      <c r="AB133" t="str">
        <f t="shared" si="44"/>
        <v/>
      </c>
      <c r="AC133" t="str">
        <f t="shared" si="45"/>
        <v/>
      </c>
      <c r="AD133" t="str">
        <f t="shared" si="46"/>
        <v/>
      </c>
    </row>
    <row r="134" spans="14:30" thickBot="1" x14ac:dyDescent="0.3">
      <c r="N134">
        <f t="shared" si="59"/>
        <v>0</v>
      </c>
      <c r="O134">
        <f t="shared" si="56"/>
        <v>0</v>
      </c>
      <c r="P134">
        <f t="shared" si="57"/>
        <v>0</v>
      </c>
      <c r="Q134">
        <f t="shared" si="58"/>
        <v>0</v>
      </c>
      <c r="R134" s="91" t="str">
        <f t="shared" si="53"/>
        <v/>
      </c>
      <c r="S134" s="91" t="str">
        <f t="shared" si="54"/>
        <v/>
      </c>
      <c r="T134" s="91" t="str">
        <f t="shared" si="55"/>
        <v/>
      </c>
      <c r="X134" t="str">
        <f t="shared" si="40"/>
        <v/>
      </c>
      <c r="Y134" t="str">
        <f t="shared" si="41"/>
        <v/>
      </c>
      <c r="Z134" t="str">
        <f t="shared" si="42"/>
        <v/>
      </c>
      <c r="AA134" t="str">
        <f t="shared" si="43"/>
        <v/>
      </c>
      <c r="AB134" t="str">
        <f t="shared" si="44"/>
        <v/>
      </c>
      <c r="AC134" t="str">
        <f t="shared" si="45"/>
        <v/>
      </c>
      <c r="AD134" t="str">
        <f t="shared" si="46"/>
        <v/>
      </c>
    </row>
    <row r="135" spans="14:30" thickBot="1" x14ac:dyDescent="0.3">
      <c r="N135">
        <f t="shared" si="59"/>
        <v>0</v>
      </c>
      <c r="O135">
        <f t="shared" si="56"/>
        <v>0</v>
      </c>
      <c r="P135">
        <f t="shared" si="57"/>
        <v>0</v>
      </c>
      <c r="Q135">
        <f t="shared" si="58"/>
        <v>0</v>
      </c>
      <c r="R135" s="91" t="str">
        <f t="shared" si="53"/>
        <v/>
      </c>
      <c r="S135" s="91" t="str">
        <f t="shared" si="54"/>
        <v/>
      </c>
      <c r="T135" s="91" t="str">
        <f t="shared" si="55"/>
        <v/>
      </c>
      <c r="X135" t="str">
        <f t="shared" si="40"/>
        <v/>
      </c>
      <c r="Y135" t="str">
        <f t="shared" si="41"/>
        <v/>
      </c>
      <c r="Z135" t="str">
        <f t="shared" si="42"/>
        <v/>
      </c>
      <c r="AA135" t="str">
        <f t="shared" si="43"/>
        <v/>
      </c>
      <c r="AB135" t="str">
        <f t="shared" si="44"/>
        <v/>
      </c>
      <c r="AC135" t="str">
        <f t="shared" si="45"/>
        <v/>
      </c>
      <c r="AD135" t="str">
        <f t="shared" si="46"/>
        <v/>
      </c>
    </row>
    <row r="136" spans="14:30" thickBot="1" x14ac:dyDescent="0.3">
      <c r="N136">
        <f t="shared" si="59"/>
        <v>0</v>
      </c>
      <c r="O136">
        <f t="shared" si="56"/>
        <v>0</v>
      </c>
      <c r="P136">
        <f t="shared" si="57"/>
        <v>0</v>
      </c>
      <c r="Q136">
        <f t="shared" si="58"/>
        <v>0</v>
      </c>
      <c r="X136" t="str">
        <f t="shared" ref="X136:X199" si="60">IF(R136="","",",")</f>
        <v/>
      </c>
      <c r="Y136" t="str">
        <f t="shared" ref="Y136:Y199" si="61">IF(S136="","",",")</f>
        <v/>
      </c>
      <c r="Z136" t="str">
        <f t="shared" ref="Z136:Z199" si="62">IF(T136="","",",")</f>
        <v/>
      </c>
      <c r="AA136" t="str">
        <f t="shared" ref="AA136:AA199" si="63">IF(U136="","",",")</f>
        <v/>
      </c>
      <c r="AB136" t="str">
        <f t="shared" ref="AB136:AB199" si="64">IF(V136="","",",")</f>
        <v/>
      </c>
      <c r="AC136" t="str">
        <f t="shared" ref="AC136:AC199" si="65">IF(W136="","",",")</f>
        <v/>
      </c>
      <c r="AD136" t="str">
        <f t="shared" ref="AD136:AD199" si="66">IF(X136="","",",")</f>
        <v/>
      </c>
    </row>
    <row r="137" spans="14:30" thickBot="1" x14ac:dyDescent="0.3">
      <c r="N137">
        <f t="shared" si="59"/>
        <v>0</v>
      </c>
      <c r="O137">
        <f t="shared" si="56"/>
        <v>0</v>
      </c>
      <c r="P137">
        <f t="shared" si="57"/>
        <v>0</v>
      </c>
      <c r="Q137">
        <f t="shared" si="58"/>
        <v>0</v>
      </c>
      <c r="X137" t="str">
        <f t="shared" si="60"/>
        <v/>
      </c>
      <c r="Y137" t="str">
        <f t="shared" si="61"/>
        <v/>
      </c>
      <c r="Z137" t="str">
        <f t="shared" si="62"/>
        <v/>
      </c>
      <c r="AA137" t="str">
        <f t="shared" si="63"/>
        <v/>
      </c>
      <c r="AB137" t="str">
        <f t="shared" si="64"/>
        <v/>
      </c>
      <c r="AC137" t="str">
        <f t="shared" si="65"/>
        <v/>
      </c>
      <c r="AD137" t="str">
        <f t="shared" si="66"/>
        <v/>
      </c>
    </row>
    <row r="138" spans="14:30" thickBot="1" x14ac:dyDescent="0.3">
      <c r="N138">
        <f t="shared" si="59"/>
        <v>0</v>
      </c>
      <c r="O138">
        <f t="shared" si="56"/>
        <v>0</v>
      </c>
      <c r="P138">
        <f t="shared" si="57"/>
        <v>0</v>
      </c>
      <c r="Q138">
        <f t="shared" si="58"/>
        <v>0</v>
      </c>
      <c r="X138" t="str">
        <f t="shared" si="60"/>
        <v/>
      </c>
      <c r="Y138" t="str">
        <f t="shared" si="61"/>
        <v/>
      </c>
      <c r="Z138" t="str">
        <f t="shared" si="62"/>
        <v/>
      </c>
      <c r="AA138" t="str">
        <f t="shared" si="63"/>
        <v/>
      </c>
      <c r="AB138" t="str">
        <f t="shared" si="64"/>
        <v/>
      </c>
      <c r="AC138" t="str">
        <f t="shared" si="65"/>
        <v/>
      </c>
      <c r="AD138" t="str">
        <f t="shared" si="66"/>
        <v/>
      </c>
    </row>
    <row r="139" spans="14:30" thickBot="1" x14ac:dyDescent="0.3">
      <c r="N139">
        <f t="shared" si="59"/>
        <v>0</v>
      </c>
      <c r="O139">
        <f t="shared" si="56"/>
        <v>0</v>
      </c>
      <c r="P139">
        <f t="shared" si="57"/>
        <v>0</v>
      </c>
      <c r="Q139">
        <f t="shared" si="58"/>
        <v>0</v>
      </c>
      <c r="X139" t="str">
        <f t="shared" si="60"/>
        <v/>
      </c>
      <c r="Y139" t="str">
        <f t="shared" si="61"/>
        <v/>
      </c>
      <c r="Z139" t="str">
        <f t="shared" si="62"/>
        <v/>
      </c>
      <c r="AA139" t="str">
        <f t="shared" si="63"/>
        <v/>
      </c>
      <c r="AB139" t="str">
        <f t="shared" si="64"/>
        <v/>
      </c>
      <c r="AC139" t="str">
        <f t="shared" si="65"/>
        <v/>
      </c>
      <c r="AD139" t="str">
        <f t="shared" si="66"/>
        <v/>
      </c>
    </row>
    <row r="140" spans="14:30" thickBot="1" x14ac:dyDescent="0.3">
      <c r="N140">
        <f t="shared" si="59"/>
        <v>0</v>
      </c>
      <c r="O140">
        <f t="shared" si="56"/>
        <v>0</v>
      </c>
      <c r="P140">
        <f t="shared" si="57"/>
        <v>0</v>
      </c>
      <c r="Q140">
        <f t="shared" si="58"/>
        <v>0</v>
      </c>
      <c r="X140" t="str">
        <f t="shared" si="60"/>
        <v/>
      </c>
      <c r="Y140" t="str">
        <f t="shared" si="61"/>
        <v/>
      </c>
      <c r="Z140" t="str">
        <f t="shared" si="62"/>
        <v/>
      </c>
      <c r="AA140" t="str">
        <f t="shared" si="63"/>
        <v/>
      </c>
      <c r="AB140" t="str">
        <f t="shared" si="64"/>
        <v/>
      </c>
      <c r="AC140" t="str">
        <f t="shared" si="65"/>
        <v/>
      </c>
      <c r="AD140" t="str">
        <f t="shared" si="66"/>
        <v/>
      </c>
    </row>
    <row r="141" spans="14:30" thickBot="1" x14ac:dyDescent="0.3">
      <c r="N141">
        <f t="shared" si="59"/>
        <v>0</v>
      </c>
      <c r="O141">
        <f t="shared" si="56"/>
        <v>0</v>
      </c>
      <c r="P141">
        <f t="shared" si="57"/>
        <v>0</v>
      </c>
      <c r="Q141">
        <f t="shared" si="58"/>
        <v>0</v>
      </c>
      <c r="X141" t="str">
        <f t="shared" si="60"/>
        <v/>
      </c>
      <c r="Y141" t="str">
        <f t="shared" si="61"/>
        <v/>
      </c>
      <c r="Z141" t="str">
        <f t="shared" si="62"/>
        <v/>
      </c>
      <c r="AA141" t="str">
        <f t="shared" si="63"/>
        <v/>
      </c>
      <c r="AB141" t="str">
        <f t="shared" si="64"/>
        <v/>
      </c>
      <c r="AC141" t="str">
        <f t="shared" si="65"/>
        <v/>
      </c>
      <c r="AD141" t="str">
        <f t="shared" si="66"/>
        <v/>
      </c>
    </row>
    <row r="142" spans="14:30" thickBot="1" x14ac:dyDescent="0.3">
      <c r="N142">
        <f t="shared" si="59"/>
        <v>0</v>
      </c>
      <c r="O142">
        <f t="shared" si="56"/>
        <v>0</v>
      </c>
      <c r="P142">
        <f t="shared" si="57"/>
        <v>0</v>
      </c>
      <c r="Q142">
        <f t="shared" si="58"/>
        <v>0</v>
      </c>
      <c r="X142" t="str">
        <f t="shared" si="60"/>
        <v/>
      </c>
      <c r="Y142" t="str">
        <f t="shared" si="61"/>
        <v/>
      </c>
      <c r="Z142" t="str">
        <f t="shared" si="62"/>
        <v/>
      </c>
      <c r="AA142" t="str">
        <f t="shared" si="63"/>
        <v/>
      </c>
      <c r="AB142" t="str">
        <f t="shared" si="64"/>
        <v/>
      </c>
      <c r="AC142" t="str">
        <f t="shared" si="65"/>
        <v/>
      </c>
      <c r="AD142" t="str">
        <f t="shared" si="66"/>
        <v/>
      </c>
    </row>
    <row r="143" spans="14:30" thickBot="1" x14ac:dyDescent="0.3">
      <c r="N143">
        <f t="shared" si="59"/>
        <v>0</v>
      </c>
      <c r="O143">
        <f t="shared" si="56"/>
        <v>0</v>
      </c>
      <c r="P143">
        <f t="shared" si="57"/>
        <v>0</v>
      </c>
      <c r="Q143">
        <f t="shared" si="58"/>
        <v>0</v>
      </c>
      <c r="X143" t="str">
        <f t="shared" si="60"/>
        <v/>
      </c>
      <c r="Y143" t="str">
        <f t="shared" si="61"/>
        <v/>
      </c>
      <c r="Z143" t="str">
        <f t="shared" si="62"/>
        <v/>
      </c>
      <c r="AA143" t="str">
        <f t="shared" si="63"/>
        <v/>
      </c>
      <c r="AB143" t="str">
        <f t="shared" si="64"/>
        <v/>
      </c>
      <c r="AC143" t="str">
        <f t="shared" si="65"/>
        <v/>
      </c>
      <c r="AD143" t="str">
        <f t="shared" si="66"/>
        <v/>
      </c>
    </row>
    <row r="144" spans="14:30" thickBot="1" x14ac:dyDescent="0.3">
      <c r="N144">
        <f t="shared" si="59"/>
        <v>0</v>
      </c>
      <c r="O144">
        <f t="shared" si="56"/>
        <v>0</v>
      </c>
      <c r="P144">
        <f t="shared" si="57"/>
        <v>0</v>
      </c>
      <c r="Q144">
        <f t="shared" si="58"/>
        <v>0</v>
      </c>
      <c r="X144" t="str">
        <f t="shared" si="60"/>
        <v/>
      </c>
      <c r="Y144" t="str">
        <f t="shared" si="61"/>
        <v/>
      </c>
      <c r="Z144" t="str">
        <f t="shared" si="62"/>
        <v/>
      </c>
      <c r="AA144" t="str">
        <f t="shared" si="63"/>
        <v/>
      </c>
      <c r="AB144" t="str">
        <f t="shared" si="64"/>
        <v/>
      </c>
      <c r="AC144" t="str">
        <f t="shared" si="65"/>
        <v/>
      </c>
      <c r="AD144" t="str">
        <f t="shared" si="66"/>
        <v/>
      </c>
    </row>
    <row r="145" spans="14:30" thickBot="1" x14ac:dyDescent="0.3">
      <c r="N145">
        <f t="shared" si="59"/>
        <v>0</v>
      </c>
      <c r="O145">
        <f t="shared" si="56"/>
        <v>0</v>
      </c>
      <c r="P145">
        <f t="shared" si="57"/>
        <v>0</v>
      </c>
      <c r="Q145">
        <f t="shared" si="58"/>
        <v>0</v>
      </c>
      <c r="X145" t="str">
        <f t="shared" si="60"/>
        <v/>
      </c>
      <c r="Y145" t="str">
        <f t="shared" si="61"/>
        <v/>
      </c>
      <c r="Z145" t="str">
        <f t="shared" si="62"/>
        <v/>
      </c>
      <c r="AA145" t="str">
        <f t="shared" si="63"/>
        <v/>
      </c>
      <c r="AB145" t="str">
        <f t="shared" si="64"/>
        <v/>
      </c>
      <c r="AC145" t="str">
        <f t="shared" si="65"/>
        <v/>
      </c>
      <c r="AD145" t="str">
        <f t="shared" si="66"/>
        <v/>
      </c>
    </row>
    <row r="146" spans="14:30" thickBot="1" x14ac:dyDescent="0.3">
      <c r="N146">
        <f t="shared" si="59"/>
        <v>0</v>
      </c>
      <c r="O146">
        <f t="shared" si="56"/>
        <v>0</v>
      </c>
      <c r="P146">
        <f t="shared" si="57"/>
        <v>0</v>
      </c>
      <c r="Q146">
        <f t="shared" si="58"/>
        <v>0</v>
      </c>
      <c r="X146" t="str">
        <f t="shared" si="60"/>
        <v/>
      </c>
      <c r="Y146" t="str">
        <f t="shared" si="61"/>
        <v/>
      </c>
      <c r="Z146" t="str">
        <f t="shared" si="62"/>
        <v/>
      </c>
      <c r="AA146" t="str">
        <f t="shared" si="63"/>
        <v/>
      </c>
      <c r="AB146" t="str">
        <f t="shared" si="64"/>
        <v/>
      </c>
      <c r="AC146" t="str">
        <f t="shared" si="65"/>
        <v/>
      </c>
      <c r="AD146" t="str">
        <f t="shared" si="66"/>
        <v/>
      </c>
    </row>
    <row r="147" spans="14:30" thickBot="1" x14ac:dyDescent="0.3">
      <c r="N147">
        <f t="shared" si="59"/>
        <v>0</v>
      </c>
      <c r="O147">
        <f t="shared" si="56"/>
        <v>0</v>
      </c>
      <c r="P147">
        <f t="shared" si="57"/>
        <v>0</v>
      </c>
      <c r="Q147">
        <f t="shared" si="58"/>
        <v>0</v>
      </c>
      <c r="V147">
        <v>8</v>
      </c>
      <c r="X147" t="str">
        <f t="shared" si="60"/>
        <v/>
      </c>
      <c r="Y147" t="str">
        <f t="shared" si="61"/>
        <v/>
      </c>
      <c r="Z147" t="str">
        <f t="shared" si="62"/>
        <v/>
      </c>
      <c r="AA147" t="str">
        <f t="shared" si="63"/>
        <v/>
      </c>
      <c r="AB147" t="str">
        <f t="shared" si="64"/>
        <v>,</v>
      </c>
      <c r="AC147" t="str">
        <f t="shared" si="65"/>
        <v/>
      </c>
      <c r="AD147" t="str">
        <f t="shared" si="66"/>
        <v/>
      </c>
    </row>
    <row r="148" spans="14:30" thickBot="1" x14ac:dyDescent="0.3">
      <c r="N148">
        <f t="shared" si="59"/>
        <v>0</v>
      </c>
      <c r="O148">
        <f t="shared" si="56"/>
        <v>0</v>
      </c>
      <c r="P148">
        <f t="shared" si="57"/>
        <v>0</v>
      </c>
      <c r="Q148">
        <f t="shared" si="58"/>
        <v>0</v>
      </c>
      <c r="R148" s="91" t="str">
        <f t="shared" ref="R148:R155" si="67">IF(O148&gt;0,$N$160,"")</f>
        <v/>
      </c>
      <c r="S148" s="91" t="str">
        <f t="shared" ref="S148:S155" si="68">IF(P148&gt;0,$N$160,"")</f>
        <v/>
      </c>
      <c r="T148" s="91" t="str">
        <f t="shared" ref="T148:T155" si="69">IF(Q148&gt;0,$N$160,"")</f>
        <v/>
      </c>
      <c r="X148" t="str">
        <f t="shared" si="60"/>
        <v/>
      </c>
      <c r="Y148" t="str">
        <f t="shared" si="61"/>
        <v/>
      </c>
      <c r="Z148" t="str">
        <f t="shared" si="62"/>
        <v/>
      </c>
      <c r="AA148" t="str">
        <f t="shared" si="63"/>
        <v/>
      </c>
      <c r="AB148" t="str">
        <f t="shared" si="64"/>
        <v/>
      </c>
      <c r="AC148" t="str">
        <f t="shared" si="65"/>
        <v/>
      </c>
      <c r="AD148" t="str">
        <f t="shared" si="66"/>
        <v/>
      </c>
    </row>
    <row r="149" spans="14:30" thickBot="1" x14ac:dyDescent="0.3">
      <c r="N149">
        <f t="shared" si="59"/>
        <v>0</v>
      </c>
      <c r="O149">
        <f t="shared" si="56"/>
        <v>0</v>
      </c>
      <c r="P149">
        <f t="shared" si="57"/>
        <v>0</v>
      </c>
      <c r="Q149">
        <f t="shared" si="58"/>
        <v>0</v>
      </c>
      <c r="R149" s="91" t="str">
        <f t="shared" si="67"/>
        <v/>
      </c>
      <c r="S149" s="91" t="str">
        <f t="shared" si="68"/>
        <v/>
      </c>
      <c r="T149" s="91" t="str">
        <f t="shared" si="69"/>
        <v/>
      </c>
      <c r="X149" t="str">
        <f t="shared" si="60"/>
        <v/>
      </c>
      <c r="Y149" t="str">
        <f t="shared" si="61"/>
        <v/>
      </c>
      <c r="Z149" t="str">
        <f t="shared" si="62"/>
        <v/>
      </c>
      <c r="AA149" t="str">
        <f t="shared" si="63"/>
        <v/>
      </c>
      <c r="AB149" t="str">
        <f t="shared" si="64"/>
        <v/>
      </c>
      <c r="AC149" t="str">
        <f t="shared" si="65"/>
        <v/>
      </c>
      <c r="AD149" t="str">
        <f t="shared" si="66"/>
        <v/>
      </c>
    </row>
    <row r="150" spans="14:30" thickBot="1" x14ac:dyDescent="0.3">
      <c r="N150">
        <f t="shared" si="59"/>
        <v>0</v>
      </c>
      <c r="O150">
        <f t="shared" si="56"/>
        <v>0</v>
      </c>
      <c r="P150">
        <f t="shared" si="57"/>
        <v>0</v>
      </c>
      <c r="Q150">
        <f t="shared" si="58"/>
        <v>0</v>
      </c>
      <c r="R150" s="91" t="str">
        <f t="shared" si="67"/>
        <v/>
      </c>
      <c r="S150" s="91" t="str">
        <f t="shared" si="68"/>
        <v/>
      </c>
      <c r="T150" s="91" t="str">
        <f t="shared" si="69"/>
        <v/>
      </c>
      <c r="X150" t="str">
        <f t="shared" si="60"/>
        <v/>
      </c>
      <c r="Y150" t="str">
        <f t="shared" si="61"/>
        <v/>
      </c>
      <c r="Z150" t="str">
        <f t="shared" si="62"/>
        <v/>
      </c>
      <c r="AA150" t="str">
        <f t="shared" si="63"/>
        <v/>
      </c>
      <c r="AB150" t="str">
        <f t="shared" si="64"/>
        <v/>
      </c>
      <c r="AC150" t="str">
        <f t="shared" si="65"/>
        <v/>
      </c>
      <c r="AD150" t="str">
        <f t="shared" si="66"/>
        <v/>
      </c>
    </row>
    <row r="151" spans="14:30" thickBot="1" x14ac:dyDescent="0.3">
      <c r="N151">
        <f t="shared" si="59"/>
        <v>0</v>
      </c>
      <c r="O151">
        <f t="shared" si="56"/>
        <v>0</v>
      </c>
      <c r="P151">
        <f t="shared" si="57"/>
        <v>0</v>
      </c>
      <c r="Q151">
        <f t="shared" si="58"/>
        <v>0</v>
      </c>
      <c r="R151" s="91" t="str">
        <f t="shared" si="67"/>
        <v/>
      </c>
      <c r="S151" s="91" t="str">
        <f t="shared" si="68"/>
        <v/>
      </c>
      <c r="T151" s="91" t="str">
        <f t="shared" si="69"/>
        <v/>
      </c>
      <c r="X151" t="str">
        <f t="shared" si="60"/>
        <v/>
      </c>
      <c r="Y151" t="str">
        <f t="shared" si="61"/>
        <v/>
      </c>
      <c r="Z151" t="str">
        <f t="shared" si="62"/>
        <v/>
      </c>
      <c r="AA151" t="str">
        <f t="shared" si="63"/>
        <v/>
      </c>
      <c r="AB151" t="str">
        <f t="shared" si="64"/>
        <v/>
      </c>
      <c r="AC151" t="str">
        <f t="shared" si="65"/>
        <v/>
      </c>
      <c r="AD151" t="str">
        <f t="shared" si="66"/>
        <v/>
      </c>
    </row>
    <row r="152" spans="14:30" thickBot="1" x14ac:dyDescent="0.3">
      <c r="N152">
        <f t="shared" si="59"/>
        <v>0</v>
      </c>
      <c r="O152">
        <f t="shared" si="56"/>
        <v>0</v>
      </c>
      <c r="P152">
        <f t="shared" si="57"/>
        <v>0</v>
      </c>
      <c r="Q152">
        <f t="shared" si="58"/>
        <v>0</v>
      </c>
      <c r="R152" s="91" t="str">
        <f t="shared" si="67"/>
        <v/>
      </c>
      <c r="S152" s="91" t="str">
        <f t="shared" si="68"/>
        <v/>
      </c>
      <c r="T152" s="91" t="str">
        <f t="shared" si="69"/>
        <v/>
      </c>
      <c r="X152" t="str">
        <f t="shared" si="60"/>
        <v/>
      </c>
      <c r="Y152" t="str">
        <f t="shared" si="61"/>
        <v/>
      </c>
      <c r="Z152" t="str">
        <f t="shared" si="62"/>
        <v/>
      </c>
      <c r="AA152" t="str">
        <f t="shared" si="63"/>
        <v/>
      </c>
      <c r="AB152" t="str">
        <f t="shared" si="64"/>
        <v/>
      </c>
      <c r="AC152" t="str">
        <f t="shared" si="65"/>
        <v/>
      </c>
      <c r="AD152" t="str">
        <f t="shared" si="66"/>
        <v/>
      </c>
    </row>
    <row r="153" spans="14:30" thickBot="1" x14ac:dyDescent="0.3">
      <c r="N153">
        <f t="shared" si="59"/>
        <v>0</v>
      </c>
      <c r="O153">
        <f t="shared" si="56"/>
        <v>0</v>
      </c>
      <c r="P153">
        <f t="shared" si="57"/>
        <v>0</v>
      </c>
      <c r="Q153">
        <f t="shared" si="58"/>
        <v>0</v>
      </c>
      <c r="R153" s="91" t="str">
        <f t="shared" si="67"/>
        <v/>
      </c>
      <c r="S153" s="91" t="str">
        <f t="shared" si="68"/>
        <v/>
      </c>
      <c r="T153" s="91" t="str">
        <f t="shared" si="69"/>
        <v/>
      </c>
      <c r="X153" t="str">
        <f t="shared" si="60"/>
        <v/>
      </c>
      <c r="Y153" t="str">
        <f t="shared" si="61"/>
        <v/>
      </c>
      <c r="Z153" t="str">
        <f t="shared" si="62"/>
        <v/>
      </c>
      <c r="AA153" t="str">
        <f t="shared" si="63"/>
        <v/>
      </c>
      <c r="AB153" t="str">
        <f t="shared" si="64"/>
        <v/>
      </c>
      <c r="AC153" t="str">
        <f t="shared" si="65"/>
        <v/>
      </c>
      <c r="AD153" t="str">
        <f t="shared" si="66"/>
        <v/>
      </c>
    </row>
    <row r="154" spans="14:30" thickBot="1" x14ac:dyDescent="0.3">
      <c r="N154">
        <f t="shared" si="59"/>
        <v>0</v>
      </c>
      <c r="O154">
        <f t="shared" si="56"/>
        <v>0</v>
      </c>
      <c r="P154">
        <f t="shared" si="57"/>
        <v>0</v>
      </c>
      <c r="Q154">
        <f t="shared" si="58"/>
        <v>0</v>
      </c>
      <c r="R154" s="91" t="str">
        <f t="shared" si="67"/>
        <v/>
      </c>
      <c r="S154" s="91" t="str">
        <f t="shared" si="68"/>
        <v/>
      </c>
      <c r="T154" s="91" t="str">
        <f t="shared" si="69"/>
        <v/>
      </c>
      <c r="X154" t="str">
        <f t="shared" si="60"/>
        <v/>
      </c>
      <c r="Y154" t="str">
        <f t="shared" si="61"/>
        <v/>
      </c>
      <c r="Z154" t="str">
        <f t="shared" si="62"/>
        <v/>
      </c>
      <c r="AA154" t="str">
        <f t="shared" si="63"/>
        <v/>
      </c>
      <c r="AB154" t="str">
        <f t="shared" si="64"/>
        <v/>
      </c>
      <c r="AC154" t="str">
        <f t="shared" si="65"/>
        <v/>
      </c>
      <c r="AD154" t="str">
        <f t="shared" si="66"/>
        <v/>
      </c>
    </row>
    <row r="155" spans="14:30" thickBot="1" x14ac:dyDescent="0.3">
      <c r="N155">
        <f t="shared" si="59"/>
        <v>0</v>
      </c>
      <c r="O155">
        <f t="shared" si="56"/>
        <v>0</v>
      </c>
      <c r="P155">
        <f t="shared" si="57"/>
        <v>0</v>
      </c>
      <c r="Q155">
        <f t="shared" si="58"/>
        <v>0</v>
      </c>
      <c r="R155" s="91" t="str">
        <f t="shared" si="67"/>
        <v/>
      </c>
      <c r="S155" s="91" t="str">
        <f t="shared" si="68"/>
        <v/>
      </c>
      <c r="T155" s="91" t="str">
        <f t="shared" si="69"/>
        <v/>
      </c>
      <c r="X155" t="str">
        <f t="shared" si="60"/>
        <v/>
      </c>
      <c r="Y155" t="str">
        <f t="shared" si="61"/>
        <v/>
      </c>
      <c r="Z155" t="str">
        <f t="shared" si="62"/>
        <v/>
      </c>
      <c r="AA155" t="str">
        <f t="shared" si="63"/>
        <v/>
      </c>
      <c r="AB155" t="str">
        <f t="shared" si="64"/>
        <v/>
      </c>
      <c r="AC155" t="str">
        <f t="shared" si="65"/>
        <v/>
      </c>
      <c r="AD155" t="str">
        <f t="shared" si="66"/>
        <v/>
      </c>
    </row>
    <row r="156" spans="14:30" thickBot="1" x14ac:dyDescent="0.3">
      <c r="N156">
        <f t="shared" si="59"/>
        <v>0</v>
      </c>
      <c r="O156">
        <f t="shared" si="56"/>
        <v>0</v>
      </c>
      <c r="P156">
        <f t="shared" si="57"/>
        <v>0</v>
      </c>
      <c r="Q156">
        <f t="shared" si="58"/>
        <v>0</v>
      </c>
      <c r="X156" t="str">
        <f t="shared" si="60"/>
        <v/>
      </c>
      <c r="Y156" t="str">
        <f t="shared" si="61"/>
        <v/>
      </c>
      <c r="Z156" t="str">
        <f t="shared" si="62"/>
        <v/>
      </c>
      <c r="AA156" t="str">
        <f t="shared" si="63"/>
        <v/>
      </c>
      <c r="AB156" t="str">
        <f t="shared" si="64"/>
        <v/>
      </c>
      <c r="AC156" t="str">
        <f t="shared" si="65"/>
        <v/>
      </c>
      <c r="AD156" t="str">
        <f t="shared" si="66"/>
        <v/>
      </c>
    </row>
    <row r="157" spans="14:30" thickBot="1" x14ac:dyDescent="0.3">
      <c r="N157">
        <f t="shared" si="59"/>
        <v>0</v>
      </c>
      <c r="O157">
        <f t="shared" si="56"/>
        <v>0</v>
      </c>
      <c r="P157">
        <f t="shared" si="57"/>
        <v>0</v>
      </c>
      <c r="Q157">
        <f t="shared" si="58"/>
        <v>0</v>
      </c>
      <c r="X157" t="str">
        <f t="shared" si="60"/>
        <v/>
      </c>
      <c r="Y157" t="str">
        <f t="shared" si="61"/>
        <v/>
      </c>
      <c r="Z157" t="str">
        <f t="shared" si="62"/>
        <v/>
      </c>
      <c r="AA157" t="str">
        <f t="shared" si="63"/>
        <v/>
      </c>
      <c r="AB157" t="str">
        <f t="shared" si="64"/>
        <v/>
      </c>
      <c r="AC157" t="str">
        <f t="shared" si="65"/>
        <v/>
      </c>
      <c r="AD157" t="str">
        <f t="shared" si="66"/>
        <v/>
      </c>
    </row>
    <row r="158" spans="14:30" thickBot="1" x14ac:dyDescent="0.3">
      <c r="N158">
        <f t="shared" si="59"/>
        <v>0</v>
      </c>
      <c r="O158">
        <f t="shared" si="56"/>
        <v>0</v>
      </c>
      <c r="P158">
        <f t="shared" si="57"/>
        <v>0</v>
      </c>
      <c r="Q158">
        <f t="shared" si="58"/>
        <v>0</v>
      </c>
      <c r="X158" t="str">
        <f t="shared" si="60"/>
        <v/>
      </c>
      <c r="Y158" t="str">
        <f t="shared" si="61"/>
        <v/>
      </c>
      <c r="Z158" t="str">
        <f t="shared" si="62"/>
        <v/>
      </c>
      <c r="AA158" t="str">
        <f t="shared" si="63"/>
        <v/>
      </c>
      <c r="AB158" t="str">
        <f t="shared" si="64"/>
        <v/>
      </c>
      <c r="AC158" t="str">
        <f t="shared" si="65"/>
        <v/>
      </c>
      <c r="AD158" t="str">
        <f t="shared" si="66"/>
        <v/>
      </c>
    </row>
    <row r="159" spans="14:30" thickBot="1" x14ac:dyDescent="0.3">
      <c r="N159">
        <f t="shared" si="59"/>
        <v>0</v>
      </c>
      <c r="O159">
        <f t="shared" si="56"/>
        <v>0</v>
      </c>
      <c r="P159">
        <f t="shared" si="57"/>
        <v>0</v>
      </c>
      <c r="Q159">
        <f t="shared" si="58"/>
        <v>0</v>
      </c>
      <c r="X159" t="str">
        <f t="shared" si="60"/>
        <v/>
      </c>
      <c r="Y159" t="str">
        <f t="shared" si="61"/>
        <v/>
      </c>
      <c r="Z159" t="str">
        <f t="shared" si="62"/>
        <v/>
      </c>
      <c r="AA159" t="str">
        <f t="shared" si="63"/>
        <v/>
      </c>
      <c r="AB159" t="str">
        <f t="shared" si="64"/>
        <v/>
      </c>
      <c r="AC159" t="str">
        <f t="shared" si="65"/>
        <v/>
      </c>
      <c r="AD159" t="str">
        <f t="shared" si="66"/>
        <v/>
      </c>
    </row>
    <row r="160" spans="14:30" thickBot="1" x14ac:dyDescent="0.3">
      <c r="N160">
        <f t="shared" si="59"/>
        <v>0</v>
      </c>
      <c r="O160">
        <f t="shared" si="56"/>
        <v>0</v>
      </c>
      <c r="P160">
        <f t="shared" si="57"/>
        <v>0</v>
      </c>
      <c r="Q160">
        <f t="shared" si="58"/>
        <v>0</v>
      </c>
      <c r="X160" t="str">
        <f t="shared" si="60"/>
        <v/>
      </c>
      <c r="Y160" t="str">
        <f t="shared" si="61"/>
        <v/>
      </c>
      <c r="Z160" t="str">
        <f t="shared" si="62"/>
        <v/>
      </c>
      <c r="AA160" t="str">
        <f t="shared" si="63"/>
        <v/>
      </c>
      <c r="AB160" t="str">
        <f t="shared" si="64"/>
        <v/>
      </c>
      <c r="AC160" t="str">
        <f t="shared" si="65"/>
        <v/>
      </c>
      <c r="AD160" t="str">
        <f t="shared" si="66"/>
        <v/>
      </c>
    </row>
    <row r="161" spans="14:30" thickBot="1" x14ac:dyDescent="0.3">
      <c r="N161">
        <f t="shared" si="59"/>
        <v>0</v>
      </c>
      <c r="O161">
        <f t="shared" si="56"/>
        <v>0</v>
      </c>
      <c r="P161">
        <f t="shared" si="57"/>
        <v>0</v>
      </c>
      <c r="Q161">
        <f t="shared" si="58"/>
        <v>0</v>
      </c>
      <c r="X161" t="str">
        <f t="shared" si="60"/>
        <v/>
      </c>
      <c r="Y161" t="str">
        <f t="shared" si="61"/>
        <v/>
      </c>
      <c r="Z161" t="str">
        <f t="shared" si="62"/>
        <v/>
      </c>
      <c r="AA161" t="str">
        <f t="shared" si="63"/>
        <v/>
      </c>
      <c r="AB161" t="str">
        <f t="shared" si="64"/>
        <v/>
      </c>
      <c r="AC161" t="str">
        <f t="shared" si="65"/>
        <v/>
      </c>
      <c r="AD161" t="str">
        <f t="shared" si="66"/>
        <v/>
      </c>
    </row>
    <row r="162" spans="14:30" thickBot="1" x14ac:dyDescent="0.3">
      <c r="N162">
        <f t="shared" si="59"/>
        <v>0</v>
      </c>
      <c r="O162">
        <f t="shared" si="56"/>
        <v>0</v>
      </c>
      <c r="P162">
        <f t="shared" si="57"/>
        <v>0</v>
      </c>
      <c r="Q162">
        <f t="shared" si="58"/>
        <v>0</v>
      </c>
      <c r="X162" t="str">
        <f t="shared" si="60"/>
        <v/>
      </c>
      <c r="Y162" t="str">
        <f t="shared" si="61"/>
        <v/>
      </c>
      <c r="Z162" t="str">
        <f t="shared" si="62"/>
        <v/>
      </c>
      <c r="AA162" t="str">
        <f t="shared" si="63"/>
        <v/>
      </c>
      <c r="AB162" t="str">
        <f t="shared" si="64"/>
        <v/>
      </c>
      <c r="AC162" t="str">
        <f t="shared" si="65"/>
        <v/>
      </c>
      <c r="AD162" t="str">
        <f t="shared" si="66"/>
        <v/>
      </c>
    </row>
    <row r="163" spans="14:30" thickBot="1" x14ac:dyDescent="0.3">
      <c r="N163">
        <f t="shared" si="59"/>
        <v>0</v>
      </c>
      <c r="O163">
        <f t="shared" si="56"/>
        <v>0</v>
      </c>
      <c r="P163">
        <f t="shared" si="57"/>
        <v>0</v>
      </c>
      <c r="Q163">
        <f t="shared" si="58"/>
        <v>0</v>
      </c>
      <c r="X163" t="str">
        <f t="shared" si="60"/>
        <v/>
      </c>
      <c r="Y163" t="str">
        <f t="shared" si="61"/>
        <v/>
      </c>
      <c r="Z163" t="str">
        <f t="shared" si="62"/>
        <v/>
      </c>
      <c r="AA163" t="str">
        <f t="shared" si="63"/>
        <v/>
      </c>
      <c r="AB163" t="str">
        <f t="shared" si="64"/>
        <v/>
      </c>
      <c r="AC163" t="str">
        <f t="shared" si="65"/>
        <v/>
      </c>
      <c r="AD163" t="str">
        <f t="shared" si="66"/>
        <v/>
      </c>
    </row>
    <row r="164" spans="14:30" thickBot="1" x14ac:dyDescent="0.3">
      <c r="N164">
        <f t="shared" si="59"/>
        <v>0</v>
      </c>
      <c r="O164">
        <f t="shared" si="56"/>
        <v>0</v>
      </c>
      <c r="P164">
        <f t="shared" si="57"/>
        <v>0</v>
      </c>
      <c r="Q164">
        <f t="shared" si="58"/>
        <v>0</v>
      </c>
      <c r="X164" t="str">
        <f t="shared" si="60"/>
        <v/>
      </c>
      <c r="Y164" t="str">
        <f t="shared" si="61"/>
        <v/>
      </c>
      <c r="Z164" t="str">
        <f t="shared" si="62"/>
        <v/>
      </c>
      <c r="AA164" t="str">
        <f t="shared" si="63"/>
        <v/>
      </c>
      <c r="AB164" t="str">
        <f t="shared" si="64"/>
        <v/>
      </c>
      <c r="AC164" t="str">
        <f t="shared" si="65"/>
        <v/>
      </c>
      <c r="AD164" t="str">
        <f t="shared" si="66"/>
        <v/>
      </c>
    </row>
    <row r="165" spans="14:30" thickBot="1" x14ac:dyDescent="0.3">
      <c r="N165">
        <f t="shared" si="59"/>
        <v>0</v>
      </c>
      <c r="O165">
        <f t="shared" si="56"/>
        <v>0</v>
      </c>
      <c r="P165">
        <f t="shared" si="57"/>
        <v>0</v>
      </c>
      <c r="Q165">
        <f t="shared" si="58"/>
        <v>0</v>
      </c>
      <c r="X165" t="str">
        <f t="shared" si="60"/>
        <v/>
      </c>
      <c r="Y165" t="str">
        <f t="shared" si="61"/>
        <v/>
      </c>
      <c r="Z165" t="str">
        <f t="shared" si="62"/>
        <v/>
      </c>
      <c r="AA165" t="str">
        <f t="shared" si="63"/>
        <v/>
      </c>
      <c r="AB165" t="str">
        <f t="shared" si="64"/>
        <v/>
      </c>
      <c r="AC165" t="str">
        <f t="shared" si="65"/>
        <v/>
      </c>
      <c r="AD165" t="str">
        <f t="shared" si="66"/>
        <v/>
      </c>
    </row>
    <row r="166" spans="14:30" thickBot="1" x14ac:dyDescent="0.3">
      <c r="N166">
        <f t="shared" si="59"/>
        <v>0</v>
      </c>
      <c r="O166">
        <f t="shared" si="56"/>
        <v>0</v>
      </c>
      <c r="P166">
        <f t="shared" si="57"/>
        <v>0</v>
      </c>
      <c r="Q166">
        <f t="shared" si="58"/>
        <v>0</v>
      </c>
      <c r="X166" t="str">
        <f t="shared" si="60"/>
        <v/>
      </c>
      <c r="Y166" t="str">
        <f t="shared" si="61"/>
        <v/>
      </c>
      <c r="Z166" t="str">
        <f t="shared" si="62"/>
        <v/>
      </c>
      <c r="AA166" t="str">
        <f t="shared" si="63"/>
        <v/>
      </c>
      <c r="AB166" t="str">
        <f t="shared" si="64"/>
        <v/>
      </c>
      <c r="AC166" t="str">
        <f t="shared" si="65"/>
        <v/>
      </c>
      <c r="AD166" t="str">
        <f t="shared" si="66"/>
        <v/>
      </c>
    </row>
    <row r="167" spans="14:30" thickBot="1" x14ac:dyDescent="0.3">
      <c r="N167">
        <f t="shared" si="59"/>
        <v>0</v>
      </c>
      <c r="O167">
        <f t="shared" si="56"/>
        <v>0</v>
      </c>
      <c r="P167">
        <f t="shared" si="57"/>
        <v>0</v>
      </c>
      <c r="Q167">
        <f t="shared" si="58"/>
        <v>0</v>
      </c>
      <c r="V167">
        <v>9</v>
      </c>
      <c r="X167" t="str">
        <f t="shared" si="60"/>
        <v/>
      </c>
      <c r="Y167" t="str">
        <f t="shared" si="61"/>
        <v/>
      </c>
      <c r="Z167" t="str">
        <f t="shared" si="62"/>
        <v/>
      </c>
      <c r="AA167" t="str">
        <f t="shared" si="63"/>
        <v/>
      </c>
      <c r="AB167" t="str">
        <f t="shared" si="64"/>
        <v>,</v>
      </c>
      <c r="AC167" t="str">
        <f t="shared" si="65"/>
        <v/>
      </c>
      <c r="AD167" t="str">
        <f t="shared" si="66"/>
        <v/>
      </c>
    </row>
    <row r="168" spans="14:30" thickBot="1" x14ac:dyDescent="0.3">
      <c r="N168">
        <f t="shared" si="59"/>
        <v>0</v>
      </c>
      <c r="O168">
        <f t="shared" si="56"/>
        <v>0</v>
      </c>
      <c r="P168">
        <f t="shared" si="57"/>
        <v>0</v>
      </c>
      <c r="Q168">
        <f t="shared" si="58"/>
        <v>0</v>
      </c>
      <c r="R168" s="91" t="str">
        <f t="shared" ref="R168:R175" si="70">IF(O168&gt;0,$N$180,"")</f>
        <v/>
      </c>
      <c r="S168" s="91" t="str">
        <f t="shared" ref="S168:S175" si="71">IF(P168&gt;0,$N$180,"")</f>
        <v/>
      </c>
      <c r="T168" s="91" t="str">
        <f t="shared" ref="T168:T175" si="72">IF(Q168&gt;0,$N$180,"")</f>
        <v/>
      </c>
      <c r="X168" t="str">
        <f t="shared" si="60"/>
        <v/>
      </c>
      <c r="Y168" t="str">
        <f t="shared" si="61"/>
        <v/>
      </c>
      <c r="Z168" t="str">
        <f t="shared" si="62"/>
        <v/>
      </c>
      <c r="AA168" t="str">
        <f t="shared" si="63"/>
        <v/>
      </c>
      <c r="AB168" t="str">
        <f t="shared" si="64"/>
        <v/>
      </c>
      <c r="AC168" t="str">
        <f t="shared" si="65"/>
        <v/>
      </c>
      <c r="AD168" t="str">
        <f t="shared" si="66"/>
        <v/>
      </c>
    </row>
    <row r="169" spans="14:30" thickBot="1" x14ac:dyDescent="0.3">
      <c r="N169">
        <f t="shared" si="59"/>
        <v>0</v>
      </c>
      <c r="O169">
        <f t="shared" si="56"/>
        <v>0</v>
      </c>
      <c r="P169">
        <f t="shared" si="57"/>
        <v>0</v>
      </c>
      <c r="Q169">
        <f t="shared" si="58"/>
        <v>0</v>
      </c>
      <c r="R169" s="91" t="str">
        <f t="shared" si="70"/>
        <v/>
      </c>
      <c r="S169" s="91" t="str">
        <f t="shared" si="71"/>
        <v/>
      </c>
      <c r="T169" s="91" t="str">
        <f t="shared" si="72"/>
        <v/>
      </c>
      <c r="X169" t="str">
        <f t="shared" si="60"/>
        <v/>
      </c>
      <c r="Y169" t="str">
        <f t="shared" si="61"/>
        <v/>
      </c>
      <c r="Z169" t="str">
        <f t="shared" si="62"/>
        <v/>
      </c>
      <c r="AA169" t="str">
        <f t="shared" si="63"/>
        <v/>
      </c>
      <c r="AB169" t="str">
        <f t="shared" si="64"/>
        <v/>
      </c>
      <c r="AC169" t="str">
        <f t="shared" si="65"/>
        <v/>
      </c>
      <c r="AD169" t="str">
        <f t="shared" si="66"/>
        <v/>
      </c>
    </row>
    <row r="170" spans="14:30" thickBot="1" x14ac:dyDescent="0.3">
      <c r="N170">
        <f t="shared" si="59"/>
        <v>0</v>
      </c>
      <c r="O170">
        <f t="shared" si="56"/>
        <v>0</v>
      </c>
      <c r="P170">
        <f t="shared" si="57"/>
        <v>0</v>
      </c>
      <c r="Q170">
        <f t="shared" si="58"/>
        <v>0</v>
      </c>
      <c r="R170" s="91" t="str">
        <f t="shared" si="70"/>
        <v/>
      </c>
      <c r="S170" s="91" t="str">
        <f t="shared" si="71"/>
        <v/>
      </c>
      <c r="T170" s="91" t="str">
        <f t="shared" si="72"/>
        <v/>
      </c>
      <c r="X170" t="str">
        <f t="shared" si="60"/>
        <v/>
      </c>
      <c r="Y170" t="str">
        <f t="shared" si="61"/>
        <v/>
      </c>
      <c r="Z170" t="str">
        <f t="shared" si="62"/>
        <v/>
      </c>
      <c r="AA170" t="str">
        <f t="shared" si="63"/>
        <v/>
      </c>
      <c r="AB170" t="str">
        <f t="shared" si="64"/>
        <v/>
      </c>
      <c r="AC170" t="str">
        <f t="shared" si="65"/>
        <v/>
      </c>
      <c r="AD170" t="str">
        <f t="shared" si="66"/>
        <v/>
      </c>
    </row>
    <row r="171" spans="14:30" thickBot="1" x14ac:dyDescent="0.3">
      <c r="N171">
        <f t="shared" si="59"/>
        <v>0</v>
      </c>
      <c r="O171">
        <f t="shared" si="56"/>
        <v>0</v>
      </c>
      <c r="P171">
        <f t="shared" si="57"/>
        <v>0</v>
      </c>
      <c r="Q171">
        <f t="shared" si="58"/>
        <v>0</v>
      </c>
      <c r="R171" s="91" t="str">
        <f t="shared" si="70"/>
        <v/>
      </c>
      <c r="S171" s="91" t="str">
        <f t="shared" si="71"/>
        <v/>
      </c>
      <c r="T171" s="91" t="str">
        <f t="shared" si="72"/>
        <v/>
      </c>
      <c r="X171" t="str">
        <f t="shared" si="60"/>
        <v/>
      </c>
      <c r="Y171" t="str">
        <f t="shared" si="61"/>
        <v/>
      </c>
      <c r="Z171" t="str">
        <f t="shared" si="62"/>
        <v/>
      </c>
      <c r="AA171" t="str">
        <f t="shared" si="63"/>
        <v/>
      </c>
      <c r="AB171" t="str">
        <f t="shared" si="64"/>
        <v/>
      </c>
      <c r="AC171" t="str">
        <f t="shared" si="65"/>
        <v/>
      </c>
      <c r="AD171" t="str">
        <f t="shared" si="66"/>
        <v/>
      </c>
    </row>
    <row r="172" spans="14:30" thickBot="1" x14ac:dyDescent="0.3">
      <c r="N172">
        <f t="shared" si="59"/>
        <v>0</v>
      </c>
      <c r="O172">
        <f t="shared" si="56"/>
        <v>0</v>
      </c>
      <c r="P172">
        <f t="shared" si="57"/>
        <v>0</v>
      </c>
      <c r="Q172">
        <f t="shared" si="58"/>
        <v>0</v>
      </c>
      <c r="R172" s="91" t="str">
        <f t="shared" si="70"/>
        <v/>
      </c>
      <c r="S172" s="91" t="str">
        <f t="shared" si="71"/>
        <v/>
      </c>
      <c r="T172" s="91" t="str">
        <f t="shared" si="72"/>
        <v/>
      </c>
      <c r="X172" t="str">
        <f t="shared" si="60"/>
        <v/>
      </c>
      <c r="Y172" t="str">
        <f t="shared" si="61"/>
        <v/>
      </c>
      <c r="Z172" t="str">
        <f t="shared" si="62"/>
        <v/>
      </c>
      <c r="AA172" t="str">
        <f t="shared" si="63"/>
        <v/>
      </c>
      <c r="AB172" t="str">
        <f t="shared" si="64"/>
        <v/>
      </c>
      <c r="AC172" t="str">
        <f t="shared" si="65"/>
        <v/>
      </c>
      <c r="AD172" t="str">
        <f t="shared" si="66"/>
        <v/>
      </c>
    </row>
    <row r="173" spans="14:30" thickBot="1" x14ac:dyDescent="0.3">
      <c r="N173">
        <f t="shared" si="59"/>
        <v>0</v>
      </c>
      <c r="O173">
        <f t="shared" si="56"/>
        <v>0</v>
      </c>
      <c r="P173">
        <f t="shared" si="57"/>
        <v>0</v>
      </c>
      <c r="Q173">
        <f t="shared" si="58"/>
        <v>0</v>
      </c>
      <c r="R173" s="91" t="str">
        <f t="shared" si="70"/>
        <v/>
      </c>
      <c r="S173" s="91" t="str">
        <f t="shared" si="71"/>
        <v/>
      </c>
      <c r="T173" s="91" t="str">
        <f t="shared" si="72"/>
        <v/>
      </c>
      <c r="X173" t="str">
        <f t="shared" si="60"/>
        <v/>
      </c>
      <c r="Y173" t="str">
        <f t="shared" si="61"/>
        <v/>
      </c>
      <c r="Z173" t="str">
        <f t="shared" si="62"/>
        <v/>
      </c>
      <c r="AA173" t="str">
        <f t="shared" si="63"/>
        <v/>
      </c>
      <c r="AB173" t="str">
        <f t="shared" si="64"/>
        <v/>
      </c>
      <c r="AC173" t="str">
        <f t="shared" si="65"/>
        <v/>
      </c>
      <c r="AD173" t="str">
        <f t="shared" si="66"/>
        <v/>
      </c>
    </row>
    <row r="174" spans="14:30" thickBot="1" x14ac:dyDescent="0.3">
      <c r="N174">
        <f t="shared" si="59"/>
        <v>0</v>
      </c>
      <c r="O174">
        <f t="shared" si="56"/>
        <v>0</v>
      </c>
      <c r="P174">
        <f t="shared" si="57"/>
        <v>0</v>
      </c>
      <c r="Q174">
        <f t="shared" si="58"/>
        <v>0</v>
      </c>
      <c r="R174" s="91" t="str">
        <f t="shared" si="70"/>
        <v/>
      </c>
      <c r="S174" s="91" t="str">
        <f t="shared" si="71"/>
        <v/>
      </c>
      <c r="T174" s="91" t="str">
        <f t="shared" si="72"/>
        <v/>
      </c>
      <c r="X174" t="str">
        <f t="shared" si="60"/>
        <v/>
      </c>
      <c r="Y174" t="str">
        <f t="shared" si="61"/>
        <v/>
      </c>
      <c r="Z174" t="str">
        <f t="shared" si="62"/>
        <v/>
      </c>
      <c r="AA174" t="str">
        <f t="shared" si="63"/>
        <v/>
      </c>
      <c r="AB174" t="str">
        <f t="shared" si="64"/>
        <v/>
      </c>
      <c r="AC174" t="str">
        <f t="shared" si="65"/>
        <v/>
      </c>
      <c r="AD174" t="str">
        <f t="shared" si="66"/>
        <v/>
      </c>
    </row>
    <row r="175" spans="14:30" thickBot="1" x14ac:dyDescent="0.3">
      <c r="N175">
        <f t="shared" si="59"/>
        <v>0</v>
      </c>
      <c r="O175">
        <f t="shared" si="56"/>
        <v>0</v>
      </c>
      <c r="P175">
        <f t="shared" si="57"/>
        <v>0</v>
      </c>
      <c r="Q175">
        <f t="shared" si="58"/>
        <v>0</v>
      </c>
      <c r="R175" s="91" t="str">
        <f t="shared" si="70"/>
        <v/>
      </c>
      <c r="S175" s="91" t="str">
        <f t="shared" si="71"/>
        <v/>
      </c>
      <c r="T175" s="91" t="str">
        <f t="shared" si="72"/>
        <v/>
      </c>
      <c r="X175" t="str">
        <f t="shared" si="60"/>
        <v/>
      </c>
      <c r="Y175" t="str">
        <f t="shared" si="61"/>
        <v/>
      </c>
      <c r="Z175" t="str">
        <f t="shared" si="62"/>
        <v/>
      </c>
      <c r="AA175" t="str">
        <f t="shared" si="63"/>
        <v/>
      </c>
      <c r="AB175" t="str">
        <f t="shared" si="64"/>
        <v/>
      </c>
      <c r="AC175" t="str">
        <f t="shared" si="65"/>
        <v/>
      </c>
      <c r="AD175" t="str">
        <f t="shared" si="66"/>
        <v/>
      </c>
    </row>
    <row r="176" spans="14:30" thickBot="1" x14ac:dyDescent="0.3">
      <c r="N176">
        <f t="shared" si="59"/>
        <v>0</v>
      </c>
      <c r="O176">
        <f t="shared" si="56"/>
        <v>0</v>
      </c>
      <c r="P176">
        <f t="shared" si="57"/>
        <v>0</v>
      </c>
      <c r="Q176">
        <f t="shared" si="58"/>
        <v>0</v>
      </c>
      <c r="X176" t="str">
        <f t="shared" si="60"/>
        <v/>
      </c>
      <c r="Y176" t="str">
        <f t="shared" si="61"/>
        <v/>
      </c>
      <c r="Z176" t="str">
        <f t="shared" si="62"/>
        <v/>
      </c>
      <c r="AA176" t="str">
        <f t="shared" si="63"/>
        <v/>
      </c>
      <c r="AB176" t="str">
        <f t="shared" si="64"/>
        <v/>
      </c>
      <c r="AC176" t="str">
        <f t="shared" si="65"/>
        <v/>
      </c>
      <c r="AD176" t="str">
        <f t="shared" si="66"/>
        <v/>
      </c>
    </row>
    <row r="177" spans="14:30" thickBot="1" x14ac:dyDescent="0.3">
      <c r="N177">
        <f t="shared" si="59"/>
        <v>0</v>
      </c>
      <c r="O177">
        <f t="shared" si="56"/>
        <v>0</v>
      </c>
      <c r="P177">
        <f t="shared" si="57"/>
        <v>0</v>
      </c>
      <c r="Q177">
        <f t="shared" si="58"/>
        <v>0</v>
      </c>
      <c r="X177" t="str">
        <f t="shared" si="60"/>
        <v/>
      </c>
      <c r="Y177" t="str">
        <f t="shared" si="61"/>
        <v/>
      </c>
      <c r="Z177" t="str">
        <f t="shared" si="62"/>
        <v/>
      </c>
      <c r="AA177" t="str">
        <f t="shared" si="63"/>
        <v/>
      </c>
      <c r="AB177" t="str">
        <f t="shared" si="64"/>
        <v/>
      </c>
      <c r="AC177" t="str">
        <f t="shared" si="65"/>
        <v/>
      </c>
      <c r="AD177" t="str">
        <f t="shared" si="66"/>
        <v/>
      </c>
    </row>
    <row r="178" spans="14:30" thickBot="1" x14ac:dyDescent="0.3">
      <c r="N178">
        <f t="shared" si="59"/>
        <v>0</v>
      </c>
      <c r="O178">
        <f t="shared" si="56"/>
        <v>0</v>
      </c>
      <c r="P178">
        <f t="shared" si="57"/>
        <v>0</v>
      </c>
      <c r="Q178">
        <f t="shared" si="58"/>
        <v>0</v>
      </c>
      <c r="X178" t="str">
        <f t="shared" si="60"/>
        <v/>
      </c>
      <c r="Y178" t="str">
        <f t="shared" si="61"/>
        <v/>
      </c>
      <c r="Z178" t="str">
        <f t="shared" si="62"/>
        <v/>
      </c>
      <c r="AA178" t="str">
        <f t="shared" si="63"/>
        <v/>
      </c>
      <c r="AB178" t="str">
        <f t="shared" si="64"/>
        <v/>
      </c>
      <c r="AC178" t="str">
        <f t="shared" si="65"/>
        <v/>
      </c>
      <c r="AD178" t="str">
        <f t="shared" si="66"/>
        <v/>
      </c>
    </row>
    <row r="179" spans="14:30" thickBot="1" x14ac:dyDescent="0.3">
      <c r="N179">
        <f t="shared" si="59"/>
        <v>0</v>
      </c>
      <c r="O179">
        <f t="shared" si="56"/>
        <v>0</v>
      </c>
      <c r="P179">
        <f t="shared" si="57"/>
        <v>0</v>
      </c>
      <c r="Q179">
        <f t="shared" si="58"/>
        <v>0</v>
      </c>
      <c r="X179" t="str">
        <f t="shared" si="60"/>
        <v/>
      </c>
      <c r="Y179" t="str">
        <f t="shared" si="61"/>
        <v/>
      </c>
      <c r="Z179" t="str">
        <f t="shared" si="62"/>
        <v/>
      </c>
      <c r="AA179" t="str">
        <f t="shared" si="63"/>
        <v/>
      </c>
      <c r="AB179" t="str">
        <f t="shared" si="64"/>
        <v/>
      </c>
      <c r="AC179" t="str">
        <f t="shared" si="65"/>
        <v/>
      </c>
      <c r="AD179" t="str">
        <f t="shared" si="66"/>
        <v/>
      </c>
    </row>
    <row r="180" spans="14:30" thickBot="1" x14ac:dyDescent="0.3">
      <c r="N180">
        <f t="shared" si="59"/>
        <v>0</v>
      </c>
      <c r="O180">
        <f t="shared" si="56"/>
        <v>0</v>
      </c>
      <c r="P180">
        <f t="shared" si="57"/>
        <v>0</v>
      </c>
      <c r="Q180">
        <f t="shared" si="58"/>
        <v>0</v>
      </c>
      <c r="X180" t="str">
        <f t="shared" si="60"/>
        <v/>
      </c>
      <c r="Y180" t="str">
        <f t="shared" si="61"/>
        <v/>
      </c>
      <c r="Z180" t="str">
        <f t="shared" si="62"/>
        <v/>
      </c>
      <c r="AA180" t="str">
        <f t="shared" si="63"/>
        <v/>
      </c>
      <c r="AB180" t="str">
        <f t="shared" si="64"/>
        <v/>
      </c>
      <c r="AC180" t="str">
        <f t="shared" si="65"/>
        <v/>
      </c>
      <c r="AD180" t="str">
        <f t="shared" si="66"/>
        <v/>
      </c>
    </row>
    <row r="181" spans="14:30" thickBot="1" x14ac:dyDescent="0.3">
      <c r="N181">
        <f t="shared" si="59"/>
        <v>0</v>
      </c>
      <c r="O181">
        <f t="shared" si="56"/>
        <v>0</v>
      </c>
      <c r="P181">
        <f t="shared" si="57"/>
        <v>0</v>
      </c>
      <c r="Q181">
        <f t="shared" si="58"/>
        <v>0</v>
      </c>
      <c r="X181" t="str">
        <f t="shared" si="60"/>
        <v/>
      </c>
      <c r="Y181" t="str">
        <f t="shared" si="61"/>
        <v/>
      </c>
      <c r="Z181" t="str">
        <f t="shared" si="62"/>
        <v/>
      </c>
      <c r="AA181" t="str">
        <f t="shared" si="63"/>
        <v/>
      </c>
      <c r="AB181" t="str">
        <f t="shared" si="64"/>
        <v/>
      </c>
      <c r="AC181" t="str">
        <f t="shared" si="65"/>
        <v/>
      </c>
      <c r="AD181" t="str">
        <f t="shared" si="66"/>
        <v/>
      </c>
    </row>
    <row r="182" spans="14:30" thickBot="1" x14ac:dyDescent="0.3">
      <c r="N182">
        <f t="shared" si="59"/>
        <v>0</v>
      </c>
      <c r="O182">
        <f t="shared" si="56"/>
        <v>0</v>
      </c>
      <c r="P182">
        <f t="shared" si="57"/>
        <v>0</v>
      </c>
      <c r="Q182">
        <f t="shared" si="58"/>
        <v>0</v>
      </c>
      <c r="X182" t="str">
        <f t="shared" si="60"/>
        <v/>
      </c>
      <c r="Y182" t="str">
        <f t="shared" si="61"/>
        <v/>
      </c>
      <c r="Z182" t="str">
        <f t="shared" si="62"/>
        <v/>
      </c>
      <c r="AA182" t="str">
        <f t="shared" si="63"/>
        <v/>
      </c>
      <c r="AB182" t="str">
        <f t="shared" si="64"/>
        <v/>
      </c>
      <c r="AC182" t="str">
        <f t="shared" si="65"/>
        <v/>
      </c>
      <c r="AD182" t="str">
        <f t="shared" si="66"/>
        <v/>
      </c>
    </row>
    <row r="183" spans="14:30" thickBot="1" x14ac:dyDescent="0.3">
      <c r="N183">
        <f t="shared" si="59"/>
        <v>0</v>
      </c>
      <c r="O183">
        <f t="shared" si="56"/>
        <v>0</v>
      </c>
      <c r="P183">
        <f t="shared" si="57"/>
        <v>0</v>
      </c>
      <c r="Q183">
        <f t="shared" si="58"/>
        <v>0</v>
      </c>
      <c r="X183" t="str">
        <f t="shared" si="60"/>
        <v/>
      </c>
      <c r="Y183" t="str">
        <f t="shared" si="61"/>
        <v/>
      </c>
      <c r="Z183" t="str">
        <f t="shared" si="62"/>
        <v/>
      </c>
      <c r="AA183" t="str">
        <f t="shared" si="63"/>
        <v/>
      </c>
      <c r="AB183" t="str">
        <f t="shared" si="64"/>
        <v/>
      </c>
      <c r="AC183" t="str">
        <f t="shared" si="65"/>
        <v/>
      </c>
      <c r="AD183" t="str">
        <f t="shared" si="66"/>
        <v/>
      </c>
    </row>
    <row r="184" spans="14:30" thickBot="1" x14ac:dyDescent="0.3">
      <c r="N184">
        <f t="shared" si="59"/>
        <v>0</v>
      </c>
      <c r="O184">
        <f t="shared" si="56"/>
        <v>0</v>
      </c>
      <c r="P184">
        <f t="shared" si="57"/>
        <v>0</v>
      </c>
      <c r="Q184">
        <f t="shared" si="58"/>
        <v>0</v>
      </c>
      <c r="X184" t="str">
        <f t="shared" si="60"/>
        <v/>
      </c>
      <c r="Y184" t="str">
        <f t="shared" si="61"/>
        <v/>
      </c>
      <c r="Z184" t="str">
        <f t="shared" si="62"/>
        <v/>
      </c>
      <c r="AA184" t="str">
        <f t="shared" si="63"/>
        <v/>
      </c>
      <c r="AB184" t="str">
        <f t="shared" si="64"/>
        <v/>
      </c>
      <c r="AC184" t="str">
        <f t="shared" si="65"/>
        <v/>
      </c>
      <c r="AD184" t="str">
        <f t="shared" si="66"/>
        <v/>
      </c>
    </row>
    <row r="185" spans="14:30" thickBot="1" x14ac:dyDescent="0.3">
      <c r="N185">
        <f t="shared" si="59"/>
        <v>0</v>
      </c>
      <c r="O185">
        <f t="shared" si="56"/>
        <v>0</v>
      </c>
      <c r="P185">
        <f t="shared" si="57"/>
        <v>0</v>
      </c>
      <c r="Q185">
        <f t="shared" si="58"/>
        <v>0</v>
      </c>
      <c r="X185" t="str">
        <f t="shared" si="60"/>
        <v/>
      </c>
      <c r="Y185" t="str">
        <f t="shared" si="61"/>
        <v/>
      </c>
      <c r="Z185" t="str">
        <f t="shared" si="62"/>
        <v/>
      </c>
      <c r="AA185" t="str">
        <f t="shared" si="63"/>
        <v/>
      </c>
      <c r="AB185" t="str">
        <f t="shared" si="64"/>
        <v/>
      </c>
      <c r="AC185" t="str">
        <f t="shared" si="65"/>
        <v/>
      </c>
      <c r="AD185" t="str">
        <f t="shared" si="66"/>
        <v/>
      </c>
    </row>
    <row r="186" spans="14:30" thickBot="1" x14ac:dyDescent="0.3">
      <c r="N186">
        <f t="shared" si="59"/>
        <v>0</v>
      </c>
      <c r="O186">
        <f t="shared" si="56"/>
        <v>0</v>
      </c>
      <c r="P186">
        <f t="shared" si="57"/>
        <v>0</v>
      </c>
      <c r="Q186">
        <f t="shared" si="58"/>
        <v>0</v>
      </c>
      <c r="X186" t="str">
        <f t="shared" si="60"/>
        <v/>
      </c>
      <c r="Y186" t="str">
        <f t="shared" si="61"/>
        <v/>
      </c>
      <c r="Z186" t="str">
        <f t="shared" si="62"/>
        <v/>
      </c>
      <c r="AA186" t="str">
        <f t="shared" si="63"/>
        <v/>
      </c>
      <c r="AB186" t="str">
        <f t="shared" si="64"/>
        <v/>
      </c>
      <c r="AC186" t="str">
        <f t="shared" si="65"/>
        <v/>
      </c>
      <c r="AD186" t="str">
        <f t="shared" si="66"/>
        <v/>
      </c>
    </row>
    <row r="187" spans="14:30" thickBot="1" x14ac:dyDescent="0.3">
      <c r="N187">
        <f t="shared" si="59"/>
        <v>0</v>
      </c>
      <c r="O187">
        <f t="shared" si="56"/>
        <v>0</v>
      </c>
      <c r="P187">
        <f t="shared" si="57"/>
        <v>0</v>
      </c>
      <c r="Q187">
        <f t="shared" si="58"/>
        <v>0</v>
      </c>
      <c r="V187">
        <v>10</v>
      </c>
      <c r="X187" t="str">
        <f t="shared" si="60"/>
        <v/>
      </c>
      <c r="Y187" t="str">
        <f t="shared" si="61"/>
        <v/>
      </c>
      <c r="Z187" t="str">
        <f t="shared" si="62"/>
        <v/>
      </c>
      <c r="AA187" t="str">
        <f t="shared" si="63"/>
        <v/>
      </c>
      <c r="AB187" t="str">
        <f t="shared" si="64"/>
        <v>,</v>
      </c>
      <c r="AC187" t="str">
        <f t="shared" si="65"/>
        <v/>
      </c>
      <c r="AD187" t="str">
        <f t="shared" si="66"/>
        <v/>
      </c>
    </row>
    <row r="188" spans="14:30" thickBot="1" x14ac:dyDescent="0.3">
      <c r="N188">
        <f t="shared" si="59"/>
        <v>0</v>
      </c>
      <c r="O188">
        <f t="shared" si="56"/>
        <v>0</v>
      </c>
      <c r="P188">
        <f t="shared" si="57"/>
        <v>0</v>
      </c>
      <c r="Q188">
        <f t="shared" si="58"/>
        <v>0</v>
      </c>
      <c r="R188" s="91" t="str">
        <f t="shared" ref="R188:R195" si="73">IF(O188&gt;0,$N$200,"")</f>
        <v/>
      </c>
      <c r="S188" s="91" t="str">
        <f t="shared" ref="S188:S195" si="74">IF(P188&gt;0,$N$200,"")</f>
        <v/>
      </c>
      <c r="T188" s="91" t="str">
        <f t="shared" ref="T188:T195" si="75">IF(Q188&gt;0,$N$200,"")</f>
        <v/>
      </c>
      <c r="X188" t="str">
        <f t="shared" si="60"/>
        <v/>
      </c>
      <c r="Y188" t="str">
        <f t="shared" si="61"/>
        <v/>
      </c>
      <c r="Z188" t="str">
        <f t="shared" si="62"/>
        <v/>
      </c>
      <c r="AA188" t="str">
        <f t="shared" si="63"/>
        <v/>
      </c>
      <c r="AB188" t="str">
        <f t="shared" si="64"/>
        <v/>
      </c>
      <c r="AC188" t="str">
        <f t="shared" si="65"/>
        <v/>
      </c>
      <c r="AD188" t="str">
        <f t="shared" si="66"/>
        <v/>
      </c>
    </row>
    <row r="189" spans="14:30" thickBot="1" x14ac:dyDescent="0.3">
      <c r="N189">
        <f t="shared" si="59"/>
        <v>0</v>
      </c>
      <c r="O189">
        <f t="shared" si="56"/>
        <v>0</v>
      </c>
      <c r="P189">
        <f t="shared" si="57"/>
        <v>0</v>
      </c>
      <c r="Q189">
        <f t="shared" si="58"/>
        <v>0</v>
      </c>
      <c r="R189" s="91" t="str">
        <f t="shared" si="73"/>
        <v/>
      </c>
      <c r="S189" s="91" t="str">
        <f t="shared" si="74"/>
        <v/>
      </c>
      <c r="T189" s="91" t="str">
        <f t="shared" si="75"/>
        <v/>
      </c>
      <c r="X189" t="str">
        <f t="shared" si="60"/>
        <v/>
      </c>
      <c r="Y189" t="str">
        <f t="shared" si="61"/>
        <v/>
      </c>
      <c r="Z189" t="str">
        <f t="shared" si="62"/>
        <v/>
      </c>
      <c r="AA189" t="str">
        <f t="shared" si="63"/>
        <v/>
      </c>
      <c r="AB189" t="str">
        <f t="shared" si="64"/>
        <v/>
      </c>
      <c r="AC189" t="str">
        <f t="shared" si="65"/>
        <v/>
      </c>
      <c r="AD189" t="str">
        <f t="shared" si="66"/>
        <v/>
      </c>
    </row>
    <row r="190" spans="14:30" thickBot="1" x14ac:dyDescent="0.3">
      <c r="N190">
        <f t="shared" si="59"/>
        <v>0</v>
      </c>
      <c r="O190">
        <f t="shared" si="56"/>
        <v>0</v>
      </c>
      <c r="P190">
        <f t="shared" si="57"/>
        <v>0</v>
      </c>
      <c r="Q190">
        <f t="shared" si="58"/>
        <v>0</v>
      </c>
      <c r="R190" s="91" t="str">
        <f t="shared" si="73"/>
        <v/>
      </c>
      <c r="S190" s="91" t="str">
        <f t="shared" si="74"/>
        <v/>
      </c>
      <c r="T190" s="91" t="str">
        <f t="shared" si="75"/>
        <v/>
      </c>
      <c r="X190" t="str">
        <f t="shared" si="60"/>
        <v/>
      </c>
      <c r="Y190" t="str">
        <f t="shared" si="61"/>
        <v/>
      </c>
      <c r="Z190" t="str">
        <f t="shared" si="62"/>
        <v/>
      </c>
      <c r="AA190" t="str">
        <f t="shared" si="63"/>
        <v/>
      </c>
      <c r="AB190" t="str">
        <f t="shared" si="64"/>
        <v/>
      </c>
      <c r="AC190" t="str">
        <f t="shared" si="65"/>
        <v/>
      </c>
      <c r="AD190" t="str">
        <f t="shared" si="66"/>
        <v/>
      </c>
    </row>
    <row r="191" spans="14:30" thickBot="1" x14ac:dyDescent="0.3">
      <c r="N191">
        <f t="shared" si="59"/>
        <v>0</v>
      </c>
      <c r="O191">
        <f t="shared" si="56"/>
        <v>0</v>
      </c>
      <c r="P191">
        <f t="shared" si="57"/>
        <v>0</v>
      </c>
      <c r="Q191">
        <f t="shared" si="58"/>
        <v>0</v>
      </c>
      <c r="R191" s="91" t="str">
        <f t="shared" si="73"/>
        <v/>
      </c>
      <c r="S191" s="91" t="str">
        <f t="shared" si="74"/>
        <v/>
      </c>
      <c r="T191" s="91" t="str">
        <f t="shared" si="75"/>
        <v/>
      </c>
      <c r="X191" t="str">
        <f t="shared" si="60"/>
        <v/>
      </c>
      <c r="Y191" t="str">
        <f t="shared" si="61"/>
        <v/>
      </c>
      <c r="Z191" t="str">
        <f t="shared" si="62"/>
        <v/>
      </c>
      <c r="AA191" t="str">
        <f t="shared" si="63"/>
        <v/>
      </c>
      <c r="AB191" t="str">
        <f t="shared" si="64"/>
        <v/>
      </c>
      <c r="AC191" t="str">
        <f t="shared" si="65"/>
        <v/>
      </c>
      <c r="AD191" t="str">
        <f t="shared" si="66"/>
        <v/>
      </c>
    </row>
    <row r="192" spans="14:30" thickBot="1" x14ac:dyDescent="0.3">
      <c r="N192">
        <f t="shared" si="59"/>
        <v>0</v>
      </c>
      <c r="O192">
        <f t="shared" si="56"/>
        <v>0</v>
      </c>
      <c r="P192">
        <f t="shared" si="57"/>
        <v>0</v>
      </c>
      <c r="Q192">
        <f t="shared" si="58"/>
        <v>0</v>
      </c>
      <c r="R192" s="91" t="str">
        <f t="shared" si="73"/>
        <v/>
      </c>
      <c r="S192" s="91" t="str">
        <f t="shared" si="74"/>
        <v/>
      </c>
      <c r="T192" s="91" t="str">
        <f t="shared" si="75"/>
        <v/>
      </c>
      <c r="X192" t="str">
        <f t="shared" si="60"/>
        <v/>
      </c>
      <c r="Y192" t="str">
        <f t="shared" si="61"/>
        <v/>
      </c>
      <c r="Z192" t="str">
        <f t="shared" si="62"/>
        <v/>
      </c>
      <c r="AA192" t="str">
        <f t="shared" si="63"/>
        <v/>
      </c>
      <c r="AB192" t="str">
        <f t="shared" si="64"/>
        <v/>
      </c>
      <c r="AC192" t="str">
        <f t="shared" si="65"/>
        <v/>
      </c>
      <c r="AD192" t="str">
        <f t="shared" si="66"/>
        <v/>
      </c>
    </row>
    <row r="193" spans="14:30" thickBot="1" x14ac:dyDescent="0.3">
      <c r="N193">
        <f t="shared" si="59"/>
        <v>0</v>
      </c>
      <c r="O193">
        <f t="shared" ref="O193:O256" si="76">B193</f>
        <v>0</v>
      </c>
      <c r="P193">
        <f t="shared" ref="P193:P256" si="77">C193</f>
        <v>0</v>
      </c>
      <c r="Q193">
        <f t="shared" ref="Q193:Q256" si="78">D193</f>
        <v>0</v>
      </c>
      <c r="R193" s="91" t="str">
        <f t="shared" si="73"/>
        <v/>
      </c>
      <c r="S193" s="91" t="str">
        <f t="shared" si="74"/>
        <v/>
      </c>
      <c r="T193" s="91" t="str">
        <f t="shared" si="75"/>
        <v/>
      </c>
      <c r="X193" t="str">
        <f t="shared" si="60"/>
        <v/>
      </c>
      <c r="Y193" t="str">
        <f t="shared" si="61"/>
        <v/>
      </c>
      <c r="Z193" t="str">
        <f t="shared" si="62"/>
        <v/>
      </c>
      <c r="AA193" t="str">
        <f t="shared" si="63"/>
        <v/>
      </c>
      <c r="AB193" t="str">
        <f t="shared" si="64"/>
        <v/>
      </c>
      <c r="AC193" t="str">
        <f t="shared" si="65"/>
        <v/>
      </c>
      <c r="AD193" t="str">
        <f t="shared" si="66"/>
        <v/>
      </c>
    </row>
    <row r="194" spans="14:30" thickBot="1" x14ac:dyDescent="0.3">
      <c r="N194">
        <f t="shared" ref="N194:N257" si="79">A194</f>
        <v>0</v>
      </c>
      <c r="O194">
        <f t="shared" si="76"/>
        <v>0</v>
      </c>
      <c r="P194">
        <f t="shared" si="77"/>
        <v>0</v>
      </c>
      <c r="Q194">
        <f t="shared" si="78"/>
        <v>0</v>
      </c>
      <c r="R194" s="91" t="str">
        <f t="shared" si="73"/>
        <v/>
      </c>
      <c r="S194" s="91" t="str">
        <f t="shared" si="74"/>
        <v/>
      </c>
      <c r="T194" s="91" t="str">
        <f t="shared" si="75"/>
        <v/>
      </c>
      <c r="X194" t="str">
        <f t="shared" si="60"/>
        <v/>
      </c>
      <c r="Y194" t="str">
        <f t="shared" si="61"/>
        <v/>
      </c>
      <c r="Z194" t="str">
        <f t="shared" si="62"/>
        <v/>
      </c>
      <c r="AA194" t="str">
        <f t="shared" si="63"/>
        <v/>
      </c>
      <c r="AB194" t="str">
        <f t="shared" si="64"/>
        <v/>
      </c>
      <c r="AC194" t="str">
        <f t="shared" si="65"/>
        <v/>
      </c>
      <c r="AD194" t="str">
        <f t="shared" si="66"/>
        <v/>
      </c>
    </row>
    <row r="195" spans="14:30" thickBot="1" x14ac:dyDescent="0.3">
      <c r="N195">
        <f t="shared" si="79"/>
        <v>0</v>
      </c>
      <c r="O195">
        <f t="shared" si="76"/>
        <v>0</v>
      </c>
      <c r="P195">
        <f t="shared" si="77"/>
        <v>0</v>
      </c>
      <c r="Q195">
        <f t="shared" si="78"/>
        <v>0</v>
      </c>
      <c r="R195" s="91" t="str">
        <f t="shared" si="73"/>
        <v/>
      </c>
      <c r="S195" s="91" t="str">
        <f t="shared" si="74"/>
        <v/>
      </c>
      <c r="T195" s="91" t="str">
        <f t="shared" si="75"/>
        <v/>
      </c>
      <c r="X195" t="str">
        <f t="shared" si="60"/>
        <v/>
      </c>
      <c r="Y195" t="str">
        <f t="shared" si="61"/>
        <v/>
      </c>
      <c r="Z195" t="str">
        <f t="shared" si="62"/>
        <v/>
      </c>
      <c r="AA195" t="str">
        <f t="shared" si="63"/>
        <v/>
      </c>
      <c r="AB195" t="str">
        <f t="shared" si="64"/>
        <v/>
      </c>
      <c r="AC195" t="str">
        <f t="shared" si="65"/>
        <v/>
      </c>
      <c r="AD195" t="str">
        <f t="shared" si="66"/>
        <v/>
      </c>
    </row>
    <row r="196" spans="14:30" thickBot="1" x14ac:dyDescent="0.3">
      <c r="N196">
        <f t="shared" si="79"/>
        <v>0</v>
      </c>
      <c r="O196">
        <f t="shared" si="76"/>
        <v>0</v>
      </c>
      <c r="P196">
        <f t="shared" si="77"/>
        <v>0</v>
      </c>
      <c r="Q196">
        <f t="shared" si="78"/>
        <v>0</v>
      </c>
      <c r="X196" t="str">
        <f t="shared" si="60"/>
        <v/>
      </c>
      <c r="Y196" t="str">
        <f t="shared" si="61"/>
        <v/>
      </c>
      <c r="Z196" t="str">
        <f t="shared" si="62"/>
        <v/>
      </c>
      <c r="AA196" t="str">
        <f t="shared" si="63"/>
        <v/>
      </c>
      <c r="AB196" t="str">
        <f t="shared" si="64"/>
        <v/>
      </c>
      <c r="AC196" t="str">
        <f t="shared" si="65"/>
        <v/>
      </c>
      <c r="AD196" t="str">
        <f t="shared" si="66"/>
        <v/>
      </c>
    </row>
    <row r="197" spans="14:30" thickBot="1" x14ac:dyDescent="0.3">
      <c r="N197">
        <f t="shared" si="79"/>
        <v>0</v>
      </c>
      <c r="O197">
        <f t="shared" si="76"/>
        <v>0</v>
      </c>
      <c r="P197">
        <f t="shared" si="77"/>
        <v>0</v>
      </c>
      <c r="Q197">
        <f t="shared" si="78"/>
        <v>0</v>
      </c>
      <c r="X197" t="str">
        <f t="shared" si="60"/>
        <v/>
      </c>
      <c r="Y197" t="str">
        <f t="shared" si="61"/>
        <v/>
      </c>
      <c r="Z197" t="str">
        <f t="shared" si="62"/>
        <v/>
      </c>
      <c r="AA197" t="str">
        <f t="shared" si="63"/>
        <v/>
      </c>
      <c r="AB197" t="str">
        <f t="shared" si="64"/>
        <v/>
      </c>
      <c r="AC197" t="str">
        <f t="shared" si="65"/>
        <v/>
      </c>
      <c r="AD197" t="str">
        <f t="shared" si="66"/>
        <v/>
      </c>
    </row>
    <row r="198" spans="14:30" thickBot="1" x14ac:dyDescent="0.3">
      <c r="N198">
        <f t="shared" si="79"/>
        <v>0</v>
      </c>
      <c r="O198">
        <f t="shared" si="76"/>
        <v>0</v>
      </c>
      <c r="P198">
        <f t="shared" si="77"/>
        <v>0</v>
      </c>
      <c r="Q198">
        <f t="shared" si="78"/>
        <v>0</v>
      </c>
      <c r="X198" t="str">
        <f t="shared" si="60"/>
        <v/>
      </c>
      <c r="Y198" t="str">
        <f t="shared" si="61"/>
        <v/>
      </c>
      <c r="Z198" t="str">
        <f t="shared" si="62"/>
        <v/>
      </c>
      <c r="AA198" t="str">
        <f t="shared" si="63"/>
        <v/>
      </c>
      <c r="AB198" t="str">
        <f t="shared" si="64"/>
        <v/>
      </c>
      <c r="AC198" t="str">
        <f t="shared" si="65"/>
        <v/>
      </c>
      <c r="AD198" t="str">
        <f t="shared" si="66"/>
        <v/>
      </c>
    </row>
    <row r="199" spans="14:30" thickBot="1" x14ac:dyDescent="0.3">
      <c r="N199">
        <f t="shared" si="79"/>
        <v>0</v>
      </c>
      <c r="O199">
        <f t="shared" si="76"/>
        <v>0</v>
      </c>
      <c r="P199">
        <f t="shared" si="77"/>
        <v>0</v>
      </c>
      <c r="Q199">
        <f t="shared" si="78"/>
        <v>0</v>
      </c>
      <c r="X199" t="str">
        <f t="shared" si="60"/>
        <v/>
      </c>
      <c r="Y199" t="str">
        <f t="shared" si="61"/>
        <v/>
      </c>
      <c r="Z199" t="str">
        <f t="shared" si="62"/>
        <v/>
      </c>
      <c r="AA199" t="str">
        <f t="shared" si="63"/>
        <v/>
      </c>
      <c r="AB199" t="str">
        <f t="shared" si="64"/>
        <v/>
      </c>
      <c r="AC199" t="str">
        <f t="shared" si="65"/>
        <v/>
      </c>
      <c r="AD199" t="str">
        <f t="shared" si="66"/>
        <v/>
      </c>
    </row>
    <row r="200" spans="14:30" thickBot="1" x14ac:dyDescent="0.3">
      <c r="N200">
        <f t="shared" si="79"/>
        <v>0</v>
      </c>
      <c r="O200">
        <f t="shared" si="76"/>
        <v>0</v>
      </c>
      <c r="P200">
        <f t="shared" si="77"/>
        <v>0</v>
      </c>
      <c r="Q200">
        <f t="shared" si="78"/>
        <v>0</v>
      </c>
      <c r="X200" t="str">
        <f t="shared" ref="X200:X263" si="80">IF(R200="","",",")</f>
        <v/>
      </c>
      <c r="Y200" t="str">
        <f t="shared" ref="Y200:Y263" si="81">IF(S200="","",",")</f>
        <v/>
      </c>
      <c r="Z200" t="str">
        <f t="shared" ref="Z200:Z263" si="82">IF(T200="","",",")</f>
        <v/>
      </c>
      <c r="AA200" t="str">
        <f t="shared" ref="AA200:AA263" si="83">IF(U200="","",",")</f>
        <v/>
      </c>
      <c r="AB200" t="str">
        <f t="shared" ref="AB200:AB263" si="84">IF(V200="","",",")</f>
        <v/>
      </c>
      <c r="AC200" t="str">
        <f t="shared" ref="AC200:AC263" si="85">IF(W200="","",",")</f>
        <v/>
      </c>
      <c r="AD200" t="str">
        <f t="shared" ref="AD200:AD263" si="86">IF(X200="","",",")</f>
        <v/>
      </c>
    </row>
    <row r="201" spans="14:30" thickBot="1" x14ac:dyDescent="0.3">
      <c r="N201">
        <f t="shared" si="79"/>
        <v>0</v>
      </c>
      <c r="O201">
        <f t="shared" si="76"/>
        <v>0</v>
      </c>
      <c r="P201">
        <f t="shared" si="77"/>
        <v>0</v>
      </c>
      <c r="Q201">
        <f t="shared" si="78"/>
        <v>0</v>
      </c>
      <c r="X201" t="str">
        <f t="shared" si="80"/>
        <v/>
      </c>
      <c r="Y201" t="str">
        <f t="shared" si="81"/>
        <v/>
      </c>
      <c r="Z201" t="str">
        <f t="shared" si="82"/>
        <v/>
      </c>
      <c r="AA201" t="str">
        <f t="shared" si="83"/>
        <v/>
      </c>
      <c r="AB201" t="str">
        <f t="shared" si="84"/>
        <v/>
      </c>
      <c r="AC201" t="str">
        <f t="shared" si="85"/>
        <v/>
      </c>
      <c r="AD201" t="str">
        <f t="shared" si="86"/>
        <v/>
      </c>
    </row>
    <row r="202" spans="14:30" thickBot="1" x14ac:dyDescent="0.3">
      <c r="N202">
        <f t="shared" si="79"/>
        <v>0</v>
      </c>
      <c r="O202">
        <f t="shared" si="76"/>
        <v>0</v>
      </c>
      <c r="P202">
        <f t="shared" si="77"/>
        <v>0</v>
      </c>
      <c r="Q202">
        <f t="shared" si="78"/>
        <v>0</v>
      </c>
      <c r="X202" t="str">
        <f t="shared" si="80"/>
        <v/>
      </c>
      <c r="Y202" t="str">
        <f t="shared" si="81"/>
        <v/>
      </c>
      <c r="Z202" t="str">
        <f t="shared" si="82"/>
        <v/>
      </c>
      <c r="AA202" t="str">
        <f t="shared" si="83"/>
        <v/>
      </c>
      <c r="AB202" t="str">
        <f t="shared" si="84"/>
        <v/>
      </c>
      <c r="AC202" t="str">
        <f t="shared" si="85"/>
        <v/>
      </c>
      <c r="AD202" t="str">
        <f t="shared" si="86"/>
        <v/>
      </c>
    </row>
    <row r="203" spans="14:30" thickBot="1" x14ac:dyDescent="0.3">
      <c r="N203">
        <f t="shared" si="79"/>
        <v>0</v>
      </c>
      <c r="O203">
        <f t="shared" si="76"/>
        <v>0</v>
      </c>
      <c r="P203">
        <f t="shared" si="77"/>
        <v>0</v>
      </c>
      <c r="Q203">
        <f t="shared" si="78"/>
        <v>0</v>
      </c>
      <c r="X203" t="str">
        <f t="shared" si="80"/>
        <v/>
      </c>
      <c r="Y203" t="str">
        <f t="shared" si="81"/>
        <v/>
      </c>
      <c r="Z203" t="str">
        <f t="shared" si="82"/>
        <v/>
      </c>
      <c r="AA203" t="str">
        <f t="shared" si="83"/>
        <v/>
      </c>
      <c r="AB203" t="str">
        <f t="shared" si="84"/>
        <v/>
      </c>
      <c r="AC203" t="str">
        <f t="shared" si="85"/>
        <v/>
      </c>
      <c r="AD203" t="str">
        <f t="shared" si="86"/>
        <v/>
      </c>
    </row>
    <row r="204" spans="14:30" thickBot="1" x14ac:dyDescent="0.3">
      <c r="N204">
        <f t="shared" si="79"/>
        <v>0</v>
      </c>
      <c r="O204">
        <f t="shared" si="76"/>
        <v>0</v>
      </c>
      <c r="P204">
        <f t="shared" si="77"/>
        <v>0</v>
      </c>
      <c r="Q204">
        <f t="shared" si="78"/>
        <v>0</v>
      </c>
      <c r="X204" t="str">
        <f t="shared" si="80"/>
        <v/>
      </c>
      <c r="Y204" t="str">
        <f t="shared" si="81"/>
        <v/>
      </c>
      <c r="Z204" t="str">
        <f t="shared" si="82"/>
        <v/>
      </c>
      <c r="AA204" t="str">
        <f t="shared" si="83"/>
        <v/>
      </c>
      <c r="AB204" t="str">
        <f t="shared" si="84"/>
        <v/>
      </c>
      <c r="AC204" t="str">
        <f t="shared" si="85"/>
        <v/>
      </c>
      <c r="AD204" t="str">
        <f t="shared" si="86"/>
        <v/>
      </c>
    </row>
    <row r="205" spans="14:30" thickBot="1" x14ac:dyDescent="0.3">
      <c r="N205">
        <f t="shared" si="79"/>
        <v>0</v>
      </c>
      <c r="O205">
        <f t="shared" si="76"/>
        <v>0</v>
      </c>
      <c r="P205">
        <f t="shared" si="77"/>
        <v>0</v>
      </c>
      <c r="Q205">
        <f t="shared" si="78"/>
        <v>0</v>
      </c>
      <c r="X205" t="str">
        <f t="shared" si="80"/>
        <v/>
      </c>
      <c r="Y205" t="str">
        <f t="shared" si="81"/>
        <v/>
      </c>
      <c r="Z205" t="str">
        <f t="shared" si="82"/>
        <v/>
      </c>
      <c r="AA205" t="str">
        <f t="shared" si="83"/>
        <v/>
      </c>
      <c r="AB205" t="str">
        <f t="shared" si="84"/>
        <v/>
      </c>
      <c r="AC205" t="str">
        <f t="shared" si="85"/>
        <v/>
      </c>
      <c r="AD205" t="str">
        <f t="shared" si="86"/>
        <v/>
      </c>
    </row>
    <row r="206" spans="14:30" thickBot="1" x14ac:dyDescent="0.3">
      <c r="N206">
        <f t="shared" si="79"/>
        <v>0</v>
      </c>
      <c r="O206">
        <f t="shared" si="76"/>
        <v>0</v>
      </c>
      <c r="P206">
        <f t="shared" si="77"/>
        <v>0</v>
      </c>
      <c r="Q206">
        <f t="shared" si="78"/>
        <v>0</v>
      </c>
      <c r="X206" t="str">
        <f t="shared" si="80"/>
        <v/>
      </c>
      <c r="Y206" t="str">
        <f t="shared" si="81"/>
        <v/>
      </c>
      <c r="Z206" t="str">
        <f t="shared" si="82"/>
        <v/>
      </c>
      <c r="AA206" t="str">
        <f t="shared" si="83"/>
        <v/>
      </c>
      <c r="AB206" t="str">
        <f t="shared" si="84"/>
        <v/>
      </c>
      <c r="AC206" t="str">
        <f t="shared" si="85"/>
        <v/>
      </c>
      <c r="AD206" t="str">
        <f t="shared" si="86"/>
        <v/>
      </c>
    </row>
    <row r="207" spans="14:30" thickBot="1" x14ac:dyDescent="0.3">
      <c r="N207">
        <f t="shared" si="79"/>
        <v>0</v>
      </c>
      <c r="O207">
        <f t="shared" si="76"/>
        <v>0</v>
      </c>
      <c r="P207">
        <f t="shared" si="77"/>
        <v>0</v>
      </c>
      <c r="Q207">
        <f t="shared" si="78"/>
        <v>0</v>
      </c>
      <c r="V207">
        <v>11</v>
      </c>
      <c r="X207" t="str">
        <f t="shared" si="80"/>
        <v/>
      </c>
      <c r="Y207" t="str">
        <f t="shared" si="81"/>
        <v/>
      </c>
      <c r="Z207" t="str">
        <f t="shared" si="82"/>
        <v/>
      </c>
      <c r="AA207" t="str">
        <f t="shared" si="83"/>
        <v/>
      </c>
      <c r="AB207" t="str">
        <f t="shared" si="84"/>
        <v>,</v>
      </c>
      <c r="AC207" t="str">
        <f t="shared" si="85"/>
        <v/>
      </c>
      <c r="AD207" t="str">
        <f t="shared" si="86"/>
        <v/>
      </c>
    </row>
    <row r="208" spans="14:30" thickBot="1" x14ac:dyDescent="0.3">
      <c r="N208">
        <f t="shared" si="79"/>
        <v>0</v>
      </c>
      <c r="O208">
        <f t="shared" si="76"/>
        <v>0</v>
      </c>
      <c r="P208">
        <f t="shared" si="77"/>
        <v>0</v>
      </c>
      <c r="Q208">
        <f t="shared" si="78"/>
        <v>0</v>
      </c>
      <c r="R208" s="91" t="str">
        <f t="shared" ref="R208:R215" si="87">IF(O208&gt;0,$N$220,"")</f>
        <v/>
      </c>
      <c r="S208" s="91" t="str">
        <f t="shared" ref="S208:S215" si="88">IF(P208&gt;0,$N$220,"")</f>
        <v/>
      </c>
      <c r="T208" s="91" t="str">
        <f t="shared" ref="T208:T215" si="89">IF(Q208&gt;0,$N$220,"")</f>
        <v/>
      </c>
      <c r="X208" t="str">
        <f t="shared" si="80"/>
        <v/>
      </c>
      <c r="Y208" t="str">
        <f t="shared" si="81"/>
        <v/>
      </c>
      <c r="Z208" t="str">
        <f t="shared" si="82"/>
        <v/>
      </c>
      <c r="AA208" t="str">
        <f t="shared" si="83"/>
        <v/>
      </c>
      <c r="AB208" t="str">
        <f t="shared" si="84"/>
        <v/>
      </c>
      <c r="AC208" t="str">
        <f t="shared" si="85"/>
        <v/>
      </c>
      <c r="AD208" t="str">
        <f t="shared" si="86"/>
        <v/>
      </c>
    </row>
    <row r="209" spans="14:30" thickBot="1" x14ac:dyDescent="0.3">
      <c r="N209">
        <f t="shared" si="79"/>
        <v>0</v>
      </c>
      <c r="O209">
        <f t="shared" si="76"/>
        <v>0</v>
      </c>
      <c r="P209">
        <f t="shared" si="77"/>
        <v>0</v>
      </c>
      <c r="Q209">
        <f t="shared" si="78"/>
        <v>0</v>
      </c>
      <c r="R209" s="91" t="str">
        <f t="shared" si="87"/>
        <v/>
      </c>
      <c r="S209" s="91" t="str">
        <f t="shared" si="88"/>
        <v/>
      </c>
      <c r="T209" s="91" t="str">
        <f t="shared" si="89"/>
        <v/>
      </c>
      <c r="X209" t="str">
        <f t="shared" si="80"/>
        <v/>
      </c>
      <c r="Y209" t="str">
        <f t="shared" si="81"/>
        <v/>
      </c>
      <c r="Z209" t="str">
        <f t="shared" si="82"/>
        <v/>
      </c>
      <c r="AA209" t="str">
        <f t="shared" si="83"/>
        <v/>
      </c>
      <c r="AB209" t="str">
        <f t="shared" si="84"/>
        <v/>
      </c>
      <c r="AC209" t="str">
        <f t="shared" si="85"/>
        <v/>
      </c>
      <c r="AD209" t="str">
        <f t="shared" si="86"/>
        <v/>
      </c>
    </row>
    <row r="210" spans="14:30" thickBot="1" x14ac:dyDescent="0.3">
      <c r="N210">
        <f t="shared" si="79"/>
        <v>0</v>
      </c>
      <c r="O210">
        <f t="shared" si="76"/>
        <v>0</v>
      </c>
      <c r="P210">
        <f t="shared" si="77"/>
        <v>0</v>
      </c>
      <c r="Q210">
        <f t="shared" si="78"/>
        <v>0</v>
      </c>
      <c r="R210" s="91" t="str">
        <f t="shared" si="87"/>
        <v/>
      </c>
      <c r="S210" s="91" t="str">
        <f t="shared" si="88"/>
        <v/>
      </c>
      <c r="T210" s="91" t="str">
        <f t="shared" si="89"/>
        <v/>
      </c>
      <c r="X210" t="str">
        <f t="shared" si="80"/>
        <v/>
      </c>
      <c r="Y210" t="str">
        <f t="shared" si="81"/>
        <v/>
      </c>
      <c r="Z210" t="str">
        <f t="shared" si="82"/>
        <v/>
      </c>
      <c r="AA210" t="str">
        <f t="shared" si="83"/>
        <v/>
      </c>
      <c r="AB210" t="str">
        <f t="shared" si="84"/>
        <v/>
      </c>
      <c r="AC210" t="str">
        <f t="shared" si="85"/>
        <v/>
      </c>
      <c r="AD210" t="str">
        <f t="shared" si="86"/>
        <v/>
      </c>
    </row>
    <row r="211" spans="14:30" thickBot="1" x14ac:dyDescent="0.3">
      <c r="N211">
        <f t="shared" si="79"/>
        <v>0</v>
      </c>
      <c r="O211">
        <f t="shared" si="76"/>
        <v>0</v>
      </c>
      <c r="P211">
        <f t="shared" si="77"/>
        <v>0</v>
      </c>
      <c r="Q211">
        <f t="shared" si="78"/>
        <v>0</v>
      </c>
      <c r="R211" s="91" t="str">
        <f t="shared" si="87"/>
        <v/>
      </c>
      <c r="S211" s="91" t="str">
        <f t="shared" si="88"/>
        <v/>
      </c>
      <c r="T211" s="91" t="str">
        <f t="shared" si="89"/>
        <v/>
      </c>
      <c r="X211" t="str">
        <f t="shared" si="80"/>
        <v/>
      </c>
      <c r="Y211" t="str">
        <f t="shared" si="81"/>
        <v/>
      </c>
      <c r="Z211" t="str">
        <f t="shared" si="82"/>
        <v/>
      </c>
      <c r="AA211" t="str">
        <f t="shared" si="83"/>
        <v/>
      </c>
      <c r="AB211" t="str">
        <f t="shared" si="84"/>
        <v/>
      </c>
      <c r="AC211" t="str">
        <f t="shared" si="85"/>
        <v/>
      </c>
      <c r="AD211" t="str">
        <f t="shared" si="86"/>
        <v/>
      </c>
    </row>
    <row r="212" spans="14:30" thickBot="1" x14ac:dyDescent="0.3">
      <c r="N212">
        <f t="shared" si="79"/>
        <v>0</v>
      </c>
      <c r="O212">
        <f t="shared" si="76"/>
        <v>0</v>
      </c>
      <c r="P212">
        <f t="shared" si="77"/>
        <v>0</v>
      </c>
      <c r="Q212">
        <f t="shared" si="78"/>
        <v>0</v>
      </c>
      <c r="R212" s="91" t="str">
        <f t="shared" si="87"/>
        <v/>
      </c>
      <c r="S212" s="91" t="str">
        <f t="shared" si="88"/>
        <v/>
      </c>
      <c r="T212" s="91" t="str">
        <f t="shared" si="89"/>
        <v/>
      </c>
      <c r="X212" t="str">
        <f t="shared" si="80"/>
        <v/>
      </c>
      <c r="Y212" t="str">
        <f t="shared" si="81"/>
        <v/>
      </c>
      <c r="Z212" t="str">
        <f t="shared" si="82"/>
        <v/>
      </c>
      <c r="AA212" t="str">
        <f t="shared" si="83"/>
        <v/>
      </c>
      <c r="AB212" t="str">
        <f t="shared" si="84"/>
        <v/>
      </c>
      <c r="AC212" t="str">
        <f t="shared" si="85"/>
        <v/>
      </c>
      <c r="AD212" t="str">
        <f t="shared" si="86"/>
        <v/>
      </c>
    </row>
    <row r="213" spans="14:30" thickBot="1" x14ac:dyDescent="0.3">
      <c r="N213">
        <f t="shared" si="79"/>
        <v>0</v>
      </c>
      <c r="O213">
        <f t="shared" si="76"/>
        <v>0</v>
      </c>
      <c r="P213">
        <f t="shared" si="77"/>
        <v>0</v>
      </c>
      <c r="Q213">
        <f t="shared" si="78"/>
        <v>0</v>
      </c>
      <c r="R213" s="91" t="str">
        <f t="shared" si="87"/>
        <v/>
      </c>
      <c r="S213" s="91" t="str">
        <f t="shared" si="88"/>
        <v/>
      </c>
      <c r="T213" s="91" t="str">
        <f t="shared" si="89"/>
        <v/>
      </c>
      <c r="X213" t="str">
        <f t="shared" si="80"/>
        <v/>
      </c>
      <c r="Y213" t="str">
        <f t="shared" si="81"/>
        <v/>
      </c>
      <c r="Z213" t="str">
        <f t="shared" si="82"/>
        <v/>
      </c>
      <c r="AA213" t="str">
        <f t="shared" si="83"/>
        <v/>
      </c>
      <c r="AB213" t="str">
        <f t="shared" si="84"/>
        <v/>
      </c>
      <c r="AC213" t="str">
        <f t="shared" si="85"/>
        <v/>
      </c>
      <c r="AD213" t="str">
        <f t="shared" si="86"/>
        <v/>
      </c>
    </row>
    <row r="214" spans="14:30" thickBot="1" x14ac:dyDescent="0.3">
      <c r="N214">
        <f t="shared" si="79"/>
        <v>0</v>
      </c>
      <c r="O214">
        <f t="shared" si="76"/>
        <v>0</v>
      </c>
      <c r="P214">
        <f t="shared" si="77"/>
        <v>0</v>
      </c>
      <c r="Q214">
        <f t="shared" si="78"/>
        <v>0</v>
      </c>
      <c r="R214" s="91" t="str">
        <f t="shared" si="87"/>
        <v/>
      </c>
      <c r="S214" s="91" t="str">
        <f t="shared" si="88"/>
        <v/>
      </c>
      <c r="T214" s="91" t="str">
        <f t="shared" si="89"/>
        <v/>
      </c>
      <c r="X214" t="str">
        <f t="shared" si="80"/>
        <v/>
      </c>
      <c r="Y214" t="str">
        <f t="shared" si="81"/>
        <v/>
      </c>
      <c r="Z214" t="str">
        <f t="shared" si="82"/>
        <v/>
      </c>
      <c r="AA214" t="str">
        <f t="shared" si="83"/>
        <v/>
      </c>
      <c r="AB214" t="str">
        <f t="shared" si="84"/>
        <v/>
      </c>
      <c r="AC214" t="str">
        <f t="shared" si="85"/>
        <v/>
      </c>
      <c r="AD214" t="str">
        <f t="shared" si="86"/>
        <v/>
      </c>
    </row>
    <row r="215" spans="14:30" thickBot="1" x14ac:dyDescent="0.3">
      <c r="N215">
        <f t="shared" si="79"/>
        <v>0</v>
      </c>
      <c r="O215">
        <f t="shared" si="76"/>
        <v>0</v>
      </c>
      <c r="P215">
        <f t="shared" si="77"/>
        <v>0</v>
      </c>
      <c r="Q215">
        <f t="shared" si="78"/>
        <v>0</v>
      </c>
      <c r="R215" s="91" t="str">
        <f t="shared" si="87"/>
        <v/>
      </c>
      <c r="S215" s="91" t="str">
        <f t="shared" si="88"/>
        <v/>
      </c>
      <c r="T215" s="91" t="str">
        <f t="shared" si="89"/>
        <v/>
      </c>
      <c r="X215" t="str">
        <f t="shared" si="80"/>
        <v/>
      </c>
      <c r="Y215" t="str">
        <f t="shared" si="81"/>
        <v/>
      </c>
      <c r="Z215" t="str">
        <f t="shared" si="82"/>
        <v/>
      </c>
      <c r="AA215" t="str">
        <f t="shared" si="83"/>
        <v/>
      </c>
      <c r="AB215" t="str">
        <f t="shared" si="84"/>
        <v/>
      </c>
      <c r="AC215" t="str">
        <f t="shared" si="85"/>
        <v/>
      </c>
      <c r="AD215" t="str">
        <f t="shared" si="86"/>
        <v/>
      </c>
    </row>
    <row r="216" spans="14:30" thickBot="1" x14ac:dyDescent="0.3">
      <c r="N216">
        <f t="shared" si="79"/>
        <v>0</v>
      </c>
      <c r="O216">
        <f t="shared" si="76"/>
        <v>0</v>
      </c>
      <c r="P216">
        <f t="shared" si="77"/>
        <v>0</v>
      </c>
      <c r="Q216">
        <f t="shared" si="78"/>
        <v>0</v>
      </c>
      <c r="X216" t="str">
        <f t="shared" si="80"/>
        <v/>
      </c>
      <c r="Y216" t="str">
        <f t="shared" si="81"/>
        <v/>
      </c>
      <c r="Z216" t="str">
        <f t="shared" si="82"/>
        <v/>
      </c>
      <c r="AA216" t="str">
        <f t="shared" si="83"/>
        <v/>
      </c>
      <c r="AB216" t="str">
        <f t="shared" si="84"/>
        <v/>
      </c>
      <c r="AC216" t="str">
        <f t="shared" si="85"/>
        <v/>
      </c>
      <c r="AD216" t="str">
        <f t="shared" si="86"/>
        <v/>
      </c>
    </row>
    <row r="217" spans="14:30" thickBot="1" x14ac:dyDescent="0.3">
      <c r="N217">
        <f t="shared" si="79"/>
        <v>0</v>
      </c>
      <c r="O217">
        <f t="shared" si="76"/>
        <v>0</v>
      </c>
      <c r="P217">
        <f t="shared" si="77"/>
        <v>0</v>
      </c>
      <c r="Q217">
        <f t="shared" si="78"/>
        <v>0</v>
      </c>
      <c r="X217" t="str">
        <f t="shared" si="80"/>
        <v/>
      </c>
      <c r="Y217" t="str">
        <f t="shared" si="81"/>
        <v/>
      </c>
      <c r="Z217" t="str">
        <f t="shared" si="82"/>
        <v/>
      </c>
      <c r="AA217" t="str">
        <f t="shared" si="83"/>
        <v/>
      </c>
      <c r="AB217" t="str">
        <f t="shared" si="84"/>
        <v/>
      </c>
      <c r="AC217" t="str">
        <f t="shared" si="85"/>
        <v/>
      </c>
      <c r="AD217" t="str">
        <f t="shared" si="86"/>
        <v/>
      </c>
    </row>
    <row r="218" spans="14:30" thickBot="1" x14ac:dyDescent="0.3">
      <c r="N218">
        <f t="shared" si="79"/>
        <v>0</v>
      </c>
      <c r="O218">
        <f t="shared" si="76"/>
        <v>0</v>
      </c>
      <c r="P218">
        <f t="shared" si="77"/>
        <v>0</v>
      </c>
      <c r="Q218">
        <f t="shared" si="78"/>
        <v>0</v>
      </c>
      <c r="X218" t="str">
        <f t="shared" si="80"/>
        <v/>
      </c>
      <c r="Y218" t="str">
        <f t="shared" si="81"/>
        <v/>
      </c>
      <c r="Z218" t="str">
        <f t="shared" si="82"/>
        <v/>
      </c>
      <c r="AA218" t="str">
        <f t="shared" si="83"/>
        <v/>
      </c>
      <c r="AB218" t="str">
        <f t="shared" si="84"/>
        <v/>
      </c>
      <c r="AC218" t="str">
        <f t="shared" si="85"/>
        <v/>
      </c>
      <c r="AD218" t="str">
        <f t="shared" si="86"/>
        <v/>
      </c>
    </row>
    <row r="219" spans="14:30" thickBot="1" x14ac:dyDescent="0.3">
      <c r="N219">
        <f t="shared" si="79"/>
        <v>0</v>
      </c>
      <c r="O219">
        <f t="shared" si="76"/>
        <v>0</v>
      </c>
      <c r="P219">
        <f t="shared" si="77"/>
        <v>0</v>
      </c>
      <c r="Q219">
        <f t="shared" si="78"/>
        <v>0</v>
      </c>
      <c r="X219" t="str">
        <f t="shared" si="80"/>
        <v/>
      </c>
      <c r="Y219" t="str">
        <f t="shared" si="81"/>
        <v/>
      </c>
      <c r="Z219" t="str">
        <f t="shared" si="82"/>
        <v/>
      </c>
      <c r="AA219" t="str">
        <f t="shared" si="83"/>
        <v/>
      </c>
      <c r="AB219" t="str">
        <f t="shared" si="84"/>
        <v/>
      </c>
      <c r="AC219" t="str">
        <f t="shared" si="85"/>
        <v/>
      </c>
      <c r="AD219" t="str">
        <f t="shared" si="86"/>
        <v/>
      </c>
    </row>
    <row r="220" spans="14:30" thickBot="1" x14ac:dyDescent="0.3">
      <c r="N220">
        <f t="shared" si="79"/>
        <v>0</v>
      </c>
      <c r="O220">
        <f t="shared" si="76"/>
        <v>0</v>
      </c>
      <c r="P220">
        <f t="shared" si="77"/>
        <v>0</v>
      </c>
      <c r="Q220">
        <f t="shared" si="78"/>
        <v>0</v>
      </c>
      <c r="X220" t="str">
        <f t="shared" si="80"/>
        <v/>
      </c>
      <c r="Y220" t="str">
        <f t="shared" si="81"/>
        <v/>
      </c>
      <c r="Z220" t="str">
        <f t="shared" si="82"/>
        <v/>
      </c>
      <c r="AA220" t="str">
        <f t="shared" si="83"/>
        <v/>
      </c>
      <c r="AB220" t="str">
        <f t="shared" si="84"/>
        <v/>
      </c>
      <c r="AC220" t="str">
        <f t="shared" si="85"/>
        <v/>
      </c>
      <c r="AD220" t="str">
        <f t="shared" si="86"/>
        <v/>
      </c>
    </row>
    <row r="221" spans="14:30" thickBot="1" x14ac:dyDescent="0.3">
      <c r="N221">
        <f t="shared" si="79"/>
        <v>0</v>
      </c>
      <c r="O221">
        <f t="shared" si="76"/>
        <v>0</v>
      </c>
      <c r="P221">
        <f t="shared" si="77"/>
        <v>0</v>
      </c>
      <c r="Q221">
        <f t="shared" si="78"/>
        <v>0</v>
      </c>
      <c r="X221" t="str">
        <f t="shared" si="80"/>
        <v/>
      </c>
      <c r="Y221" t="str">
        <f t="shared" si="81"/>
        <v/>
      </c>
      <c r="Z221" t="str">
        <f t="shared" si="82"/>
        <v/>
      </c>
      <c r="AA221" t="str">
        <f t="shared" si="83"/>
        <v/>
      </c>
      <c r="AB221" t="str">
        <f t="shared" si="84"/>
        <v/>
      </c>
      <c r="AC221" t="str">
        <f t="shared" si="85"/>
        <v/>
      </c>
      <c r="AD221" t="str">
        <f t="shared" si="86"/>
        <v/>
      </c>
    </row>
    <row r="222" spans="14:30" thickBot="1" x14ac:dyDescent="0.3">
      <c r="N222">
        <f t="shared" si="79"/>
        <v>0</v>
      </c>
      <c r="O222">
        <f t="shared" si="76"/>
        <v>0</v>
      </c>
      <c r="P222">
        <f t="shared" si="77"/>
        <v>0</v>
      </c>
      <c r="Q222">
        <f t="shared" si="78"/>
        <v>0</v>
      </c>
      <c r="X222" t="str">
        <f t="shared" si="80"/>
        <v/>
      </c>
      <c r="Y222" t="str">
        <f t="shared" si="81"/>
        <v/>
      </c>
      <c r="Z222" t="str">
        <f t="shared" si="82"/>
        <v/>
      </c>
      <c r="AA222" t="str">
        <f t="shared" si="83"/>
        <v/>
      </c>
      <c r="AB222" t="str">
        <f t="shared" si="84"/>
        <v/>
      </c>
      <c r="AC222" t="str">
        <f t="shared" si="85"/>
        <v/>
      </c>
      <c r="AD222" t="str">
        <f t="shared" si="86"/>
        <v/>
      </c>
    </row>
    <row r="223" spans="14:30" thickBot="1" x14ac:dyDescent="0.3">
      <c r="N223">
        <f t="shared" si="79"/>
        <v>0</v>
      </c>
      <c r="O223">
        <f t="shared" si="76"/>
        <v>0</v>
      </c>
      <c r="P223">
        <f t="shared" si="77"/>
        <v>0</v>
      </c>
      <c r="Q223">
        <f t="shared" si="78"/>
        <v>0</v>
      </c>
      <c r="X223" t="str">
        <f t="shared" si="80"/>
        <v/>
      </c>
      <c r="Y223" t="str">
        <f t="shared" si="81"/>
        <v/>
      </c>
      <c r="Z223" t="str">
        <f t="shared" si="82"/>
        <v/>
      </c>
      <c r="AA223" t="str">
        <f t="shared" si="83"/>
        <v/>
      </c>
      <c r="AB223" t="str">
        <f t="shared" si="84"/>
        <v/>
      </c>
      <c r="AC223" t="str">
        <f t="shared" si="85"/>
        <v/>
      </c>
      <c r="AD223" t="str">
        <f t="shared" si="86"/>
        <v/>
      </c>
    </row>
    <row r="224" spans="14:30" thickBot="1" x14ac:dyDescent="0.3">
      <c r="N224">
        <f t="shared" si="79"/>
        <v>0</v>
      </c>
      <c r="O224">
        <f t="shared" si="76"/>
        <v>0</v>
      </c>
      <c r="P224">
        <f t="shared" si="77"/>
        <v>0</v>
      </c>
      <c r="Q224">
        <f t="shared" si="78"/>
        <v>0</v>
      </c>
      <c r="X224" t="str">
        <f t="shared" si="80"/>
        <v/>
      </c>
      <c r="Y224" t="str">
        <f t="shared" si="81"/>
        <v/>
      </c>
      <c r="Z224" t="str">
        <f t="shared" si="82"/>
        <v/>
      </c>
      <c r="AA224" t="str">
        <f t="shared" si="83"/>
        <v/>
      </c>
      <c r="AB224" t="str">
        <f t="shared" si="84"/>
        <v/>
      </c>
      <c r="AC224" t="str">
        <f t="shared" si="85"/>
        <v/>
      </c>
      <c r="AD224" t="str">
        <f t="shared" si="86"/>
        <v/>
      </c>
    </row>
    <row r="225" spans="14:30" thickBot="1" x14ac:dyDescent="0.3">
      <c r="N225">
        <f t="shared" si="79"/>
        <v>0</v>
      </c>
      <c r="O225">
        <f t="shared" si="76"/>
        <v>0</v>
      </c>
      <c r="P225">
        <f t="shared" si="77"/>
        <v>0</v>
      </c>
      <c r="Q225">
        <f t="shared" si="78"/>
        <v>0</v>
      </c>
      <c r="X225" t="str">
        <f t="shared" si="80"/>
        <v/>
      </c>
      <c r="Y225" t="str">
        <f t="shared" si="81"/>
        <v/>
      </c>
      <c r="Z225" t="str">
        <f t="shared" si="82"/>
        <v/>
      </c>
      <c r="AA225" t="str">
        <f t="shared" si="83"/>
        <v/>
      </c>
      <c r="AB225" t="str">
        <f t="shared" si="84"/>
        <v/>
      </c>
      <c r="AC225" t="str">
        <f t="shared" si="85"/>
        <v/>
      </c>
      <c r="AD225" t="str">
        <f t="shared" si="86"/>
        <v/>
      </c>
    </row>
    <row r="226" spans="14:30" thickBot="1" x14ac:dyDescent="0.3">
      <c r="N226">
        <f t="shared" si="79"/>
        <v>0</v>
      </c>
      <c r="O226">
        <f t="shared" si="76"/>
        <v>0</v>
      </c>
      <c r="P226">
        <f t="shared" si="77"/>
        <v>0</v>
      </c>
      <c r="Q226">
        <f t="shared" si="78"/>
        <v>0</v>
      </c>
      <c r="X226" t="str">
        <f t="shared" si="80"/>
        <v/>
      </c>
      <c r="Y226" t="str">
        <f t="shared" si="81"/>
        <v/>
      </c>
      <c r="Z226" t="str">
        <f t="shared" si="82"/>
        <v/>
      </c>
      <c r="AA226" t="str">
        <f t="shared" si="83"/>
        <v/>
      </c>
      <c r="AB226" t="str">
        <f t="shared" si="84"/>
        <v/>
      </c>
      <c r="AC226" t="str">
        <f t="shared" si="85"/>
        <v/>
      </c>
      <c r="AD226" t="str">
        <f t="shared" si="86"/>
        <v/>
      </c>
    </row>
    <row r="227" spans="14:30" thickBot="1" x14ac:dyDescent="0.3">
      <c r="N227">
        <f t="shared" si="79"/>
        <v>0</v>
      </c>
      <c r="O227">
        <f t="shared" si="76"/>
        <v>0</v>
      </c>
      <c r="P227">
        <f t="shared" si="77"/>
        <v>0</v>
      </c>
      <c r="Q227">
        <f t="shared" si="78"/>
        <v>0</v>
      </c>
      <c r="V227">
        <v>12</v>
      </c>
      <c r="X227" t="str">
        <f t="shared" si="80"/>
        <v/>
      </c>
      <c r="Y227" t="str">
        <f t="shared" si="81"/>
        <v/>
      </c>
      <c r="Z227" t="str">
        <f t="shared" si="82"/>
        <v/>
      </c>
      <c r="AA227" t="str">
        <f t="shared" si="83"/>
        <v/>
      </c>
      <c r="AB227" t="str">
        <f t="shared" si="84"/>
        <v>,</v>
      </c>
      <c r="AC227" t="str">
        <f t="shared" si="85"/>
        <v/>
      </c>
      <c r="AD227" t="str">
        <f t="shared" si="86"/>
        <v/>
      </c>
    </row>
    <row r="228" spans="14:30" thickBot="1" x14ac:dyDescent="0.3">
      <c r="N228">
        <f t="shared" si="79"/>
        <v>0</v>
      </c>
      <c r="O228">
        <f t="shared" si="76"/>
        <v>0</v>
      </c>
      <c r="P228">
        <f t="shared" si="77"/>
        <v>0</v>
      </c>
      <c r="Q228">
        <f t="shared" si="78"/>
        <v>0</v>
      </c>
      <c r="R228" s="91" t="str">
        <f t="shared" ref="R228:R235" si="90">IF(O228&gt;0,$N$240,"")</f>
        <v/>
      </c>
      <c r="S228" s="91" t="str">
        <f t="shared" ref="S228:S235" si="91">IF(P228&gt;0,$N$240,"")</f>
        <v/>
      </c>
      <c r="T228" s="91" t="str">
        <f t="shared" ref="T228:T235" si="92">IF(Q228&gt;0,$N$240,"")</f>
        <v/>
      </c>
      <c r="X228" t="str">
        <f t="shared" si="80"/>
        <v/>
      </c>
      <c r="Y228" t="str">
        <f t="shared" si="81"/>
        <v/>
      </c>
      <c r="Z228" t="str">
        <f t="shared" si="82"/>
        <v/>
      </c>
      <c r="AA228" t="str">
        <f t="shared" si="83"/>
        <v/>
      </c>
      <c r="AB228" t="str">
        <f t="shared" si="84"/>
        <v/>
      </c>
      <c r="AC228" t="str">
        <f t="shared" si="85"/>
        <v/>
      </c>
      <c r="AD228" t="str">
        <f t="shared" si="86"/>
        <v/>
      </c>
    </row>
    <row r="229" spans="14:30" thickBot="1" x14ac:dyDescent="0.3">
      <c r="N229">
        <f t="shared" si="79"/>
        <v>0</v>
      </c>
      <c r="O229">
        <f t="shared" si="76"/>
        <v>0</v>
      </c>
      <c r="P229">
        <f t="shared" si="77"/>
        <v>0</v>
      </c>
      <c r="Q229">
        <f t="shared" si="78"/>
        <v>0</v>
      </c>
      <c r="R229" s="91" t="str">
        <f t="shared" si="90"/>
        <v/>
      </c>
      <c r="S229" s="91" t="str">
        <f t="shared" si="91"/>
        <v/>
      </c>
      <c r="T229" s="91" t="str">
        <f t="shared" si="92"/>
        <v/>
      </c>
      <c r="X229" t="str">
        <f t="shared" si="80"/>
        <v/>
      </c>
      <c r="Y229" t="str">
        <f t="shared" si="81"/>
        <v/>
      </c>
      <c r="Z229" t="str">
        <f t="shared" si="82"/>
        <v/>
      </c>
      <c r="AA229" t="str">
        <f t="shared" si="83"/>
        <v/>
      </c>
      <c r="AB229" t="str">
        <f t="shared" si="84"/>
        <v/>
      </c>
      <c r="AC229" t="str">
        <f t="shared" si="85"/>
        <v/>
      </c>
      <c r="AD229" t="str">
        <f t="shared" si="86"/>
        <v/>
      </c>
    </row>
    <row r="230" spans="14:30" thickBot="1" x14ac:dyDescent="0.3">
      <c r="N230">
        <f t="shared" si="79"/>
        <v>0</v>
      </c>
      <c r="O230">
        <f t="shared" si="76"/>
        <v>0</v>
      </c>
      <c r="P230">
        <f t="shared" si="77"/>
        <v>0</v>
      </c>
      <c r="Q230">
        <f t="shared" si="78"/>
        <v>0</v>
      </c>
      <c r="R230" s="91" t="str">
        <f t="shared" si="90"/>
        <v/>
      </c>
      <c r="S230" s="91" t="str">
        <f t="shared" si="91"/>
        <v/>
      </c>
      <c r="T230" s="91" t="str">
        <f t="shared" si="92"/>
        <v/>
      </c>
      <c r="X230" t="str">
        <f t="shared" si="80"/>
        <v/>
      </c>
      <c r="Y230" t="str">
        <f t="shared" si="81"/>
        <v/>
      </c>
      <c r="Z230" t="str">
        <f t="shared" si="82"/>
        <v/>
      </c>
      <c r="AA230" t="str">
        <f t="shared" si="83"/>
        <v/>
      </c>
      <c r="AB230" t="str">
        <f t="shared" si="84"/>
        <v/>
      </c>
      <c r="AC230" t="str">
        <f t="shared" si="85"/>
        <v/>
      </c>
      <c r="AD230" t="str">
        <f t="shared" si="86"/>
        <v/>
      </c>
    </row>
    <row r="231" spans="14:30" thickBot="1" x14ac:dyDescent="0.3">
      <c r="N231">
        <f t="shared" si="79"/>
        <v>0</v>
      </c>
      <c r="O231">
        <f t="shared" si="76"/>
        <v>0</v>
      </c>
      <c r="P231">
        <f t="shared" si="77"/>
        <v>0</v>
      </c>
      <c r="Q231">
        <f t="shared" si="78"/>
        <v>0</v>
      </c>
      <c r="R231" s="91" t="str">
        <f t="shared" si="90"/>
        <v/>
      </c>
      <c r="S231" s="91" t="str">
        <f t="shared" si="91"/>
        <v/>
      </c>
      <c r="T231" s="91" t="str">
        <f t="shared" si="92"/>
        <v/>
      </c>
      <c r="X231" t="str">
        <f t="shared" si="80"/>
        <v/>
      </c>
      <c r="Y231" t="str">
        <f t="shared" si="81"/>
        <v/>
      </c>
      <c r="Z231" t="str">
        <f t="shared" si="82"/>
        <v/>
      </c>
      <c r="AA231" t="str">
        <f t="shared" si="83"/>
        <v/>
      </c>
      <c r="AB231" t="str">
        <f t="shared" si="84"/>
        <v/>
      </c>
      <c r="AC231" t="str">
        <f t="shared" si="85"/>
        <v/>
      </c>
      <c r="AD231" t="str">
        <f t="shared" si="86"/>
        <v/>
      </c>
    </row>
    <row r="232" spans="14:30" thickBot="1" x14ac:dyDescent="0.3">
      <c r="N232">
        <f t="shared" si="79"/>
        <v>0</v>
      </c>
      <c r="O232">
        <f t="shared" si="76"/>
        <v>0</v>
      </c>
      <c r="P232">
        <f t="shared" si="77"/>
        <v>0</v>
      </c>
      <c r="Q232">
        <f t="shared" si="78"/>
        <v>0</v>
      </c>
      <c r="R232" s="91" t="str">
        <f t="shared" si="90"/>
        <v/>
      </c>
      <c r="S232" s="91" t="str">
        <f t="shared" si="91"/>
        <v/>
      </c>
      <c r="T232" s="91" t="str">
        <f t="shared" si="92"/>
        <v/>
      </c>
      <c r="X232" t="str">
        <f t="shared" si="80"/>
        <v/>
      </c>
      <c r="Y232" t="str">
        <f t="shared" si="81"/>
        <v/>
      </c>
      <c r="Z232" t="str">
        <f t="shared" si="82"/>
        <v/>
      </c>
      <c r="AA232" t="str">
        <f t="shared" si="83"/>
        <v/>
      </c>
      <c r="AB232" t="str">
        <f t="shared" si="84"/>
        <v/>
      </c>
      <c r="AC232" t="str">
        <f t="shared" si="85"/>
        <v/>
      </c>
      <c r="AD232" t="str">
        <f t="shared" si="86"/>
        <v/>
      </c>
    </row>
    <row r="233" spans="14:30" thickBot="1" x14ac:dyDescent="0.3">
      <c r="N233">
        <f t="shared" si="79"/>
        <v>0</v>
      </c>
      <c r="O233">
        <f t="shared" si="76"/>
        <v>0</v>
      </c>
      <c r="P233">
        <f t="shared" si="77"/>
        <v>0</v>
      </c>
      <c r="Q233">
        <f t="shared" si="78"/>
        <v>0</v>
      </c>
      <c r="R233" s="91" t="str">
        <f t="shared" si="90"/>
        <v/>
      </c>
      <c r="S233" s="91" t="str">
        <f t="shared" si="91"/>
        <v/>
      </c>
      <c r="T233" s="91" t="str">
        <f t="shared" si="92"/>
        <v/>
      </c>
      <c r="X233" t="str">
        <f t="shared" si="80"/>
        <v/>
      </c>
      <c r="Y233" t="str">
        <f t="shared" si="81"/>
        <v/>
      </c>
      <c r="Z233" t="str">
        <f t="shared" si="82"/>
        <v/>
      </c>
      <c r="AA233" t="str">
        <f t="shared" si="83"/>
        <v/>
      </c>
      <c r="AB233" t="str">
        <f t="shared" si="84"/>
        <v/>
      </c>
      <c r="AC233" t="str">
        <f t="shared" si="85"/>
        <v/>
      </c>
      <c r="AD233" t="str">
        <f t="shared" si="86"/>
        <v/>
      </c>
    </row>
    <row r="234" spans="14:30" thickBot="1" x14ac:dyDescent="0.3">
      <c r="N234">
        <f t="shared" si="79"/>
        <v>0</v>
      </c>
      <c r="O234">
        <f t="shared" si="76"/>
        <v>0</v>
      </c>
      <c r="P234">
        <f t="shared" si="77"/>
        <v>0</v>
      </c>
      <c r="Q234">
        <f t="shared" si="78"/>
        <v>0</v>
      </c>
      <c r="R234" s="91" t="str">
        <f t="shared" si="90"/>
        <v/>
      </c>
      <c r="S234" s="91" t="str">
        <f t="shared" si="91"/>
        <v/>
      </c>
      <c r="T234" s="91" t="str">
        <f t="shared" si="92"/>
        <v/>
      </c>
      <c r="X234" t="str">
        <f t="shared" si="80"/>
        <v/>
      </c>
      <c r="Y234" t="str">
        <f t="shared" si="81"/>
        <v/>
      </c>
      <c r="Z234" t="str">
        <f t="shared" si="82"/>
        <v/>
      </c>
      <c r="AA234" t="str">
        <f t="shared" si="83"/>
        <v/>
      </c>
      <c r="AB234" t="str">
        <f t="shared" si="84"/>
        <v/>
      </c>
      <c r="AC234" t="str">
        <f t="shared" si="85"/>
        <v/>
      </c>
      <c r="AD234" t="str">
        <f t="shared" si="86"/>
        <v/>
      </c>
    </row>
    <row r="235" spans="14:30" thickBot="1" x14ac:dyDescent="0.3">
      <c r="N235">
        <f t="shared" si="79"/>
        <v>0</v>
      </c>
      <c r="O235">
        <f t="shared" si="76"/>
        <v>0</v>
      </c>
      <c r="P235">
        <f t="shared" si="77"/>
        <v>0</v>
      </c>
      <c r="Q235">
        <f t="shared" si="78"/>
        <v>0</v>
      </c>
      <c r="R235" s="91" t="str">
        <f t="shared" si="90"/>
        <v/>
      </c>
      <c r="S235" s="91" t="str">
        <f t="shared" si="91"/>
        <v/>
      </c>
      <c r="T235" s="91" t="str">
        <f t="shared" si="92"/>
        <v/>
      </c>
      <c r="X235" t="str">
        <f t="shared" si="80"/>
        <v/>
      </c>
      <c r="Y235" t="str">
        <f t="shared" si="81"/>
        <v/>
      </c>
      <c r="Z235" t="str">
        <f t="shared" si="82"/>
        <v/>
      </c>
      <c r="AA235" t="str">
        <f t="shared" si="83"/>
        <v/>
      </c>
      <c r="AB235" t="str">
        <f t="shared" si="84"/>
        <v/>
      </c>
      <c r="AC235" t="str">
        <f t="shared" si="85"/>
        <v/>
      </c>
      <c r="AD235" t="str">
        <f t="shared" si="86"/>
        <v/>
      </c>
    </row>
    <row r="236" spans="14:30" thickBot="1" x14ac:dyDescent="0.3">
      <c r="N236">
        <f t="shared" si="79"/>
        <v>0</v>
      </c>
      <c r="O236">
        <f t="shared" si="76"/>
        <v>0</v>
      </c>
      <c r="P236">
        <f t="shared" si="77"/>
        <v>0</v>
      </c>
      <c r="Q236">
        <f t="shared" si="78"/>
        <v>0</v>
      </c>
      <c r="X236" t="str">
        <f t="shared" si="80"/>
        <v/>
      </c>
      <c r="Y236" t="str">
        <f t="shared" si="81"/>
        <v/>
      </c>
      <c r="Z236" t="str">
        <f t="shared" si="82"/>
        <v/>
      </c>
      <c r="AA236" t="str">
        <f t="shared" si="83"/>
        <v/>
      </c>
      <c r="AB236" t="str">
        <f t="shared" si="84"/>
        <v/>
      </c>
      <c r="AC236" t="str">
        <f t="shared" si="85"/>
        <v/>
      </c>
      <c r="AD236" t="str">
        <f t="shared" si="86"/>
        <v/>
      </c>
    </row>
    <row r="237" spans="14:30" thickBot="1" x14ac:dyDescent="0.3">
      <c r="N237">
        <f t="shared" si="79"/>
        <v>0</v>
      </c>
      <c r="O237">
        <f t="shared" si="76"/>
        <v>0</v>
      </c>
      <c r="P237">
        <f t="shared" si="77"/>
        <v>0</v>
      </c>
      <c r="Q237">
        <f t="shared" si="78"/>
        <v>0</v>
      </c>
      <c r="X237" t="str">
        <f t="shared" si="80"/>
        <v/>
      </c>
      <c r="Y237" t="str">
        <f t="shared" si="81"/>
        <v/>
      </c>
      <c r="Z237" t="str">
        <f t="shared" si="82"/>
        <v/>
      </c>
      <c r="AA237" t="str">
        <f t="shared" si="83"/>
        <v/>
      </c>
      <c r="AB237" t="str">
        <f t="shared" si="84"/>
        <v/>
      </c>
      <c r="AC237" t="str">
        <f t="shared" si="85"/>
        <v/>
      </c>
      <c r="AD237" t="str">
        <f t="shared" si="86"/>
        <v/>
      </c>
    </row>
    <row r="238" spans="14:30" thickBot="1" x14ac:dyDescent="0.3">
      <c r="N238">
        <f t="shared" si="79"/>
        <v>0</v>
      </c>
      <c r="O238">
        <f t="shared" si="76"/>
        <v>0</v>
      </c>
      <c r="P238">
        <f t="shared" si="77"/>
        <v>0</v>
      </c>
      <c r="Q238">
        <f t="shared" si="78"/>
        <v>0</v>
      </c>
      <c r="X238" t="str">
        <f t="shared" si="80"/>
        <v/>
      </c>
      <c r="Y238" t="str">
        <f t="shared" si="81"/>
        <v/>
      </c>
      <c r="Z238" t="str">
        <f t="shared" si="82"/>
        <v/>
      </c>
      <c r="AA238" t="str">
        <f t="shared" si="83"/>
        <v/>
      </c>
      <c r="AB238" t="str">
        <f t="shared" si="84"/>
        <v/>
      </c>
      <c r="AC238" t="str">
        <f t="shared" si="85"/>
        <v/>
      </c>
      <c r="AD238" t="str">
        <f t="shared" si="86"/>
        <v/>
      </c>
    </row>
    <row r="239" spans="14:30" thickBot="1" x14ac:dyDescent="0.3">
      <c r="N239">
        <f t="shared" si="79"/>
        <v>0</v>
      </c>
      <c r="O239">
        <f t="shared" si="76"/>
        <v>0</v>
      </c>
      <c r="P239">
        <f t="shared" si="77"/>
        <v>0</v>
      </c>
      <c r="Q239">
        <f t="shared" si="78"/>
        <v>0</v>
      </c>
      <c r="X239" t="str">
        <f t="shared" si="80"/>
        <v/>
      </c>
      <c r="Y239" t="str">
        <f t="shared" si="81"/>
        <v/>
      </c>
      <c r="Z239" t="str">
        <f t="shared" si="82"/>
        <v/>
      </c>
      <c r="AA239" t="str">
        <f t="shared" si="83"/>
        <v/>
      </c>
      <c r="AB239" t="str">
        <f t="shared" si="84"/>
        <v/>
      </c>
      <c r="AC239" t="str">
        <f t="shared" si="85"/>
        <v/>
      </c>
      <c r="AD239" t="str">
        <f t="shared" si="86"/>
        <v/>
      </c>
    </row>
    <row r="240" spans="14:30" thickBot="1" x14ac:dyDescent="0.3">
      <c r="N240">
        <f t="shared" si="79"/>
        <v>0</v>
      </c>
      <c r="O240">
        <f t="shared" si="76"/>
        <v>0</v>
      </c>
      <c r="P240">
        <f t="shared" si="77"/>
        <v>0</v>
      </c>
      <c r="Q240">
        <f t="shared" si="78"/>
        <v>0</v>
      </c>
      <c r="X240" t="str">
        <f t="shared" si="80"/>
        <v/>
      </c>
      <c r="Y240" t="str">
        <f t="shared" si="81"/>
        <v/>
      </c>
      <c r="Z240" t="str">
        <f t="shared" si="82"/>
        <v/>
      </c>
      <c r="AA240" t="str">
        <f t="shared" si="83"/>
        <v/>
      </c>
      <c r="AB240" t="str">
        <f t="shared" si="84"/>
        <v/>
      </c>
      <c r="AC240" t="str">
        <f t="shared" si="85"/>
        <v/>
      </c>
      <c r="AD240" t="str">
        <f t="shared" si="86"/>
        <v/>
      </c>
    </row>
    <row r="241" spans="14:30" thickBot="1" x14ac:dyDescent="0.3">
      <c r="N241">
        <f t="shared" si="79"/>
        <v>0</v>
      </c>
      <c r="O241">
        <f t="shared" si="76"/>
        <v>0</v>
      </c>
      <c r="P241">
        <f t="shared" si="77"/>
        <v>0</v>
      </c>
      <c r="Q241">
        <f t="shared" si="78"/>
        <v>0</v>
      </c>
      <c r="X241" t="str">
        <f t="shared" si="80"/>
        <v/>
      </c>
      <c r="Y241" t="str">
        <f t="shared" si="81"/>
        <v/>
      </c>
      <c r="Z241" t="str">
        <f t="shared" si="82"/>
        <v/>
      </c>
      <c r="AA241" t="str">
        <f t="shared" si="83"/>
        <v/>
      </c>
      <c r="AB241" t="str">
        <f t="shared" si="84"/>
        <v/>
      </c>
      <c r="AC241" t="str">
        <f t="shared" si="85"/>
        <v/>
      </c>
      <c r="AD241" t="str">
        <f t="shared" si="86"/>
        <v/>
      </c>
    </row>
    <row r="242" spans="14:30" thickBot="1" x14ac:dyDescent="0.3">
      <c r="N242">
        <f t="shared" si="79"/>
        <v>0</v>
      </c>
      <c r="O242">
        <f t="shared" si="76"/>
        <v>0</v>
      </c>
      <c r="P242">
        <f t="shared" si="77"/>
        <v>0</v>
      </c>
      <c r="Q242">
        <f t="shared" si="78"/>
        <v>0</v>
      </c>
      <c r="X242" t="str">
        <f t="shared" si="80"/>
        <v/>
      </c>
      <c r="Y242" t="str">
        <f t="shared" si="81"/>
        <v/>
      </c>
      <c r="Z242" t="str">
        <f t="shared" si="82"/>
        <v/>
      </c>
      <c r="AA242" t="str">
        <f t="shared" si="83"/>
        <v/>
      </c>
      <c r="AB242" t="str">
        <f t="shared" si="84"/>
        <v/>
      </c>
      <c r="AC242" t="str">
        <f t="shared" si="85"/>
        <v/>
      </c>
      <c r="AD242" t="str">
        <f t="shared" si="86"/>
        <v/>
      </c>
    </row>
    <row r="243" spans="14:30" thickBot="1" x14ac:dyDescent="0.3">
      <c r="N243">
        <f t="shared" si="79"/>
        <v>0</v>
      </c>
      <c r="O243">
        <f t="shared" si="76"/>
        <v>0</v>
      </c>
      <c r="P243">
        <f t="shared" si="77"/>
        <v>0</v>
      </c>
      <c r="Q243">
        <f t="shared" si="78"/>
        <v>0</v>
      </c>
      <c r="X243" t="str">
        <f t="shared" si="80"/>
        <v/>
      </c>
      <c r="Y243" t="str">
        <f t="shared" si="81"/>
        <v/>
      </c>
      <c r="Z243" t="str">
        <f t="shared" si="82"/>
        <v/>
      </c>
      <c r="AA243" t="str">
        <f t="shared" si="83"/>
        <v/>
      </c>
      <c r="AB243" t="str">
        <f t="shared" si="84"/>
        <v/>
      </c>
      <c r="AC243" t="str">
        <f t="shared" si="85"/>
        <v/>
      </c>
      <c r="AD243" t="str">
        <f t="shared" si="86"/>
        <v/>
      </c>
    </row>
    <row r="244" spans="14:30" thickBot="1" x14ac:dyDescent="0.3">
      <c r="N244">
        <f t="shared" si="79"/>
        <v>0</v>
      </c>
      <c r="O244">
        <f t="shared" si="76"/>
        <v>0</v>
      </c>
      <c r="P244">
        <f t="shared" si="77"/>
        <v>0</v>
      </c>
      <c r="Q244">
        <f t="shared" si="78"/>
        <v>0</v>
      </c>
      <c r="X244" t="str">
        <f t="shared" si="80"/>
        <v/>
      </c>
      <c r="Y244" t="str">
        <f t="shared" si="81"/>
        <v/>
      </c>
      <c r="Z244" t="str">
        <f t="shared" si="82"/>
        <v/>
      </c>
      <c r="AA244" t="str">
        <f t="shared" si="83"/>
        <v/>
      </c>
      <c r="AB244" t="str">
        <f t="shared" si="84"/>
        <v/>
      </c>
      <c r="AC244" t="str">
        <f t="shared" si="85"/>
        <v/>
      </c>
      <c r="AD244" t="str">
        <f t="shared" si="86"/>
        <v/>
      </c>
    </row>
    <row r="245" spans="14:30" thickBot="1" x14ac:dyDescent="0.3">
      <c r="N245">
        <f t="shared" si="79"/>
        <v>0</v>
      </c>
      <c r="O245">
        <f t="shared" si="76"/>
        <v>0</v>
      </c>
      <c r="P245">
        <f t="shared" si="77"/>
        <v>0</v>
      </c>
      <c r="Q245">
        <f t="shared" si="78"/>
        <v>0</v>
      </c>
      <c r="X245" t="str">
        <f t="shared" si="80"/>
        <v/>
      </c>
      <c r="Y245" t="str">
        <f t="shared" si="81"/>
        <v/>
      </c>
      <c r="Z245" t="str">
        <f t="shared" si="82"/>
        <v/>
      </c>
      <c r="AA245" t="str">
        <f t="shared" si="83"/>
        <v/>
      </c>
      <c r="AB245" t="str">
        <f t="shared" si="84"/>
        <v/>
      </c>
      <c r="AC245" t="str">
        <f t="shared" si="85"/>
        <v/>
      </c>
      <c r="AD245" t="str">
        <f t="shared" si="86"/>
        <v/>
      </c>
    </row>
    <row r="246" spans="14:30" thickBot="1" x14ac:dyDescent="0.3">
      <c r="N246">
        <f t="shared" si="79"/>
        <v>0</v>
      </c>
      <c r="O246">
        <f t="shared" si="76"/>
        <v>0</v>
      </c>
      <c r="P246">
        <f t="shared" si="77"/>
        <v>0</v>
      </c>
      <c r="Q246">
        <f t="shared" si="78"/>
        <v>0</v>
      </c>
      <c r="X246" t="str">
        <f t="shared" si="80"/>
        <v/>
      </c>
      <c r="Y246" t="str">
        <f t="shared" si="81"/>
        <v/>
      </c>
      <c r="Z246" t="str">
        <f t="shared" si="82"/>
        <v/>
      </c>
      <c r="AA246" t="str">
        <f t="shared" si="83"/>
        <v/>
      </c>
      <c r="AB246" t="str">
        <f t="shared" si="84"/>
        <v/>
      </c>
      <c r="AC246" t="str">
        <f t="shared" si="85"/>
        <v/>
      </c>
      <c r="AD246" t="str">
        <f t="shared" si="86"/>
        <v/>
      </c>
    </row>
    <row r="247" spans="14:30" thickBot="1" x14ac:dyDescent="0.3">
      <c r="N247">
        <f t="shared" si="79"/>
        <v>0</v>
      </c>
      <c r="O247">
        <f t="shared" si="76"/>
        <v>0</v>
      </c>
      <c r="P247">
        <f t="shared" si="77"/>
        <v>0</v>
      </c>
      <c r="Q247">
        <f t="shared" si="78"/>
        <v>0</v>
      </c>
      <c r="V247">
        <v>13</v>
      </c>
      <c r="X247" t="str">
        <f t="shared" si="80"/>
        <v/>
      </c>
      <c r="Y247" t="str">
        <f t="shared" si="81"/>
        <v/>
      </c>
      <c r="Z247" t="str">
        <f t="shared" si="82"/>
        <v/>
      </c>
      <c r="AA247" t="str">
        <f t="shared" si="83"/>
        <v/>
      </c>
      <c r="AB247" t="str">
        <f t="shared" si="84"/>
        <v>,</v>
      </c>
      <c r="AC247" t="str">
        <f t="shared" si="85"/>
        <v/>
      </c>
      <c r="AD247" t="str">
        <f t="shared" si="86"/>
        <v/>
      </c>
    </row>
    <row r="248" spans="14:30" thickBot="1" x14ac:dyDescent="0.3">
      <c r="N248">
        <f t="shared" si="79"/>
        <v>0</v>
      </c>
      <c r="O248">
        <f t="shared" si="76"/>
        <v>0</v>
      </c>
      <c r="P248">
        <f t="shared" si="77"/>
        <v>0</v>
      </c>
      <c r="Q248">
        <f t="shared" si="78"/>
        <v>0</v>
      </c>
      <c r="R248" s="91" t="str">
        <f t="shared" ref="R248:R255" si="93">IF(O248&gt;0,$N$260,"")</f>
        <v/>
      </c>
      <c r="S248" s="91" t="str">
        <f t="shared" ref="S248:S255" si="94">IF(P248&gt;0,$N$260,"")</f>
        <v/>
      </c>
      <c r="T248" s="91" t="str">
        <f t="shared" ref="T248:T255" si="95">IF(Q248&gt;0,$N$260,"")</f>
        <v/>
      </c>
      <c r="X248" t="str">
        <f t="shared" si="80"/>
        <v/>
      </c>
      <c r="Y248" t="str">
        <f t="shared" si="81"/>
        <v/>
      </c>
      <c r="Z248" t="str">
        <f t="shared" si="82"/>
        <v/>
      </c>
      <c r="AA248" t="str">
        <f t="shared" si="83"/>
        <v/>
      </c>
      <c r="AB248" t="str">
        <f t="shared" si="84"/>
        <v/>
      </c>
      <c r="AC248" t="str">
        <f t="shared" si="85"/>
        <v/>
      </c>
      <c r="AD248" t="str">
        <f t="shared" si="86"/>
        <v/>
      </c>
    </row>
    <row r="249" spans="14:30" thickBot="1" x14ac:dyDescent="0.3">
      <c r="N249">
        <f t="shared" si="79"/>
        <v>0</v>
      </c>
      <c r="O249">
        <f t="shared" si="76"/>
        <v>0</v>
      </c>
      <c r="P249">
        <f t="shared" si="77"/>
        <v>0</v>
      </c>
      <c r="Q249">
        <f t="shared" si="78"/>
        <v>0</v>
      </c>
      <c r="R249" s="91" t="str">
        <f t="shared" si="93"/>
        <v/>
      </c>
      <c r="S249" s="91" t="str">
        <f t="shared" si="94"/>
        <v/>
      </c>
      <c r="T249" s="91" t="str">
        <f t="shared" si="95"/>
        <v/>
      </c>
      <c r="X249" t="str">
        <f t="shared" si="80"/>
        <v/>
      </c>
      <c r="Y249" t="str">
        <f t="shared" si="81"/>
        <v/>
      </c>
      <c r="Z249" t="str">
        <f t="shared" si="82"/>
        <v/>
      </c>
      <c r="AA249" t="str">
        <f t="shared" si="83"/>
        <v/>
      </c>
      <c r="AB249" t="str">
        <f t="shared" si="84"/>
        <v/>
      </c>
      <c r="AC249" t="str">
        <f t="shared" si="85"/>
        <v/>
      </c>
      <c r="AD249" t="str">
        <f t="shared" si="86"/>
        <v/>
      </c>
    </row>
    <row r="250" spans="14:30" thickBot="1" x14ac:dyDescent="0.3">
      <c r="N250">
        <f t="shared" si="79"/>
        <v>0</v>
      </c>
      <c r="O250">
        <f t="shared" si="76"/>
        <v>0</v>
      </c>
      <c r="P250">
        <f t="shared" si="77"/>
        <v>0</v>
      </c>
      <c r="Q250">
        <f t="shared" si="78"/>
        <v>0</v>
      </c>
      <c r="R250" s="91" t="str">
        <f t="shared" si="93"/>
        <v/>
      </c>
      <c r="S250" s="91" t="str">
        <f t="shared" si="94"/>
        <v/>
      </c>
      <c r="T250" s="91" t="str">
        <f t="shared" si="95"/>
        <v/>
      </c>
      <c r="X250" t="str">
        <f t="shared" si="80"/>
        <v/>
      </c>
      <c r="Y250" t="str">
        <f t="shared" si="81"/>
        <v/>
      </c>
      <c r="Z250" t="str">
        <f t="shared" si="82"/>
        <v/>
      </c>
      <c r="AA250" t="str">
        <f t="shared" si="83"/>
        <v/>
      </c>
      <c r="AB250" t="str">
        <f t="shared" si="84"/>
        <v/>
      </c>
      <c r="AC250" t="str">
        <f t="shared" si="85"/>
        <v/>
      </c>
      <c r="AD250" t="str">
        <f t="shared" si="86"/>
        <v/>
      </c>
    </row>
    <row r="251" spans="14:30" thickBot="1" x14ac:dyDescent="0.3">
      <c r="N251">
        <f t="shared" si="79"/>
        <v>0</v>
      </c>
      <c r="O251">
        <f t="shared" si="76"/>
        <v>0</v>
      </c>
      <c r="P251">
        <f t="shared" si="77"/>
        <v>0</v>
      </c>
      <c r="Q251">
        <f t="shared" si="78"/>
        <v>0</v>
      </c>
      <c r="R251" s="91" t="str">
        <f t="shared" si="93"/>
        <v/>
      </c>
      <c r="S251" s="91" t="str">
        <f t="shared" si="94"/>
        <v/>
      </c>
      <c r="T251" s="91" t="str">
        <f t="shared" si="95"/>
        <v/>
      </c>
      <c r="X251" t="str">
        <f t="shared" si="80"/>
        <v/>
      </c>
      <c r="Y251" t="str">
        <f t="shared" si="81"/>
        <v/>
      </c>
      <c r="Z251" t="str">
        <f t="shared" si="82"/>
        <v/>
      </c>
      <c r="AA251" t="str">
        <f t="shared" si="83"/>
        <v/>
      </c>
      <c r="AB251" t="str">
        <f t="shared" si="84"/>
        <v/>
      </c>
      <c r="AC251" t="str">
        <f t="shared" si="85"/>
        <v/>
      </c>
      <c r="AD251" t="str">
        <f t="shared" si="86"/>
        <v/>
      </c>
    </row>
    <row r="252" spans="14:30" thickBot="1" x14ac:dyDescent="0.3">
      <c r="N252">
        <f t="shared" si="79"/>
        <v>0</v>
      </c>
      <c r="O252">
        <f t="shared" si="76"/>
        <v>0</v>
      </c>
      <c r="P252">
        <f t="shared" si="77"/>
        <v>0</v>
      </c>
      <c r="Q252">
        <f t="shared" si="78"/>
        <v>0</v>
      </c>
      <c r="R252" s="91" t="str">
        <f t="shared" si="93"/>
        <v/>
      </c>
      <c r="S252" s="91" t="str">
        <f t="shared" si="94"/>
        <v/>
      </c>
      <c r="T252" s="91" t="str">
        <f t="shared" si="95"/>
        <v/>
      </c>
      <c r="X252" t="str">
        <f t="shared" si="80"/>
        <v/>
      </c>
      <c r="Y252" t="str">
        <f t="shared" si="81"/>
        <v/>
      </c>
      <c r="Z252" t="str">
        <f t="shared" si="82"/>
        <v/>
      </c>
      <c r="AA252" t="str">
        <f t="shared" si="83"/>
        <v/>
      </c>
      <c r="AB252" t="str">
        <f t="shared" si="84"/>
        <v/>
      </c>
      <c r="AC252" t="str">
        <f t="shared" si="85"/>
        <v/>
      </c>
      <c r="AD252" t="str">
        <f t="shared" si="86"/>
        <v/>
      </c>
    </row>
    <row r="253" spans="14:30" thickBot="1" x14ac:dyDescent="0.3">
      <c r="N253">
        <f t="shared" si="79"/>
        <v>0</v>
      </c>
      <c r="O253">
        <f t="shared" si="76"/>
        <v>0</v>
      </c>
      <c r="P253">
        <f t="shared" si="77"/>
        <v>0</v>
      </c>
      <c r="Q253">
        <f t="shared" si="78"/>
        <v>0</v>
      </c>
      <c r="R253" s="91" t="str">
        <f t="shared" si="93"/>
        <v/>
      </c>
      <c r="S253" s="91" t="str">
        <f t="shared" si="94"/>
        <v/>
      </c>
      <c r="T253" s="91" t="str">
        <f t="shared" si="95"/>
        <v/>
      </c>
      <c r="X253" t="str">
        <f t="shared" si="80"/>
        <v/>
      </c>
      <c r="Y253" t="str">
        <f t="shared" si="81"/>
        <v/>
      </c>
      <c r="Z253" t="str">
        <f t="shared" si="82"/>
        <v/>
      </c>
      <c r="AA253" t="str">
        <f t="shared" si="83"/>
        <v/>
      </c>
      <c r="AB253" t="str">
        <f t="shared" si="84"/>
        <v/>
      </c>
      <c r="AC253" t="str">
        <f t="shared" si="85"/>
        <v/>
      </c>
      <c r="AD253" t="str">
        <f t="shared" si="86"/>
        <v/>
      </c>
    </row>
    <row r="254" spans="14:30" thickBot="1" x14ac:dyDescent="0.3">
      <c r="N254">
        <f t="shared" si="79"/>
        <v>0</v>
      </c>
      <c r="O254">
        <f t="shared" si="76"/>
        <v>0</v>
      </c>
      <c r="P254">
        <f t="shared" si="77"/>
        <v>0</v>
      </c>
      <c r="Q254">
        <f t="shared" si="78"/>
        <v>0</v>
      </c>
      <c r="R254" s="91" t="str">
        <f t="shared" si="93"/>
        <v/>
      </c>
      <c r="S254" s="91" t="str">
        <f t="shared" si="94"/>
        <v/>
      </c>
      <c r="T254" s="91" t="str">
        <f t="shared" si="95"/>
        <v/>
      </c>
      <c r="X254" t="str">
        <f t="shared" si="80"/>
        <v/>
      </c>
      <c r="Y254" t="str">
        <f t="shared" si="81"/>
        <v/>
      </c>
      <c r="Z254" t="str">
        <f t="shared" si="82"/>
        <v/>
      </c>
      <c r="AA254" t="str">
        <f t="shared" si="83"/>
        <v/>
      </c>
      <c r="AB254" t="str">
        <f t="shared" si="84"/>
        <v/>
      </c>
      <c r="AC254" t="str">
        <f t="shared" si="85"/>
        <v/>
      </c>
      <c r="AD254" t="str">
        <f t="shared" si="86"/>
        <v/>
      </c>
    </row>
    <row r="255" spans="14:30" thickBot="1" x14ac:dyDescent="0.3">
      <c r="N255">
        <f t="shared" si="79"/>
        <v>0</v>
      </c>
      <c r="O255">
        <f t="shared" si="76"/>
        <v>0</v>
      </c>
      <c r="P255">
        <f t="shared" si="77"/>
        <v>0</v>
      </c>
      <c r="Q255">
        <f t="shared" si="78"/>
        <v>0</v>
      </c>
      <c r="R255" s="91" t="str">
        <f t="shared" si="93"/>
        <v/>
      </c>
      <c r="S255" s="91" t="str">
        <f t="shared" si="94"/>
        <v/>
      </c>
      <c r="T255" s="91" t="str">
        <f t="shared" si="95"/>
        <v/>
      </c>
      <c r="X255" t="str">
        <f t="shared" si="80"/>
        <v/>
      </c>
      <c r="Y255" t="str">
        <f t="shared" si="81"/>
        <v/>
      </c>
      <c r="Z255" t="str">
        <f t="shared" si="82"/>
        <v/>
      </c>
      <c r="AA255" t="str">
        <f t="shared" si="83"/>
        <v/>
      </c>
      <c r="AB255" t="str">
        <f t="shared" si="84"/>
        <v/>
      </c>
      <c r="AC255" t="str">
        <f t="shared" si="85"/>
        <v/>
      </c>
      <c r="AD255" t="str">
        <f t="shared" si="86"/>
        <v/>
      </c>
    </row>
    <row r="256" spans="14:30" thickBot="1" x14ac:dyDescent="0.3">
      <c r="N256">
        <f t="shared" si="79"/>
        <v>0</v>
      </c>
      <c r="O256">
        <f t="shared" si="76"/>
        <v>0</v>
      </c>
      <c r="P256">
        <f t="shared" si="77"/>
        <v>0</v>
      </c>
      <c r="Q256">
        <f t="shared" si="78"/>
        <v>0</v>
      </c>
      <c r="X256" t="str">
        <f t="shared" si="80"/>
        <v/>
      </c>
      <c r="Y256" t="str">
        <f t="shared" si="81"/>
        <v/>
      </c>
      <c r="Z256" t="str">
        <f t="shared" si="82"/>
        <v/>
      </c>
      <c r="AA256" t="str">
        <f t="shared" si="83"/>
        <v/>
      </c>
      <c r="AB256" t="str">
        <f t="shared" si="84"/>
        <v/>
      </c>
      <c r="AC256" t="str">
        <f t="shared" si="85"/>
        <v/>
      </c>
      <c r="AD256" t="str">
        <f t="shared" si="86"/>
        <v/>
      </c>
    </row>
    <row r="257" spans="14:30" thickBot="1" x14ac:dyDescent="0.3">
      <c r="N257">
        <f t="shared" si="79"/>
        <v>0</v>
      </c>
      <c r="O257">
        <f t="shared" ref="O257:O320" si="96">B257</f>
        <v>0</v>
      </c>
      <c r="P257">
        <f t="shared" ref="P257:P320" si="97">C257</f>
        <v>0</v>
      </c>
      <c r="Q257">
        <f t="shared" ref="Q257:Q320" si="98">D257</f>
        <v>0</v>
      </c>
      <c r="X257" t="str">
        <f t="shared" si="80"/>
        <v/>
      </c>
      <c r="Y257" t="str">
        <f t="shared" si="81"/>
        <v/>
      </c>
      <c r="Z257" t="str">
        <f t="shared" si="82"/>
        <v/>
      </c>
      <c r="AA257" t="str">
        <f t="shared" si="83"/>
        <v/>
      </c>
      <c r="AB257" t="str">
        <f t="shared" si="84"/>
        <v/>
      </c>
      <c r="AC257" t="str">
        <f t="shared" si="85"/>
        <v/>
      </c>
      <c r="AD257" t="str">
        <f t="shared" si="86"/>
        <v/>
      </c>
    </row>
    <row r="258" spans="14:30" thickBot="1" x14ac:dyDescent="0.3">
      <c r="N258">
        <f t="shared" ref="N258:N321" si="99">A258</f>
        <v>0</v>
      </c>
      <c r="O258">
        <f t="shared" si="96"/>
        <v>0</v>
      </c>
      <c r="P258">
        <f t="shared" si="97"/>
        <v>0</v>
      </c>
      <c r="Q258">
        <f t="shared" si="98"/>
        <v>0</v>
      </c>
      <c r="X258" t="str">
        <f t="shared" si="80"/>
        <v/>
      </c>
      <c r="Y258" t="str">
        <f t="shared" si="81"/>
        <v/>
      </c>
      <c r="Z258" t="str">
        <f t="shared" si="82"/>
        <v/>
      </c>
      <c r="AA258" t="str">
        <f t="shared" si="83"/>
        <v/>
      </c>
      <c r="AB258" t="str">
        <f t="shared" si="84"/>
        <v/>
      </c>
      <c r="AC258" t="str">
        <f t="shared" si="85"/>
        <v/>
      </c>
      <c r="AD258" t="str">
        <f t="shared" si="86"/>
        <v/>
      </c>
    </row>
    <row r="259" spans="14:30" thickBot="1" x14ac:dyDescent="0.3">
      <c r="N259">
        <f t="shared" si="99"/>
        <v>0</v>
      </c>
      <c r="O259">
        <f t="shared" si="96"/>
        <v>0</v>
      </c>
      <c r="P259">
        <f t="shared" si="97"/>
        <v>0</v>
      </c>
      <c r="Q259">
        <f t="shared" si="98"/>
        <v>0</v>
      </c>
      <c r="X259" t="str">
        <f t="shared" si="80"/>
        <v/>
      </c>
      <c r="Y259" t="str">
        <f t="shared" si="81"/>
        <v/>
      </c>
      <c r="Z259" t="str">
        <f t="shared" si="82"/>
        <v/>
      </c>
      <c r="AA259" t="str">
        <f t="shared" si="83"/>
        <v/>
      </c>
      <c r="AB259" t="str">
        <f t="shared" si="84"/>
        <v/>
      </c>
      <c r="AC259" t="str">
        <f t="shared" si="85"/>
        <v/>
      </c>
      <c r="AD259" t="str">
        <f t="shared" si="86"/>
        <v/>
      </c>
    </row>
    <row r="260" spans="14:30" thickBot="1" x14ac:dyDescent="0.3">
      <c r="N260">
        <f t="shared" si="99"/>
        <v>0</v>
      </c>
      <c r="O260">
        <f t="shared" si="96"/>
        <v>0</v>
      </c>
      <c r="P260">
        <f t="shared" si="97"/>
        <v>0</v>
      </c>
      <c r="Q260">
        <f t="shared" si="98"/>
        <v>0</v>
      </c>
      <c r="X260" t="str">
        <f t="shared" si="80"/>
        <v/>
      </c>
      <c r="Y260" t="str">
        <f t="shared" si="81"/>
        <v/>
      </c>
      <c r="Z260" t="str">
        <f t="shared" si="82"/>
        <v/>
      </c>
      <c r="AA260" t="str">
        <f t="shared" si="83"/>
        <v/>
      </c>
      <c r="AB260" t="str">
        <f t="shared" si="84"/>
        <v/>
      </c>
      <c r="AC260" t="str">
        <f t="shared" si="85"/>
        <v/>
      </c>
      <c r="AD260" t="str">
        <f t="shared" si="86"/>
        <v/>
      </c>
    </row>
    <row r="261" spans="14:30" thickBot="1" x14ac:dyDescent="0.3">
      <c r="N261">
        <f t="shared" si="99"/>
        <v>0</v>
      </c>
      <c r="O261">
        <f t="shared" si="96"/>
        <v>0</v>
      </c>
      <c r="P261">
        <f t="shared" si="97"/>
        <v>0</v>
      </c>
      <c r="Q261">
        <f t="shared" si="98"/>
        <v>0</v>
      </c>
      <c r="X261" t="str">
        <f t="shared" si="80"/>
        <v/>
      </c>
      <c r="Y261" t="str">
        <f t="shared" si="81"/>
        <v/>
      </c>
      <c r="Z261" t="str">
        <f t="shared" si="82"/>
        <v/>
      </c>
      <c r="AA261" t="str">
        <f t="shared" si="83"/>
        <v/>
      </c>
      <c r="AB261" t="str">
        <f t="shared" si="84"/>
        <v/>
      </c>
      <c r="AC261" t="str">
        <f t="shared" si="85"/>
        <v/>
      </c>
      <c r="AD261" t="str">
        <f t="shared" si="86"/>
        <v/>
      </c>
    </row>
    <row r="262" spans="14:30" thickBot="1" x14ac:dyDescent="0.3">
      <c r="N262">
        <f t="shared" si="99"/>
        <v>0</v>
      </c>
      <c r="O262">
        <f t="shared" si="96"/>
        <v>0</v>
      </c>
      <c r="P262">
        <f t="shared" si="97"/>
        <v>0</v>
      </c>
      <c r="Q262">
        <f t="shared" si="98"/>
        <v>0</v>
      </c>
      <c r="X262" t="str">
        <f t="shared" si="80"/>
        <v/>
      </c>
      <c r="Y262" t="str">
        <f t="shared" si="81"/>
        <v/>
      </c>
      <c r="Z262" t="str">
        <f t="shared" si="82"/>
        <v/>
      </c>
      <c r="AA262" t="str">
        <f t="shared" si="83"/>
        <v/>
      </c>
      <c r="AB262" t="str">
        <f t="shared" si="84"/>
        <v/>
      </c>
      <c r="AC262" t="str">
        <f t="shared" si="85"/>
        <v/>
      </c>
      <c r="AD262" t="str">
        <f t="shared" si="86"/>
        <v/>
      </c>
    </row>
    <row r="263" spans="14:30" thickBot="1" x14ac:dyDescent="0.3">
      <c r="N263">
        <f t="shared" si="99"/>
        <v>0</v>
      </c>
      <c r="O263">
        <f t="shared" si="96"/>
        <v>0</v>
      </c>
      <c r="P263">
        <f t="shared" si="97"/>
        <v>0</v>
      </c>
      <c r="Q263">
        <f t="shared" si="98"/>
        <v>0</v>
      </c>
      <c r="X263" t="str">
        <f t="shared" si="80"/>
        <v/>
      </c>
      <c r="Y263" t="str">
        <f t="shared" si="81"/>
        <v/>
      </c>
      <c r="Z263" t="str">
        <f t="shared" si="82"/>
        <v/>
      </c>
      <c r="AA263" t="str">
        <f t="shared" si="83"/>
        <v/>
      </c>
      <c r="AB263" t="str">
        <f t="shared" si="84"/>
        <v/>
      </c>
      <c r="AC263" t="str">
        <f t="shared" si="85"/>
        <v/>
      </c>
      <c r="AD263" t="str">
        <f t="shared" si="86"/>
        <v/>
      </c>
    </row>
    <row r="264" spans="14:30" thickBot="1" x14ac:dyDescent="0.3">
      <c r="N264">
        <f t="shared" si="99"/>
        <v>0</v>
      </c>
      <c r="O264">
        <f t="shared" si="96"/>
        <v>0</v>
      </c>
      <c r="P264">
        <f t="shared" si="97"/>
        <v>0</v>
      </c>
      <c r="Q264">
        <f t="shared" si="98"/>
        <v>0</v>
      </c>
      <c r="X264" t="str">
        <f t="shared" ref="X264:X327" si="100">IF(R264="","",",")</f>
        <v/>
      </c>
      <c r="Y264" t="str">
        <f t="shared" ref="Y264:Y327" si="101">IF(S264="","",",")</f>
        <v/>
      </c>
      <c r="Z264" t="str">
        <f t="shared" ref="Z264:Z327" si="102">IF(T264="","",",")</f>
        <v/>
      </c>
      <c r="AA264" t="str">
        <f t="shared" ref="AA264:AA327" si="103">IF(U264="","",",")</f>
        <v/>
      </c>
      <c r="AB264" t="str">
        <f t="shared" ref="AB264:AB327" si="104">IF(V264="","",",")</f>
        <v/>
      </c>
      <c r="AC264" t="str">
        <f t="shared" ref="AC264:AC327" si="105">IF(W264="","",",")</f>
        <v/>
      </c>
      <c r="AD264" t="str">
        <f t="shared" ref="AD264:AD327" si="106">IF(X264="","",",")</f>
        <v/>
      </c>
    </row>
    <row r="265" spans="14:30" thickBot="1" x14ac:dyDescent="0.3">
      <c r="N265">
        <f t="shared" si="99"/>
        <v>0</v>
      </c>
      <c r="O265">
        <f t="shared" si="96"/>
        <v>0</v>
      </c>
      <c r="P265">
        <f t="shared" si="97"/>
        <v>0</v>
      </c>
      <c r="Q265">
        <f t="shared" si="98"/>
        <v>0</v>
      </c>
      <c r="X265" t="str">
        <f t="shared" si="100"/>
        <v/>
      </c>
      <c r="Y265" t="str">
        <f t="shared" si="101"/>
        <v/>
      </c>
      <c r="Z265" t="str">
        <f t="shared" si="102"/>
        <v/>
      </c>
      <c r="AA265" t="str">
        <f t="shared" si="103"/>
        <v/>
      </c>
      <c r="AB265" t="str">
        <f t="shared" si="104"/>
        <v/>
      </c>
      <c r="AC265" t="str">
        <f t="shared" si="105"/>
        <v/>
      </c>
      <c r="AD265" t="str">
        <f t="shared" si="106"/>
        <v/>
      </c>
    </row>
    <row r="266" spans="14:30" thickBot="1" x14ac:dyDescent="0.3">
      <c r="N266">
        <f t="shared" si="99"/>
        <v>0</v>
      </c>
      <c r="O266">
        <f t="shared" si="96"/>
        <v>0</v>
      </c>
      <c r="P266">
        <f t="shared" si="97"/>
        <v>0</v>
      </c>
      <c r="Q266">
        <f t="shared" si="98"/>
        <v>0</v>
      </c>
      <c r="X266" t="str">
        <f t="shared" si="100"/>
        <v/>
      </c>
      <c r="Y266" t="str">
        <f t="shared" si="101"/>
        <v/>
      </c>
      <c r="Z266" t="str">
        <f t="shared" si="102"/>
        <v/>
      </c>
      <c r="AA266" t="str">
        <f t="shared" si="103"/>
        <v/>
      </c>
      <c r="AB266" t="str">
        <f t="shared" si="104"/>
        <v/>
      </c>
      <c r="AC266" t="str">
        <f t="shared" si="105"/>
        <v/>
      </c>
      <c r="AD266" t="str">
        <f t="shared" si="106"/>
        <v/>
      </c>
    </row>
    <row r="267" spans="14:30" thickBot="1" x14ac:dyDescent="0.3">
      <c r="N267">
        <f t="shared" si="99"/>
        <v>0</v>
      </c>
      <c r="O267">
        <f t="shared" si="96"/>
        <v>0</v>
      </c>
      <c r="P267">
        <f t="shared" si="97"/>
        <v>0</v>
      </c>
      <c r="Q267">
        <f t="shared" si="98"/>
        <v>0</v>
      </c>
      <c r="V267">
        <v>14</v>
      </c>
      <c r="X267" t="str">
        <f t="shared" si="100"/>
        <v/>
      </c>
      <c r="Y267" t="str">
        <f t="shared" si="101"/>
        <v/>
      </c>
      <c r="Z267" t="str">
        <f t="shared" si="102"/>
        <v/>
      </c>
      <c r="AA267" t="str">
        <f t="shared" si="103"/>
        <v/>
      </c>
      <c r="AB267" t="str">
        <f t="shared" si="104"/>
        <v>,</v>
      </c>
      <c r="AC267" t="str">
        <f t="shared" si="105"/>
        <v/>
      </c>
      <c r="AD267" t="str">
        <f t="shared" si="106"/>
        <v/>
      </c>
    </row>
    <row r="268" spans="14:30" thickBot="1" x14ac:dyDescent="0.3">
      <c r="N268">
        <f t="shared" si="99"/>
        <v>0</v>
      </c>
      <c r="O268">
        <f t="shared" si="96"/>
        <v>0</v>
      </c>
      <c r="P268">
        <f t="shared" si="97"/>
        <v>0</v>
      </c>
      <c r="Q268">
        <f t="shared" si="98"/>
        <v>0</v>
      </c>
      <c r="R268" s="91" t="str">
        <f t="shared" ref="R268:R275" si="107">IF(O268&gt;0,$N$280,"")</f>
        <v/>
      </c>
      <c r="S268" s="91" t="str">
        <f t="shared" ref="S268:S275" si="108">IF(P268&gt;0,$N$280,"")</f>
        <v/>
      </c>
      <c r="T268" s="91" t="str">
        <f t="shared" ref="T268:T275" si="109">IF(Q268&gt;0,$N$280,"")</f>
        <v/>
      </c>
      <c r="X268" t="str">
        <f t="shared" si="100"/>
        <v/>
      </c>
      <c r="Y268" t="str">
        <f t="shared" si="101"/>
        <v/>
      </c>
      <c r="Z268" t="str">
        <f t="shared" si="102"/>
        <v/>
      </c>
      <c r="AA268" t="str">
        <f t="shared" si="103"/>
        <v/>
      </c>
      <c r="AB268" t="str">
        <f t="shared" si="104"/>
        <v/>
      </c>
      <c r="AC268" t="str">
        <f t="shared" si="105"/>
        <v/>
      </c>
      <c r="AD268" t="str">
        <f t="shared" si="106"/>
        <v/>
      </c>
    </row>
    <row r="269" spans="14:30" thickBot="1" x14ac:dyDescent="0.3">
      <c r="N269">
        <f t="shared" si="99"/>
        <v>0</v>
      </c>
      <c r="O269">
        <f t="shared" si="96"/>
        <v>0</v>
      </c>
      <c r="P269">
        <f t="shared" si="97"/>
        <v>0</v>
      </c>
      <c r="Q269">
        <f t="shared" si="98"/>
        <v>0</v>
      </c>
      <c r="R269" s="91" t="str">
        <f t="shared" si="107"/>
        <v/>
      </c>
      <c r="S269" s="91" t="str">
        <f t="shared" si="108"/>
        <v/>
      </c>
      <c r="T269" s="91" t="str">
        <f t="shared" si="109"/>
        <v/>
      </c>
      <c r="X269" t="str">
        <f t="shared" si="100"/>
        <v/>
      </c>
      <c r="Y269" t="str">
        <f t="shared" si="101"/>
        <v/>
      </c>
      <c r="Z269" t="str">
        <f t="shared" si="102"/>
        <v/>
      </c>
      <c r="AA269" t="str">
        <f t="shared" si="103"/>
        <v/>
      </c>
      <c r="AB269" t="str">
        <f t="shared" si="104"/>
        <v/>
      </c>
      <c r="AC269" t="str">
        <f t="shared" si="105"/>
        <v/>
      </c>
      <c r="AD269" t="str">
        <f t="shared" si="106"/>
        <v/>
      </c>
    </row>
    <row r="270" spans="14:30" thickBot="1" x14ac:dyDescent="0.3">
      <c r="N270">
        <f t="shared" si="99"/>
        <v>0</v>
      </c>
      <c r="O270">
        <f t="shared" si="96"/>
        <v>0</v>
      </c>
      <c r="P270">
        <f t="shared" si="97"/>
        <v>0</v>
      </c>
      <c r="Q270">
        <f t="shared" si="98"/>
        <v>0</v>
      </c>
      <c r="R270" s="91" t="str">
        <f t="shared" si="107"/>
        <v/>
      </c>
      <c r="S270" s="91" t="str">
        <f t="shared" si="108"/>
        <v/>
      </c>
      <c r="T270" s="91" t="str">
        <f t="shared" si="109"/>
        <v/>
      </c>
      <c r="X270" t="str">
        <f t="shared" si="100"/>
        <v/>
      </c>
      <c r="Y270" t="str">
        <f t="shared" si="101"/>
        <v/>
      </c>
      <c r="Z270" t="str">
        <f t="shared" si="102"/>
        <v/>
      </c>
      <c r="AA270" t="str">
        <f t="shared" si="103"/>
        <v/>
      </c>
      <c r="AB270" t="str">
        <f t="shared" si="104"/>
        <v/>
      </c>
      <c r="AC270" t="str">
        <f t="shared" si="105"/>
        <v/>
      </c>
      <c r="AD270" t="str">
        <f t="shared" si="106"/>
        <v/>
      </c>
    </row>
    <row r="271" spans="14:30" thickBot="1" x14ac:dyDescent="0.3">
      <c r="N271">
        <f t="shared" si="99"/>
        <v>0</v>
      </c>
      <c r="O271">
        <f t="shared" si="96"/>
        <v>0</v>
      </c>
      <c r="P271">
        <f t="shared" si="97"/>
        <v>0</v>
      </c>
      <c r="Q271">
        <f t="shared" si="98"/>
        <v>0</v>
      </c>
      <c r="R271" s="91" t="str">
        <f t="shared" si="107"/>
        <v/>
      </c>
      <c r="S271" s="91" t="str">
        <f t="shared" si="108"/>
        <v/>
      </c>
      <c r="T271" s="91" t="str">
        <f t="shared" si="109"/>
        <v/>
      </c>
      <c r="X271" t="str">
        <f t="shared" si="100"/>
        <v/>
      </c>
      <c r="Y271" t="str">
        <f t="shared" si="101"/>
        <v/>
      </c>
      <c r="Z271" t="str">
        <f t="shared" si="102"/>
        <v/>
      </c>
      <c r="AA271" t="str">
        <f t="shared" si="103"/>
        <v/>
      </c>
      <c r="AB271" t="str">
        <f t="shared" si="104"/>
        <v/>
      </c>
      <c r="AC271" t="str">
        <f t="shared" si="105"/>
        <v/>
      </c>
      <c r="AD271" t="str">
        <f t="shared" si="106"/>
        <v/>
      </c>
    </row>
    <row r="272" spans="14:30" thickBot="1" x14ac:dyDescent="0.3">
      <c r="N272">
        <f t="shared" si="99"/>
        <v>0</v>
      </c>
      <c r="O272">
        <f t="shared" si="96"/>
        <v>0</v>
      </c>
      <c r="P272">
        <f t="shared" si="97"/>
        <v>0</v>
      </c>
      <c r="Q272">
        <f t="shared" si="98"/>
        <v>0</v>
      </c>
      <c r="R272" s="91" t="str">
        <f t="shared" si="107"/>
        <v/>
      </c>
      <c r="S272" s="91" t="str">
        <f t="shared" si="108"/>
        <v/>
      </c>
      <c r="T272" s="91" t="str">
        <f t="shared" si="109"/>
        <v/>
      </c>
      <c r="X272" t="str">
        <f t="shared" si="100"/>
        <v/>
      </c>
      <c r="Y272" t="str">
        <f t="shared" si="101"/>
        <v/>
      </c>
      <c r="Z272" t="str">
        <f t="shared" si="102"/>
        <v/>
      </c>
      <c r="AA272" t="str">
        <f t="shared" si="103"/>
        <v/>
      </c>
      <c r="AB272" t="str">
        <f t="shared" si="104"/>
        <v/>
      </c>
      <c r="AC272" t="str">
        <f t="shared" si="105"/>
        <v/>
      </c>
      <c r="AD272" t="str">
        <f t="shared" si="106"/>
        <v/>
      </c>
    </row>
    <row r="273" spans="14:30" thickBot="1" x14ac:dyDescent="0.3">
      <c r="N273">
        <f t="shared" si="99"/>
        <v>0</v>
      </c>
      <c r="O273">
        <f t="shared" si="96"/>
        <v>0</v>
      </c>
      <c r="P273">
        <f t="shared" si="97"/>
        <v>0</v>
      </c>
      <c r="Q273">
        <f t="shared" si="98"/>
        <v>0</v>
      </c>
      <c r="R273" s="91" t="str">
        <f t="shared" si="107"/>
        <v/>
      </c>
      <c r="S273" s="91" t="str">
        <f t="shared" si="108"/>
        <v/>
      </c>
      <c r="T273" s="91" t="str">
        <f t="shared" si="109"/>
        <v/>
      </c>
      <c r="X273" t="str">
        <f t="shared" si="100"/>
        <v/>
      </c>
      <c r="Y273" t="str">
        <f t="shared" si="101"/>
        <v/>
      </c>
      <c r="Z273" t="str">
        <f t="shared" si="102"/>
        <v/>
      </c>
      <c r="AA273" t="str">
        <f t="shared" si="103"/>
        <v/>
      </c>
      <c r="AB273" t="str">
        <f t="shared" si="104"/>
        <v/>
      </c>
      <c r="AC273" t="str">
        <f t="shared" si="105"/>
        <v/>
      </c>
      <c r="AD273" t="str">
        <f t="shared" si="106"/>
        <v/>
      </c>
    </row>
    <row r="274" spans="14:30" thickBot="1" x14ac:dyDescent="0.3">
      <c r="N274">
        <f t="shared" si="99"/>
        <v>0</v>
      </c>
      <c r="O274">
        <f t="shared" si="96"/>
        <v>0</v>
      </c>
      <c r="P274">
        <f t="shared" si="97"/>
        <v>0</v>
      </c>
      <c r="Q274">
        <f t="shared" si="98"/>
        <v>0</v>
      </c>
      <c r="R274" s="91" t="str">
        <f t="shared" si="107"/>
        <v/>
      </c>
      <c r="S274" s="91" t="str">
        <f t="shared" si="108"/>
        <v/>
      </c>
      <c r="T274" s="91" t="str">
        <f t="shared" si="109"/>
        <v/>
      </c>
      <c r="X274" t="str">
        <f t="shared" si="100"/>
        <v/>
      </c>
      <c r="Y274" t="str">
        <f t="shared" si="101"/>
        <v/>
      </c>
      <c r="Z274" t="str">
        <f t="shared" si="102"/>
        <v/>
      </c>
      <c r="AA274" t="str">
        <f t="shared" si="103"/>
        <v/>
      </c>
      <c r="AB274" t="str">
        <f t="shared" si="104"/>
        <v/>
      </c>
      <c r="AC274" t="str">
        <f t="shared" si="105"/>
        <v/>
      </c>
      <c r="AD274" t="str">
        <f t="shared" si="106"/>
        <v/>
      </c>
    </row>
    <row r="275" spans="14:30" thickBot="1" x14ac:dyDescent="0.3">
      <c r="N275">
        <f t="shared" si="99"/>
        <v>0</v>
      </c>
      <c r="O275">
        <f t="shared" si="96"/>
        <v>0</v>
      </c>
      <c r="P275">
        <f t="shared" si="97"/>
        <v>0</v>
      </c>
      <c r="Q275">
        <f t="shared" si="98"/>
        <v>0</v>
      </c>
      <c r="R275" s="91" t="str">
        <f t="shared" si="107"/>
        <v/>
      </c>
      <c r="S275" s="91" t="str">
        <f t="shared" si="108"/>
        <v/>
      </c>
      <c r="T275" s="91" t="str">
        <f t="shared" si="109"/>
        <v/>
      </c>
      <c r="X275" t="str">
        <f t="shared" si="100"/>
        <v/>
      </c>
      <c r="Y275" t="str">
        <f t="shared" si="101"/>
        <v/>
      </c>
      <c r="Z275" t="str">
        <f t="shared" si="102"/>
        <v/>
      </c>
      <c r="AA275" t="str">
        <f t="shared" si="103"/>
        <v/>
      </c>
      <c r="AB275" t="str">
        <f t="shared" si="104"/>
        <v/>
      </c>
      <c r="AC275" t="str">
        <f t="shared" si="105"/>
        <v/>
      </c>
      <c r="AD275" t="str">
        <f t="shared" si="106"/>
        <v/>
      </c>
    </row>
    <row r="276" spans="14:30" thickBot="1" x14ac:dyDescent="0.3">
      <c r="N276">
        <f t="shared" si="99"/>
        <v>0</v>
      </c>
      <c r="O276">
        <f t="shared" si="96"/>
        <v>0</v>
      </c>
      <c r="P276">
        <f t="shared" si="97"/>
        <v>0</v>
      </c>
      <c r="Q276">
        <f t="shared" si="98"/>
        <v>0</v>
      </c>
      <c r="X276" t="str">
        <f t="shared" si="100"/>
        <v/>
      </c>
      <c r="Y276" t="str">
        <f t="shared" si="101"/>
        <v/>
      </c>
      <c r="Z276" t="str">
        <f t="shared" si="102"/>
        <v/>
      </c>
      <c r="AA276" t="str">
        <f t="shared" si="103"/>
        <v/>
      </c>
      <c r="AB276" t="str">
        <f t="shared" si="104"/>
        <v/>
      </c>
      <c r="AC276" t="str">
        <f t="shared" si="105"/>
        <v/>
      </c>
      <c r="AD276" t="str">
        <f t="shared" si="106"/>
        <v/>
      </c>
    </row>
    <row r="277" spans="14:30" thickBot="1" x14ac:dyDescent="0.3">
      <c r="N277">
        <f t="shared" si="99"/>
        <v>0</v>
      </c>
      <c r="O277">
        <f t="shared" si="96"/>
        <v>0</v>
      </c>
      <c r="P277">
        <f t="shared" si="97"/>
        <v>0</v>
      </c>
      <c r="Q277">
        <f t="shared" si="98"/>
        <v>0</v>
      </c>
      <c r="X277" t="str">
        <f t="shared" si="100"/>
        <v/>
      </c>
      <c r="Y277" t="str">
        <f t="shared" si="101"/>
        <v/>
      </c>
      <c r="Z277" t="str">
        <f t="shared" si="102"/>
        <v/>
      </c>
      <c r="AA277" t="str">
        <f t="shared" si="103"/>
        <v/>
      </c>
      <c r="AB277" t="str">
        <f t="shared" si="104"/>
        <v/>
      </c>
      <c r="AC277" t="str">
        <f t="shared" si="105"/>
        <v/>
      </c>
      <c r="AD277" t="str">
        <f t="shared" si="106"/>
        <v/>
      </c>
    </row>
    <row r="278" spans="14:30" thickBot="1" x14ac:dyDescent="0.3">
      <c r="N278">
        <f t="shared" si="99"/>
        <v>0</v>
      </c>
      <c r="O278">
        <f t="shared" si="96"/>
        <v>0</v>
      </c>
      <c r="P278">
        <f t="shared" si="97"/>
        <v>0</v>
      </c>
      <c r="Q278">
        <f t="shared" si="98"/>
        <v>0</v>
      </c>
      <c r="X278" t="str">
        <f t="shared" si="100"/>
        <v/>
      </c>
      <c r="Y278" t="str">
        <f t="shared" si="101"/>
        <v/>
      </c>
      <c r="Z278" t="str">
        <f t="shared" si="102"/>
        <v/>
      </c>
      <c r="AA278" t="str">
        <f t="shared" si="103"/>
        <v/>
      </c>
      <c r="AB278" t="str">
        <f t="shared" si="104"/>
        <v/>
      </c>
      <c r="AC278" t="str">
        <f t="shared" si="105"/>
        <v/>
      </c>
      <c r="AD278" t="str">
        <f t="shared" si="106"/>
        <v/>
      </c>
    </row>
    <row r="279" spans="14:30" thickBot="1" x14ac:dyDescent="0.3">
      <c r="N279">
        <f t="shared" si="99"/>
        <v>0</v>
      </c>
      <c r="O279">
        <f t="shared" si="96"/>
        <v>0</v>
      </c>
      <c r="P279">
        <f t="shared" si="97"/>
        <v>0</v>
      </c>
      <c r="Q279">
        <f t="shared" si="98"/>
        <v>0</v>
      </c>
      <c r="X279" t="str">
        <f t="shared" si="100"/>
        <v/>
      </c>
      <c r="Y279" t="str">
        <f t="shared" si="101"/>
        <v/>
      </c>
      <c r="Z279" t="str">
        <f t="shared" si="102"/>
        <v/>
      </c>
      <c r="AA279" t="str">
        <f t="shared" si="103"/>
        <v/>
      </c>
      <c r="AB279" t="str">
        <f t="shared" si="104"/>
        <v/>
      </c>
      <c r="AC279" t="str">
        <f t="shared" si="105"/>
        <v/>
      </c>
      <c r="AD279" t="str">
        <f t="shared" si="106"/>
        <v/>
      </c>
    </row>
    <row r="280" spans="14:30" thickBot="1" x14ac:dyDescent="0.3">
      <c r="N280">
        <f t="shared" si="99"/>
        <v>0</v>
      </c>
      <c r="O280">
        <f t="shared" si="96"/>
        <v>0</v>
      </c>
      <c r="P280">
        <f t="shared" si="97"/>
        <v>0</v>
      </c>
      <c r="Q280">
        <f t="shared" si="98"/>
        <v>0</v>
      </c>
      <c r="X280" t="str">
        <f t="shared" si="100"/>
        <v/>
      </c>
      <c r="Y280" t="str">
        <f t="shared" si="101"/>
        <v/>
      </c>
      <c r="Z280" t="str">
        <f t="shared" si="102"/>
        <v/>
      </c>
      <c r="AA280" t="str">
        <f t="shared" si="103"/>
        <v/>
      </c>
      <c r="AB280" t="str">
        <f t="shared" si="104"/>
        <v/>
      </c>
      <c r="AC280" t="str">
        <f t="shared" si="105"/>
        <v/>
      </c>
      <c r="AD280" t="str">
        <f t="shared" si="106"/>
        <v/>
      </c>
    </row>
    <row r="281" spans="14:30" thickBot="1" x14ac:dyDescent="0.3">
      <c r="N281">
        <f t="shared" si="99"/>
        <v>0</v>
      </c>
      <c r="O281">
        <f t="shared" si="96"/>
        <v>0</v>
      </c>
      <c r="P281">
        <f t="shared" si="97"/>
        <v>0</v>
      </c>
      <c r="Q281">
        <f t="shared" si="98"/>
        <v>0</v>
      </c>
      <c r="X281" t="str">
        <f t="shared" si="100"/>
        <v/>
      </c>
      <c r="Y281" t="str">
        <f t="shared" si="101"/>
        <v/>
      </c>
      <c r="Z281" t="str">
        <f t="shared" si="102"/>
        <v/>
      </c>
      <c r="AA281" t="str">
        <f t="shared" si="103"/>
        <v/>
      </c>
      <c r="AB281" t="str">
        <f t="shared" si="104"/>
        <v/>
      </c>
      <c r="AC281" t="str">
        <f t="shared" si="105"/>
        <v/>
      </c>
      <c r="AD281" t="str">
        <f t="shared" si="106"/>
        <v/>
      </c>
    </row>
    <row r="282" spans="14:30" thickBot="1" x14ac:dyDescent="0.3">
      <c r="N282">
        <f t="shared" si="99"/>
        <v>0</v>
      </c>
      <c r="O282">
        <f t="shared" si="96"/>
        <v>0</v>
      </c>
      <c r="P282">
        <f t="shared" si="97"/>
        <v>0</v>
      </c>
      <c r="Q282">
        <f t="shared" si="98"/>
        <v>0</v>
      </c>
      <c r="X282" t="str">
        <f t="shared" si="100"/>
        <v/>
      </c>
      <c r="Y282" t="str">
        <f t="shared" si="101"/>
        <v/>
      </c>
      <c r="Z282" t="str">
        <f t="shared" si="102"/>
        <v/>
      </c>
      <c r="AA282" t="str">
        <f t="shared" si="103"/>
        <v/>
      </c>
      <c r="AB282" t="str">
        <f t="shared" si="104"/>
        <v/>
      </c>
      <c r="AC282" t="str">
        <f t="shared" si="105"/>
        <v/>
      </c>
      <c r="AD282" t="str">
        <f t="shared" si="106"/>
        <v/>
      </c>
    </row>
    <row r="283" spans="14:30" thickBot="1" x14ac:dyDescent="0.3">
      <c r="N283">
        <f t="shared" si="99"/>
        <v>0</v>
      </c>
      <c r="O283">
        <f t="shared" si="96"/>
        <v>0</v>
      </c>
      <c r="P283">
        <f t="shared" si="97"/>
        <v>0</v>
      </c>
      <c r="Q283">
        <f t="shared" si="98"/>
        <v>0</v>
      </c>
      <c r="X283" t="str">
        <f t="shared" si="100"/>
        <v/>
      </c>
      <c r="Y283" t="str">
        <f t="shared" si="101"/>
        <v/>
      </c>
      <c r="Z283" t="str">
        <f t="shared" si="102"/>
        <v/>
      </c>
      <c r="AA283" t="str">
        <f t="shared" si="103"/>
        <v/>
      </c>
      <c r="AB283" t="str">
        <f t="shared" si="104"/>
        <v/>
      </c>
      <c r="AC283" t="str">
        <f t="shared" si="105"/>
        <v/>
      </c>
      <c r="AD283" t="str">
        <f t="shared" si="106"/>
        <v/>
      </c>
    </row>
    <row r="284" spans="14:30" thickBot="1" x14ac:dyDescent="0.3">
      <c r="N284">
        <f t="shared" si="99"/>
        <v>0</v>
      </c>
      <c r="O284">
        <f t="shared" si="96"/>
        <v>0</v>
      </c>
      <c r="P284">
        <f t="shared" si="97"/>
        <v>0</v>
      </c>
      <c r="Q284">
        <f t="shared" si="98"/>
        <v>0</v>
      </c>
      <c r="X284" t="str">
        <f t="shared" si="100"/>
        <v/>
      </c>
      <c r="Y284" t="str">
        <f t="shared" si="101"/>
        <v/>
      </c>
      <c r="Z284" t="str">
        <f t="shared" si="102"/>
        <v/>
      </c>
      <c r="AA284" t="str">
        <f t="shared" si="103"/>
        <v/>
      </c>
      <c r="AB284" t="str">
        <f t="shared" si="104"/>
        <v/>
      </c>
      <c r="AC284" t="str">
        <f t="shared" si="105"/>
        <v/>
      </c>
      <c r="AD284" t="str">
        <f t="shared" si="106"/>
        <v/>
      </c>
    </row>
    <row r="285" spans="14:30" thickBot="1" x14ac:dyDescent="0.3">
      <c r="N285">
        <f t="shared" si="99"/>
        <v>0</v>
      </c>
      <c r="O285">
        <f t="shared" si="96"/>
        <v>0</v>
      </c>
      <c r="P285">
        <f t="shared" si="97"/>
        <v>0</v>
      </c>
      <c r="Q285">
        <f t="shared" si="98"/>
        <v>0</v>
      </c>
      <c r="X285" t="str">
        <f t="shared" si="100"/>
        <v/>
      </c>
      <c r="Y285" t="str">
        <f t="shared" si="101"/>
        <v/>
      </c>
      <c r="Z285" t="str">
        <f t="shared" si="102"/>
        <v/>
      </c>
      <c r="AA285" t="str">
        <f t="shared" si="103"/>
        <v/>
      </c>
      <c r="AB285" t="str">
        <f t="shared" si="104"/>
        <v/>
      </c>
      <c r="AC285" t="str">
        <f t="shared" si="105"/>
        <v/>
      </c>
      <c r="AD285" t="str">
        <f t="shared" si="106"/>
        <v/>
      </c>
    </row>
    <row r="286" spans="14:30" thickBot="1" x14ac:dyDescent="0.3">
      <c r="N286">
        <f t="shared" si="99"/>
        <v>0</v>
      </c>
      <c r="O286">
        <f t="shared" si="96"/>
        <v>0</v>
      </c>
      <c r="P286">
        <f t="shared" si="97"/>
        <v>0</v>
      </c>
      <c r="Q286">
        <f t="shared" si="98"/>
        <v>0</v>
      </c>
      <c r="X286" t="str">
        <f t="shared" si="100"/>
        <v/>
      </c>
      <c r="Y286" t="str">
        <f t="shared" si="101"/>
        <v/>
      </c>
      <c r="Z286" t="str">
        <f t="shared" si="102"/>
        <v/>
      </c>
      <c r="AA286" t="str">
        <f t="shared" si="103"/>
        <v/>
      </c>
      <c r="AB286" t="str">
        <f t="shared" si="104"/>
        <v/>
      </c>
      <c r="AC286" t="str">
        <f t="shared" si="105"/>
        <v/>
      </c>
      <c r="AD286" t="str">
        <f t="shared" si="106"/>
        <v/>
      </c>
    </row>
    <row r="287" spans="14:30" thickBot="1" x14ac:dyDescent="0.3">
      <c r="N287">
        <f t="shared" si="99"/>
        <v>0</v>
      </c>
      <c r="O287">
        <f t="shared" si="96"/>
        <v>0</v>
      </c>
      <c r="P287">
        <f t="shared" si="97"/>
        <v>0</v>
      </c>
      <c r="Q287">
        <f t="shared" si="98"/>
        <v>0</v>
      </c>
      <c r="V287">
        <v>15</v>
      </c>
      <c r="X287" t="str">
        <f t="shared" si="100"/>
        <v/>
      </c>
      <c r="Y287" t="str">
        <f t="shared" si="101"/>
        <v/>
      </c>
      <c r="Z287" t="str">
        <f t="shared" si="102"/>
        <v/>
      </c>
      <c r="AA287" t="str">
        <f t="shared" si="103"/>
        <v/>
      </c>
      <c r="AB287" t="str">
        <f t="shared" si="104"/>
        <v>,</v>
      </c>
      <c r="AC287" t="str">
        <f t="shared" si="105"/>
        <v/>
      </c>
      <c r="AD287" t="str">
        <f t="shared" si="106"/>
        <v/>
      </c>
    </row>
    <row r="288" spans="14:30" thickBot="1" x14ac:dyDescent="0.3">
      <c r="N288">
        <f t="shared" si="99"/>
        <v>0</v>
      </c>
      <c r="O288">
        <f t="shared" si="96"/>
        <v>0</v>
      </c>
      <c r="P288">
        <f t="shared" si="97"/>
        <v>0</v>
      </c>
      <c r="Q288">
        <f t="shared" si="98"/>
        <v>0</v>
      </c>
      <c r="R288" s="91" t="str">
        <f t="shared" ref="R288:R295" si="110">IF(O288&gt;0,$N$300,"")</f>
        <v/>
      </c>
      <c r="S288" s="91" t="str">
        <f t="shared" ref="S288:S295" si="111">IF(P288&gt;0,$N$300,"")</f>
        <v/>
      </c>
      <c r="T288" s="91" t="str">
        <f t="shared" ref="T288:T295" si="112">IF(Q288&gt;0,$N$300,"")</f>
        <v/>
      </c>
      <c r="X288" t="str">
        <f t="shared" si="100"/>
        <v/>
      </c>
      <c r="Y288" t="str">
        <f t="shared" si="101"/>
        <v/>
      </c>
      <c r="Z288" t="str">
        <f t="shared" si="102"/>
        <v/>
      </c>
      <c r="AA288" t="str">
        <f t="shared" si="103"/>
        <v/>
      </c>
      <c r="AB288" t="str">
        <f t="shared" si="104"/>
        <v/>
      </c>
      <c r="AC288" t="str">
        <f t="shared" si="105"/>
        <v/>
      </c>
      <c r="AD288" t="str">
        <f t="shared" si="106"/>
        <v/>
      </c>
    </row>
    <row r="289" spans="14:30" thickBot="1" x14ac:dyDescent="0.3">
      <c r="N289">
        <f t="shared" si="99"/>
        <v>0</v>
      </c>
      <c r="O289">
        <f t="shared" si="96"/>
        <v>0</v>
      </c>
      <c r="P289">
        <f t="shared" si="97"/>
        <v>0</v>
      </c>
      <c r="Q289">
        <f t="shared" si="98"/>
        <v>0</v>
      </c>
      <c r="R289" s="91" t="str">
        <f t="shared" si="110"/>
        <v/>
      </c>
      <c r="S289" s="91" t="str">
        <f t="shared" si="111"/>
        <v/>
      </c>
      <c r="T289" s="91" t="str">
        <f t="shared" si="112"/>
        <v/>
      </c>
      <c r="X289" t="str">
        <f t="shared" si="100"/>
        <v/>
      </c>
      <c r="Y289" t="str">
        <f t="shared" si="101"/>
        <v/>
      </c>
      <c r="Z289" t="str">
        <f t="shared" si="102"/>
        <v/>
      </c>
      <c r="AA289" t="str">
        <f t="shared" si="103"/>
        <v/>
      </c>
      <c r="AB289" t="str">
        <f t="shared" si="104"/>
        <v/>
      </c>
      <c r="AC289" t="str">
        <f t="shared" si="105"/>
        <v/>
      </c>
      <c r="AD289" t="str">
        <f t="shared" si="106"/>
        <v/>
      </c>
    </row>
    <row r="290" spans="14:30" thickBot="1" x14ac:dyDescent="0.3">
      <c r="N290">
        <f t="shared" si="99"/>
        <v>0</v>
      </c>
      <c r="O290">
        <f t="shared" si="96"/>
        <v>0</v>
      </c>
      <c r="P290">
        <f t="shared" si="97"/>
        <v>0</v>
      </c>
      <c r="Q290">
        <f t="shared" si="98"/>
        <v>0</v>
      </c>
      <c r="R290" s="91" t="str">
        <f t="shared" si="110"/>
        <v/>
      </c>
      <c r="S290" s="91" t="str">
        <f t="shared" si="111"/>
        <v/>
      </c>
      <c r="T290" s="91" t="str">
        <f t="shared" si="112"/>
        <v/>
      </c>
      <c r="X290" t="str">
        <f t="shared" si="100"/>
        <v/>
      </c>
      <c r="Y290" t="str">
        <f t="shared" si="101"/>
        <v/>
      </c>
      <c r="Z290" t="str">
        <f t="shared" si="102"/>
        <v/>
      </c>
      <c r="AA290" t="str">
        <f t="shared" si="103"/>
        <v/>
      </c>
      <c r="AB290" t="str">
        <f t="shared" si="104"/>
        <v/>
      </c>
      <c r="AC290" t="str">
        <f t="shared" si="105"/>
        <v/>
      </c>
      <c r="AD290" t="str">
        <f t="shared" si="106"/>
        <v/>
      </c>
    </row>
    <row r="291" spans="14:30" thickBot="1" x14ac:dyDescent="0.3">
      <c r="N291">
        <f t="shared" si="99"/>
        <v>0</v>
      </c>
      <c r="O291">
        <f t="shared" si="96"/>
        <v>0</v>
      </c>
      <c r="P291">
        <f t="shared" si="97"/>
        <v>0</v>
      </c>
      <c r="Q291">
        <f t="shared" si="98"/>
        <v>0</v>
      </c>
      <c r="R291" s="91" t="str">
        <f t="shared" si="110"/>
        <v/>
      </c>
      <c r="S291" s="91" t="str">
        <f t="shared" si="111"/>
        <v/>
      </c>
      <c r="T291" s="91" t="str">
        <f t="shared" si="112"/>
        <v/>
      </c>
      <c r="X291" t="str">
        <f t="shared" si="100"/>
        <v/>
      </c>
      <c r="Y291" t="str">
        <f t="shared" si="101"/>
        <v/>
      </c>
      <c r="Z291" t="str">
        <f t="shared" si="102"/>
        <v/>
      </c>
      <c r="AA291" t="str">
        <f t="shared" si="103"/>
        <v/>
      </c>
      <c r="AB291" t="str">
        <f t="shared" si="104"/>
        <v/>
      </c>
      <c r="AC291" t="str">
        <f t="shared" si="105"/>
        <v/>
      </c>
      <c r="AD291" t="str">
        <f t="shared" si="106"/>
        <v/>
      </c>
    </row>
    <row r="292" spans="14:30" thickBot="1" x14ac:dyDescent="0.3">
      <c r="N292">
        <f t="shared" si="99"/>
        <v>0</v>
      </c>
      <c r="O292">
        <f t="shared" si="96"/>
        <v>0</v>
      </c>
      <c r="P292">
        <f t="shared" si="97"/>
        <v>0</v>
      </c>
      <c r="Q292">
        <f t="shared" si="98"/>
        <v>0</v>
      </c>
      <c r="R292" s="91" t="str">
        <f t="shared" si="110"/>
        <v/>
      </c>
      <c r="S292" s="91" t="str">
        <f t="shared" si="111"/>
        <v/>
      </c>
      <c r="T292" s="91" t="str">
        <f t="shared" si="112"/>
        <v/>
      </c>
      <c r="X292" t="str">
        <f t="shared" si="100"/>
        <v/>
      </c>
      <c r="Y292" t="str">
        <f t="shared" si="101"/>
        <v/>
      </c>
      <c r="Z292" t="str">
        <f t="shared" si="102"/>
        <v/>
      </c>
      <c r="AA292" t="str">
        <f t="shared" si="103"/>
        <v/>
      </c>
      <c r="AB292" t="str">
        <f t="shared" si="104"/>
        <v/>
      </c>
      <c r="AC292" t="str">
        <f t="shared" si="105"/>
        <v/>
      </c>
      <c r="AD292" t="str">
        <f t="shared" si="106"/>
        <v/>
      </c>
    </row>
    <row r="293" spans="14:30" thickBot="1" x14ac:dyDescent="0.3">
      <c r="N293">
        <f t="shared" si="99"/>
        <v>0</v>
      </c>
      <c r="O293">
        <f t="shared" si="96"/>
        <v>0</v>
      </c>
      <c r="P293">
        <f t="shared" si="97"/>
        <v>0</v>
      </c>
      <c r="Q293">
        <f t="shared" si="98"/>
        <v>0</v>
      </c>
      <c r="R293" s="91" t="str">
        <f t="shared" si="110"/>
        <v/>
      </c>
      <c r="S293" s="91" t="str">
        <f t="shared" si="111"/>
        <v/>
      </c>
      <c r="T293" s="91" t="str">
        <f t="shared" si="112"/>
        <v/>
      </c>
      <c r="X293" t="str">
        <f t="shared" si="100"/>
        <v/>
      </c>
      <c r="Y293" t="str">
        <f t="shared" si="101"/>
        <v/>
      </c>
      <c r="Z293" t="str">
        <f t="shared" si="102"/>
        <v/>
      </c>
      <c r="AA293" t="str">
        <f t="shared" si="103"/>
        <v/>
      </c>
      <c r="AB293" t="str">
        <f t="shared" si="104"/>
        <v/>
      </c>
      <c r="AC293" t="str">
        <f t="shared" si="105"/>
        <v/>
      </c>
      <c r="AD293" t="str">
        <f t="shared" si="106"/>
        <v/>
      </c>
    </row>
    <row r="294" spans="14:30" thickBot="1" x14ac:dyDescent="0.3">
      <c r="N294">
        <f t="shared" si="99"/>
        <v>0</v>
      </c>
      <c r="O294">
        <f t="shared" si="96"/>
        <v>0</v>
      </c>
      <c r="P294">
        <f t="shared" si="97"/>
        <v>0</v>
      </c>
      <c r="Q294">
        <f t="shared" si="98"/>
        <v>0</v>
      </c>
      <c r="R294" s="91" t="str">
        <f t="shared" si="110"/>
        <v/>
      </c>
      <c r="S294" s="91" t="str">
        <f t="shared" si="111"/>
        <v/>
      </c>
      <c r="T294" s="91" t="str">
        <f t="shared" si="112"/>
        <v/>
      </c>
      <c r="X294" t="str">
        <f t="shared" si="100"/>
        <v/>
      </c>
      <c r="Y294" t="str">
        <f t="shared" si="101"/>
        <v/>
      </c>
      <c r="Z294" t="str">
        <f t="shared" si="102"/>
        <v/>
      </c>
      <c r="AA294" t="str">
        <f t="shared" si="103"/>
        <v/>
      </c>
      <c r="AB294" t="str">
        <f t="shared" si="104"/>
        <v/>
      </c>
      <c r="AC294" t="str">
        <f t="shared" si="105"/>
        <v/>
      </c>
      <c r="AD294" t="str">
        <f t="shared" si="106"/>
        <v/>
      </c>
    </row>
    <row r="295" spans="14:30" thickBot="1" x14ac:dyDescent="0.3">
      <c r="N295">
        <f t="shared" si="99"/>
        <v>0</v>
      </c>
      <c r="O295">
        <f t="shared" si="96"/>
        <v>0</v>
      </c>
      <c r="P295">
        <f t="shared" si="97"/>
        <v>0</v>
      </c>
      <c r="Q295">
        <f t="shared" si="98"/>
        <v>0</v>
      </c>
      <c r="R295" s="91" t="str">
        <f t="shared" si="110"/>
        <v/>
      </c>
      <c r="S295" s="91" t="str">
        <f t="shared" si="111"/>
        <v/>
      </c>
      <c r="T295" s="91" t="str">
        <f t="shared" si="112"/>
        <v/>
      </c>
      <c r="X295" t="str">
        <f t="shared" si="100"/>
        <v/>
      </c>
      <c r="Y295" t="str">
        <f t="shared" si="101"/>
        <v/>
      </c>
      <c r="Z295" t="str">
        <f t="shared" si="102"/>
        <v/>
      </c>
      <c r="AA295" t="str">
        <f t="shared" si="103"/>
        <v/>
      </c>
      <c r="AB295" t="str">
        <f t="shared" si="104"/>
        <v/>
      </c>
      <c r="AC295" t="str">
        <f t="shared" si="105"/>
        <v/>
      </c>
      <c r="AD295" t="str">
        <f t="shared" si="106"/>
        <v/>
      </c>
    </row>
    <row r="296" spans="14:30" thickBot="1" x14ac:dyDescent="0.3">
      <c r="N296">
        <f t="shared" si="99"/>
        <v>0</v>
      </c>
      <c r="O296">
        <f t="shared" si="96"/>
        <v>0</v>
      </c>
      <c r="P296">
        <f t="shared" si="97"/>
        <v>0</v>
      </c>
      <c r="Q296">
        <f t="shared" si="98"/>
        <v>0</v>
      </c>
      <c r="X296" t="str">
        <f t="shared" si="100"/>
        <v/>
      </c>
      <c r="Y296" t="str">
        <f t="shared" si="101"/>
        <v/>
      </c>
      <c r="Z296" t="str">
        <f t="shared" si="102"/>
        <v/>
      </c>
      <c r="AA296" t="str">
        <f t="shared" si="103"/>
        <v/>
      </c>
      <c r="AB296" t="str">
        <f t="shared" si="104"/>
        <v/>
      </c>
      <c r="AC296" t="str">
        <f t="shared" si="105"/>
        <v/>
      </c>
      <c r="AD296" t="str">
        <f t="shared" si="106"/>
        <v/>
      </c>
    </row>
    <row r="297" spans="14:30" thickBot="1" x14ac:dyDescent="0.3">
      <c r="N297">
        <f t="shared" si="99"/>
        <v>0</v>
      </c>
      <c r="O297">
        <f t="shared" si="96"/>
        <v>0</v>
      </c>
      <c r="P297">
        <f t="shared" si="97"/>
        <v>0</v>
      </c>
      <c r="Q297">
        <f t="shared" si="98"/>
        <v>0</v>
      </c>
      <c r="X297" t="str">
        <f t="shared" si="100"/>
        <v/>
      </c>
      <c r="Y297" t="str">
        <f t="shared" si="101"/>
        <v/>
      </c>
      <c r="Z297" t="str">
        <f t="shared" si="102"/>
        <v/>
      </c>
      <c r="AA297" t="str">
        <f t="shared" si="103"/>
        <v/>
      </c>
      <c r="AB297" t="str">
        <f t="shared" si="104"/>
        <v/>
      </c>
      <c r="AC297" t="str">
        <f t="shared" si="105"/>
        <v/>
      </c>
      <c r="AD297" t="str">
        <f t="shared" si="106"/>
        <v/>
      </c>
    </row>
    <row r="298" spans="14:30" thickBot="1" x14ac:dyDescent="0.3">
      <c r="N298">
        <f t="shared" si="99"/>
        <v>0</v>
      </c>
      <c r="O298">
        <f t="shared" si="96"/>
        <v>0</v>
      </c>
      <c r="P298">
        <f t="shared" si="97"/>
        <v>0</v>
      </c>
      <c r="Q298">
        <f t="shared" si="98"/>
        <v>0</v>
      </c>
      <c r="X298" t="str">
        <f t="shared" si="100"/>
        <v/>
      </c>
      <c r="Y298" t="str">
        <f t="shared" si="101"/>
        <v/>
      </c>
      <c r="Z298" t="str">
        <f t="shared" si="102"/>
        <v/>
      </c>
      <c r="AA298" t="str">
        <f t="shared" si="103"/>
        <v/>
      </c>
      <c r="AB298" t="str">
        <f t="shared" si="104"/>
        <v/>
      </c>
      <c r="AC298" t="str">
        <f t="shared" si="105"/>
        <v/>
      </c>
      <c r="AD298" t="str">
        <f t="shared" si="106"/>
        <v/>
      </c>
    </row>
    <row r="299" spans="14:30" thickBot="1" x14ac:dyDescent="0.3">
      <c r="N299">
        <f t="shared" si="99"/>
        <v>0</v>
      </c>
      <c r="O299">
        <f t="shared" si="96"/>
        <v>0</v>
      </c>
      <c r="P299">
        <f t="shared" si="97"/>
        <v>0</v>
      </c>
      <c r="Q299">
        <f t="shared" si="98"/>
        <v>0</v>
      </c>
      <c r="X299" t="str">
        <f t="shared" si="100"/>
        <v/>
      </c>
      <c r="Y299" t="str">
        <f t="shared" si="101"/>
        <v/>
      </c>
      <c r="Z299" t="str">
        <f t="shared" si="102"/>
        <v/>
      </c>
      <c r="AA299" t="str">
        <f t="shared" si="103"/>
        <v/>
      </c>
      <c r="AB299" t="str">
        <f t="shared" si="104"/>
        <v/>
      </c>
      <c r="AC299" t="str">
        <f t="shared" si="105"/>
        <v/>
      </c>
      <c r="AD299" t="str">
        <f t="shared" si="106"/>
        <v/>
      </c>
    </row>
    <row r="300" spans="14:30" thickBot="1" x14ac:dyDescent="0.3">
      <c r="N300">
        <f t="shared" si="99"/>
        <v>0</v>
      </c>
      <c r="O300">
        <f t="shared" si="96"/>
        <v>0</v>
      </c>
      <c r="P300">
        <f t="shared" si="97"/>
        <v>0</v>
      </c>
      <c r="Q300">
        <f t="shared" si="98"/>
        <v>0</v>
      </c>
      <c r="X300" t="str">
        <f t="shared" si="100"/>
        <v/>
      </c>
      <c r="Y300" t="str">
        <f t="shared" si="101"/>
        <v/>
      </c>
      <c r="Z300" t="str">
        <f t="shared" si="102"/>
        <v/>
      </c>
      <c r="AA300" t="str">
        <f t="shared" si="103"/>
        <v/>
      </c>
      <c r="AB300" t="str">
        <f t="shared" si="104"/>
        <v/>
      </c>
      <c r="AC300" t="str">
        <f t="shared" si="105"/>
        <v/>
      </c>
      <c r="AD300" t="str">
        <f t="shared" si="106"/>
        <v/>
      </c>
    </row>
    <row r="301" spans="14:30" thickBot="1" x14ac:dyDescent="0.3">
      <c r="N301">
        <f t="shared" si="99"/>
        <v>0</v>
      </c>
      <c r="O301">
        <f t="shared" si="96"/>
        <v>0</v>
      </c>
      <c r="P301">
        <f t="shared" si="97"/>
        <v>0</v>
      </c>
      <c r="Q301">
        <f t="shared" si="98"/>
        <v>0</v>
      </c>
      <c r="X301" t="str">
        <f t="shared" si="100"/>
        <v/>
      </c>
      <c r="Y301" t="str">
        <f t="shared" si="101"/>
        <v/>
      </c>
      <c r="Z301" t="str">
        <f t="shared" si="102"/>
        <v/>
      </c>
      <c r="AA301" t="str">
        <f t="shared" si="103"/>
        <v/>
      </c>
      <c r="AB301" t="str">
        <f t="shared" si="104"/>
        <v/>
      </c>
      <c r="AC301" t="str">
        <f t="shared" si="105"/>
        <v/>
      </c>
      <c r="AD301" t="str">
        <f t="shared" si="106"/>
        <v/>
      </c>
    </row>
    <row r="302" spans="14:30" thickBot="1" x14ac:dyDescent="0.3">
      <c r="N302">
        <f t="shared" si="99"/>
        <v>0</v>
      </c>
      <c r="O302">
        <f t="shared" si="96"/>
        <v>0</v>
      </c>
      <c r="P302">
        <f t="shared" si="97"/>
        <v>0</v>
      </c>
      <c r="Q302">
        <f t="shared" si="98"/>
        <v>0</v>
      </c>
      <c r="X302" t="str">
        <f t="shared" si="100"/>
        <v/>
      </c>
      <c r="Y302" t="str">
        <f t="shared" si="101"/>
        <v/>
      </c>
      <c r="Z302" t="str">
        <f t="shared" si="102"/>
        <v/>
      </c>
      <c r="AA302" t="str">
        <f t="shared" si="103"/>
        <v/>
      </c>
      <c r="AB302" t="str">
        <f t="shared" si="104"/>
        <v/>
      </c>
      <c r="AC302" t="str">
        <f t="shared" si="105"/>
        <v/>
      </c>
      <c r="AD302" t="str">
        <f t="shared" si="106"/>
        <v/>
      </c>
    </row>
    <row r="303" spans="14:30" thickBot="1" x14ac:dyDescent="0.3">
      <c r="N303">
        <f t="shared" si="99"/>
        <v>0</v>
      </c>
      <c r="O303">
        <f t="shared" si="96"/>
        <v>0</v>
      </c>
      <c r="P303">
        <f t="shared" si="97"/>
        <v>0</v>
      </c>
      <c r="Q303">
        <f t="shared" si="98"/>
        <v>0</v>
      </c>
      <c r="X303" t="str">
        <f t="shared" si="100"/>
        <v/>
      </c>
      <c r="Y303" t="str">
        <f t="shared" si="101"/>
        <v/>
      </c>
      <c r="Z303" t="str">
        <f t="shared" si="102"/>
        <v/>
      </c>
      <c r="AA303" t="str">
        <f t="shared" si="103"/>
        <v/>
      </c>
      <c r="AB303" t="str">
        <f t="shared" si="104"/>
        <v/>
      </c>
      <c r="AC303" t="str">
        <f t="shared" si="105"/>
        <v/>
      </c>
      <c r="AD303" t="str">
        <f t="shared" si="106"/>
        <v/>
      </c>
    </row>
    <row r="304" spans="14:30" thickBot="1" x14ac:dyDescent="0.3">
      <c r="N304">
        <f t="shared" si="99"/>
        <v>0</v>
      </c>
      <c r="O304">
        <f t="shared" si="96"/>
        <v>0</v>
      </c>
      <c r="P304">
        <f t="shared" si="97"/>
        <v>0</v>
      </c>
      <c r="Q304">
        <f t="shared" si="98"/>
        <v>0</v>
      </c>
      <c r="X304" t="str">
        <f t="shared" si="100"/>
        <v/>
      </c>
      <c r="Y304" t="str">
        <f t="shared" si="101"/>
        <v/>
      </c>
      <c r="Z304" t="str">
        <f t="shared" si="102"/>
        <v/>
      </c>
      <c r="AA304" t="str">
        <f t="shared" si="103"/>
        <v/>
      </c>
      <c r="AB304" t="str">
        <f t="shared" si="104"/>
        <v/>
      </c>
      <c r="AC304" t="str">
        <f t="shared" si="105"/>
        <v/>
      </c>
      <c r="AD304" t="str">
        <f t="shared" si="106"/>
        <v/>
      </c>
    </row>
    <row r="305" spans="14:30" thickBot="1" x14ac:dyDescent="0.3">
      <c r="N305">
        <f t="shared" si="99"/>
        <v>0</v>
      </c>
      <c r="O305">
        <f t="shared" si="96"/>
        <v>0</v>
      </c>
      <c r="P305">
        <f t="shared" si="97"/>
        <v>0</v>
      </c>
      <c r="Q305">
        <f t="shared" si="98"/>
        <v>0</v>
      </c>
      <c r="X305" t="str">
        <f t="shared" si="100"/>
        <v/>
      </c>
      <c r="Y305" t="str">
        <f t="shared" si="101"/>
        <v/>
      </c>
      <c r="Z305" t="str">
        <f t="shared" si="102"/>
        <v/>
      </c>
      <c r="AA305" t="str">
        <f t="shared" si="103"/>
        <v/>
      </c>
      <c r="AB305" t="str">
        <f t="shared" si="104"/>
        <v/>
      </c>
      <c r="AC305" t="str">
        <f t="shared" si="105"/>
        <v/>
      </c>
      <c r="AD305" t="str">
        <f t="shared" si="106"/>
        <v/>
      </c>
    </row>
    <row r="306" spans="14:30" thickBot="1" x14ac:dyDescent="0.3">
      <c r="N306">
        <f t="shared" si="99"/>
        <v>0</v>
      </c>
      <c r="O306">
        <f t="shared" si="96"/>
        <v>0</v>
      </c>
      <c r="P306">
        <f t="shared" si="97"/>
        <v>0</v>
      </c>
      <c r="Q306">
        <f t="shared" si="98"/>
        <v>0</v>
      </c>
      <c r="X306" t="str">
        <f t="shared" si="100"/>
        <v/>
      </c>
      <c r="Y306" t="str">
        <f t="shared" si="101"/>
        <v/>
      </c>
      <c r="Z306" t="str">
        <f t="shared" si="102"/>
        <v/>
      </c>
      <c r="AA306" t="str">
        <f t="shared" si="103"/>
        <v/>
      </c>
      <c r="AB306" t="str">
        <f t="shared" si="104"/>
        <v/>
      </c>
      <c r="AC306" t="str">
        <f t="shared" si="105"/>
        <v/>
      </c>
      <c r="AD306" t="str">
        <f t="shared" si="106"/>
        <v/>
      </c>
    </row>
    <row r="307" spans="14:30" thickBot="1" x14ac:dyDescent="0.3">
      <c r="N307">
        <f t="shared" si="99"/>
        <v>0</v>
      </c>
      <c r="O307">
        <f t="shared" si="96"/>
        <v>0</v>
      </c>
      <c r="P307">
        <f t="shared" si="97"/>
        <v>0</v>
      </c>
      <c r="Q307">
        <f t="shared" si="98"/>
        <v>0</v>
      </c>
      <c r="V307">
        <v>16</v>
      </c>
      <c r="X307" t="str">
        <f t="shared" si="100"/>
        <v/>
      </c>
      <c r="Y307" t="str">
        <f t="shared" si="101"/>
        <v/>
      </c>
      <c r="Z307" t="str">
        <f t="shared" si="102"/>
        <v/>
      </c>
      <c r="AA307" t="str">
        <f t="shared" si="103"/>
        <v/>
      </c>
      <c r="AB307" t="str">
        <f t="shared" si="104"/>
        <v>,</v>
      </c>
      <c r="AC307" t="str">
        <f t="shared" si="105"/>
        <v/>
      </c>
      <c r="AD307" t="str">
        <f t="shared" si="106"/>
        <v/>
      </c>
    </row>
    <row r="308" spans="14:30" thickBot="1" x14ac:dyDescent="0.3">
      <c r="N308">
        <f t="shared" si="99"/>
        <v>0</v>
      </c>
      <c r="O308">
        <f t="shared" si="96"/>
        <v>0</v>
      </c>
      <c r="P308">
        <f t="shared" si="97"/>
        <v>0</v>
      </c>
      <c r="Q308">
        <f t="shared" si="98"/>
        <v>0</v>
      </c>
      <c r="X308" t="str">
        <f t="shared" si="100"/>
        <v/>
      </c>
      <c r="Y308" t="str">
        <f t="shared" si="101"/>
        <v/>
      </c>
      <c r="Z308" t="str">
        <f t="shared" si="102"/>
        <v/>
      </c>
      <c r="AA308" t="str">
        <f t="shared" si="103"/>
        <v/>
      </c>
      <c r="AB308" t="str">
        <f t="shared" si="104"/>
        <v/>
      </c>
      <c r="AC308" t="str">
        <f t="shared" si="105"/>
        <v/>
      </c>
      <c r="AD308" t="str">
        <f t="shared" si="106"/>
        <v/>
      </c>
    </row>
    <row r="309" spans="14:30" thickBot="1" x14ac:dyDescent="0.3">
      <c r="N309">
        <f t="shared" si="99"/>
        <v>0</v>
      </c>
      <c r="O309">
        <f t="shared" si="96"/>
        <v>0</v>
      </c>
      <c r="P309">
        <f t="shared" si="97"/>
        <v>0</v>
      </c>
      <c r="Q309">
        <f t="shared" si="98"/>
        <v>0</v>
      </c>
      <c r="X309" t="str">
        <f t="shared" si="100"/>
        <v/>
      </c>
      <c r="Y309" t="str">
        <f t="shared" si="101"/>
        <v/>
      </c>
      <c r="Z309" t="str">
        <f t="shared" si="102"/>
        <v/>
      </c>
      <c r="AA309" t="str">
        <f t="shared" si="103"/>
        <v/>
      </c>
      <c r="AB309" t="str">
        <f t="shared" si="104"/>
        <v/>
      </c>
      <c r="AC309" t="str">
        <f t="shared" si="105"/>
        <v/>
      </c>
      <c r="AD309" t="str">
        <f t="shared" si="106"/>
        <v/>
      </c>
    </row>
    <row r="310" spans="14:30" thickBot="1" x14ac:dyDescent="0.3">
      <c r="N310">
        <f t="shared" si="99"/>
        <v>0</v>
      </c>
      <c r="O310">
        <f t="shared" si="96"/>
        <v>0</v>
      </c>
      <c r="P310">
        <f t="shared" si="97"/>
        <v>0</v>
      </c>
      <c r="Q310">
        <f t="shared" si="98"/>
        <v>0</v>
      </c>
      <c r="X310" t="str">
        <f t="shared" si="100"/>
        <v/>
      </c>
      <c r="Y310" t="str">
        <f t="shared" si="101"/>
        <v/>
      </c>
      <c r="Z310" t="str">
        <f t="shared" si="102"/>
        <v/>
      </c>
      <c r="AA310" t="str">
        <f t="shared" si="103"/>
        <v/>
      </c>
      <c r="AB310" t="str">
        <f t="shared" si="104"/>
        <v/>
      </c>
      <c r="AC310" t="str">
        <f t="shared" si="105"/>
        <v/>
      </c>
      <c r="AD310" t="str">
        <f t="shared" si="106"/>
        <v/>
      </c>
    </row>
    <row r="311" spans="14:30" thickBot="1" x14ac:dyDescent="0.3">
      <c r="N311">
        <f t="shared" si="99"/>
        <v>0</v>
      </c>
      <c r="O311">
        <f t="shared" si="96"/>
        <v>0</v>
      </c>
      <c r="P311">
        <f t="shared" si="97"/>
        <v>0</v>
      </c>
      <c r="Q311">
        <f t="shared" si="98"/>
        <v>0</v>
      </c>
      <c r="X311" t="str">
        <f t="shared" si="100"/>
        <v/>
      </c>
      <c r="Y311" t="str">
        <f t="shared" si="101"/>
        <v/>
      </c>
      <c r="Z311" t="str">
        <f t="shared" si="102"/>
        <v/>
      </c>
      <c r="AA311" t="str">
        <f t="shared" si="103"/>
        <v/>
      </c>
      <c r="AB311" t="str">
        <f t="shared" si="104"/>
        <v/>
      </c>
      <c r="AC311" t="str">
        <f t="shared" si="105"/>
        <v/>
      </c>
      <c r="AD311" t="str">
        <f t="shared" si="106"/>
        <v/>
      </c>
    </row>
    <row r="312" spans="14:30" thickBot="1" x14ac:dyDescent="0.3">
      <c r="N312">
        <f t="shared" si="99"/>
        <v>0</v>
      </c>
      <c r="O312">
        <f t="shared" si="96"/>
        <v>0</v>
      </c>
      <c r="P312">
        <f t="shared" si="97"/>
        <v>0</v>
      </c>
      <c r="Q312">
        <f t="shared" si="98"/>
        <v>0</v>
      </c>
      <c r="X312" t="str">
        <f t="shared" si="100"/>
        <v/>
      </c>
      <c r="Y312" t="str">
        <f t="shared" si="101"/>
        <v/>
      </c>
      <c r="Z312" t="str">
        <f t="shared" si="102"/>
        <v/>
      </c>
      <c r="AA312" t="str">
        <f t="shared" si="103"/>
        <v/>
      </c>
      <c r="AB312" t="str">
        <f t="shared" si="104"/>
        <v/>
      </c>
      <c r="AC312" t="str">
        <f t="shared" si="105"/>
        <v/>
      </c>
      <c r="AD312" t="str">
        <f t="shared" si="106"/>
        <v/>
      </c>
    </row>
    <row r="313" spans="14:30" thickBot="1" x14ac:dyDescent="0.3">
      <c r="N313">
        <f t="shared" si="99"/>
        <v>0</v>
      </c>
      <c r="O313">
        <f t="shared" si="96"/>
        <v>0</v>
      </c>
      <c r="P313">
        <f t="shared" si="97"/>
        <v>0</v>
      </c>
      <c r="Q313">
        <f t="shared" si="98"/>
        <v>0</v>
      </c>
      <c r="X313" t="str">
        <f t="shared" si="100"/>
        <v/>
      </c>
      <c r="Y313" t="str">
        <f t="shared" si="101"/>
        <v/>
      </c>
      <c r="Z313" t="str">
        <f t="shared" si="102"/>
        <v/>
      </c>
      <c r="AA313" t="str">
        <f t="shared" si="103"/>
        <v/>
      </c>
      <c r="AB313" t="str">
        <f t="shared" si="104"/>
        <v/>
      </c>
      <c r="AC313" t="str">
        <f t="shared" si="105"/>
        <v/>
      </c>
      <c r="AD313" t="str">
        <f t="shared" si="106"/>
        <v/>
      </c>
    </row>
    <row r="314" spans="14:30" thickBot="1" x14ac:dyDescent="0.3">
      <c r="N314">
        <f t="shared" si="99"/>
        <v>0</v>
      </c>
      <c r="O314">
        <f t="shared" si="96"/>
        <v>0</v>
      </c>
      <c r="P314">
        <f t="shared" si="97"/>
        <v>0</v>
      </c>
      <c r="Q314">
        <f t="shared" si="98"/>
        <v>0</v>
      </c>
      <c r="X314" t="str">
        <f t="shared" si="100"/>
        <v/>
      </c>
      <c r="Y314" t="str">
        <f t="shared" si="101"/>
        <v/>
      </c>
      <c r="Z314" t="str">
        <f t="shared" si="102"/>
        <v/>
      </c>
      <c r="AA314" t="str">
        <f t="shared" si="103"/>
        <v/>
      </c>
      <c r="AB314" t="str">
        <f t="shared" si="104"/>
        <v/>
      </c>
      <c r="AC314" t="str">
        <f t="shared" si="105"/>
        <v/>
      </c>
      <c r="AD314" t="str">
        <f t="shared" si="106"/>
        <v/>
      </c>
    </row>
    <row r="315" spans="14:30" thickBot="1" x14ac:dyDescent="0.3">
      <c r="N315">
        <f t="shared" si="99"/>
        <v>0</v>
      </c>
      <c r="O315">
        <f t="shared" si="96"/>
        <v>0</v>
      </c>
      <c r="P315">
        <f t="shared" si="97"/>
        <v>0</v>
      </c>
      <c r="Q315">
        <f t="shared" si="98"/>
        <v>0</v>
      </c>
      <c r="X315" t="str">
        <f t="shared" si="100"/>
        <v/>
      </c>
      <c r="Y315" t="str">
        <f t="shared" si="101"/>
        <v/>
      </c>
      <c r="Z315" t="str">
        <f t="shared" si="102"/>
        <v/>
      </c>
      <c r="AA315" t="str">
        <f t="shared" si="103"/>
        <v/>
      </c>
      <c r="AB315" t="str">
        <f t="shared" si="104"/>
        <v/>
      </c>
      <c r="AC315" t="str">
        <f t="shared" si="105"/>
        <v/>
      </c>
      <c r="AD315" t="str">
        <f t="shared" si="106"/>
        <v/>
      </c>
    </row>
    <row r="316" spans="14:30" thickBot="1" x14ac:dyDescent="0.3">
      <c r="N316">
        <f t="shared" si="99"/>
        <v>0</v>
      </c>
      <c r="O316">
        <f t="shared" si="96"/>
        <v>0</v>
      </c>
      <c r="P316">
        <f t="shared" si="97"/>
        <v>0</v>
      </c>
      <c r="Q316">
        <f t="shared" si="98"/>
        <v>0</v>
      </c>
      <c r="X316" t="str">
        <f t="shared" si="100"/>
        <v/>
      </c>
      <c r="Y316" t="str">
        <f t="shared" si="101"/>
        <v/>
      </c>
      <c r="Z316" t="str">
        <f t="shared" si="102"/>
        <v/>
      </c>
      <c r="AA316" t="str">
        <f t="shared" si="103"/>
        <v/>
      </c>
      <c r="AB316" t="str">
        <f t="shared" si="104"/>
        <v/>
      </c>
      <c r="AC316" t="str">
        <f t="shared" si="105"/>
        <v/>
      </c>
      <c r="AD316" t="str">
        <f t="shared" si="106"/>
        <v/>
      </c>
    </row>
    <row r="317" spans="14:30" thickBot="1" x14ac:dyDescent="0.3">
      <c r="N317">
        <f t="shared" si="99"/>
        <v>0</v>
      </c>
      <c r="O317">
        <f t="shared" si="96"/>
        <v>0</v>
      </c>
      <c r="P317">
        <f t="shared" si="97"/>
        <v>0</v>
      </c>
      <c r="Q317">
        <f t="shared" si="98"/>
        <v>0</v>
      </c>
      <c r="X317" t="str">
        <f t="shared" si="100"/>
        <v/>
      </c>
      <c r="Y317" t="str">
        <f t="shared" si="101"/>
        <v/>
      </c>
      <c r="Z317" t="str">
        <f t="shared" si="102"/>
        <v/>
      </c>
      <c r="AA317" t="str">
        <f t="shared" si="103"/>
        <v/>
      </c>
      <c r="AB317" t="str">
        <f t="shared" si="104"/>
        <v/>
      </c>
      <c r="AC317" t="str">
        <f t="shared" si="105"/>
        <v/>
      </c>
      <c r="AD317" t="str">
        <f t="shared" si="106"/>
        <v/>
      </c>
    </row>
    <row r="318" spans="14:30" thickBot="1" x14ac:dyDescent="0.3">
      <c r="N318">
        <f t="shared" si="99"/>
        <v>0</v>
      </c>
      <c r="O318">
        <f t="shared" si="96"/>
        <v>0</v>
      </c>
      <c r="P318">
        <f t="shared" si="97"/>
        <v>0</v>
      </c>
      <c r="Q318">
        <f t="shared" si="98"/>
        <v>0</v>
      </c>
      <c r="X318" t="str">
        <f t="shared" si="100"/>
        <v/>
      </c>
      <c r="Y318" t="str">
        <f t="shared" si="101"/>
        <v/>
      </c>
      <c r="Z318" t="str">
        <f t="shared" si="102"/>
        <v/>
      </c>
      <c r="AA318" t="str">
        <f t="shared" si="103"/>
        <v/>
      </c>
      <c r="AB318" t="str">
        <f t="shared" si="104"/>
        <v/>
      </c>
      <c r="AC318" t="str">
        <f t="shared" si="105"/>
        <v/>
      </c>
      <c r="AD318" t="str">
        <f t="shared" si="106"/>
        <v/>
      </c>
    </row>
    <row r="319" spans="14:30" thickBot="1" x14ac:dyDescent="0.3">
      <c r="N319">
        <f t="shared" si="99"/>
        <v>0</v>
      </c>
      <c r="O319">
        <f t="shared" si="96"/>
        <v>0</v>
      </c>
      <c r="P319">
        <f t="shared" si="97"/>
        <v>0</v>
      </c>
      <c r="Q319">
        <f t="shared" si="98"/>
        <v>0</v>
      </c>
      <c r="X319" t="str">
        <f t="shared" si="100"/>
        <v/>
      </c>
      <c r="Y319" t="str">
        <f t="shared" si="101"/>
        <v/>
      </c>
      <c r="Z319" t="str">
        <f t="shared" si="102"/>
        <v/>
      </c>
      <c r="AA319" t="str">
        <f t="shared" si="103"/>
        <v/>
      </c>
      <c r="AB319" t="str">
        <f t="shared" si="104"/>
        <v/>
      </c>
      <c r="AC319" t="str">
        <f t="shared" si="105"/>
        <v/>
      </c>
      <c r="AD319" t="str">
        <f t="shared" si="106"/>
        <v/>
      </c>
    </row>
    <row r="320" spans="14:30" thickBot="1" x14ac:dyDescent="0.3">
      <c r="N320">
        <f t="shared" si="99"/>
        <v>0</v>
      </c>
      <c r="O320">
        <f t="shared" si="96"/>
        <v>0</v>
      </c>
      <c r="P320">
        <f t="shared" si="97"/>
        <v>0</v>
      </c>
      <c r="Q320">
        <f t="shared" si="98"/>
        <v>0</v>
      </c>
      <c r="X320" t="str">
        <f t="shared" si="100"/>
        <v/>
      </c>
      <c r="Y320" t="str">
        <f t="shared" si="101"/>
        <v/>
      </c>
      <c r="Z320" t="str">
        <f t="shared" si="102"/>
        <v/>
      </c>
      <c r="AA320" t="str">
        <f t="shared" si="103"/>
        <v/>
      </c>
      <c r="AB320" t="str">
        <f t="shared" si="104"/>
        <v/>
      </c>
      <c r="AC320" t="str">
        <f t="shared" si="105"/>
        <v/>
      </c>
      <c r="AD320" t="str">
        <f t="shared" si="106"/>
        <v/>
      </c>
    </row>
    <row r="321" spans="14:30" thickBot="1" x14ac:dyDescent="0.3">
      <c r="N321">
        <f t="shared" si="99"/>
        <v>0</v>
      </c>
      <c r="O321">
        <f t="shared" ref="O321:O384" si="113">B321</f>
        <v>0</v>
      </c>
      <c r="P321">
        <f t="shared" ref="P321:P384" si="114">C321</f>
        <v>0</v>
      </c>
      <c r="Q321">
        <f t="shared" ref="Q321:Q384" si="115">D321</f>
        <v>0</v>
      </c>
      <c r="X321" t="str">
        <f t="shared" si="100"/>
        <v/>
      </c>
      <c r="Y321" t="str">
        <f t="shared" si="101"/>
        <v/>
      </c>
      <c r="Z321" t="str">
        <f t="shared" si="102"/>
        <v/>
      </c>
      <c r="AA321" t="str">
        <f t="shared" si="103"/>
        <v/>
      </c>
      <c r="AB321" t="str">
        <f t="shared" si="104"/>
        <v/>
      </c>
      <c r="AC321" t="str">
        <f t="shared" si="105"/>
        <v/>
      </c>
      <c r="AD321" t="str">
        <f t="shared" si="106"/>
        <v/>
      </c>
    </row>
    <row r="322" spans="14:30" thickBot="1" x14ac:dyDescent="0.3">
      <c r="N322">
        <f t="shared" ref="N322:N385" si="116">A322</f>
        <v>0</v>
      </c>
      <c r="O322">
        <f t="shared" si="113"/>
        <v>0</v>
      </c>
      <c r="P322">
        <f t="shared" si="114"/>
        <v>0</v>
      </c>
      <c r="Q322">
        <f t="shared" si="115"/>
        <v>0</v>
      </c>
      <c r="X322" t="str">
        <f t="shared" si="100"/>
        <v/>
      </c>
      <c r="Y322" t="str">
        <f t="shared" si="101"/>
        <v/>
      </c>
      <c r="Z322" t="str">
        <f t="shared" si="102"/>
        <v/>
      </c>
      <c r="AA322" t="str">
        <f t="shared" si="103"/>
        <v/>
      </c>
      <c r="AB322" t="str">
        <f t="shared" si="104"/>
        <v/>
      </c>
      <c r="AC322" t="str">
        <f t="shared" si="105"/>
        <v/>
      </c>
      <c r="AD322" t="str">
        <f t="shared" si="106"/>
        <v/>
      </c>
    </row>
    <row r="323" spans="14:30" thickBot="1" x14ac:dyDescent="0.3">
      <c r="N323">
        <f t="shared" si="116"/>
        <v>0</v>
      </c>
      <c r="O323">
        <f t="shared" si="113"/>
        <v>0</v>
      </c>
      <c r="P323">
        <f t="shared" si="114"/>
        <v>0</v>
      </c>
      <c r="Q323">
        <f t="shared" si="115"/>
        <v>0</v>
      </c>
      <c r="X323" t="str">
        <f t="shared" si="100"/>
        <v/>
      </c>
      <c r="Y323" t="str">
        <f t="shared" si="101"/>
        <v/>
      </c>
      <c r="Z323" t="str">
        <f t="shared" si="102"/>
        <v/>
      </c>
      <c r="AA323" t="str">
        <f t="shared" si="103"/>
        <v/>
      </c>
      <c r="AB323" t="str">
        <f t="shared" si="104"/>
        <v/>
      </c>
      <c r="AC323" t="str">
        <f t="shared" si="105"/>
        <v/>
      </c>
      <c r="AD323" t="str">
        <f t="shared" si="106"/>
        <v/>
      </c>
    </row>
    <row r="324" spans="14:30" thickBot="1" x14ac:dyDescent="0.3">
      <c r="N324">
        <f t="shared" si="116"/>
        <v>0</v>
      </c>
      <c r="O324">
        <f t="shared" si="113"/>
        <v>0</v>
      </c>
      <c r="P324">
        <f t="shared" si="114"/>
        <v>0</v>
      </c>
      <c r="Q324">
        <f t="shared" si="115"/>
        <v>0</v>
      </c>
      <c r="X324" t="str">
        <f t="shared" si="100"/>
        <v/>
      </c>
      <c r="Y324" t="str">
        <f t="shared" si="101"/>
        <v/>
      </c>
      <c r="Z324" t="str">
        <f t="shared" si="102"/>
        <v/>
      </c>
      <c r="AA324" t="str">
        <f t="shared" si="103"/>
        <v/>
      </c>
      <c r="AB324" t="str">
        <f t="shared" si="104"/>
        <v/>
      </c>
      <c r="AC324" t="str">
        <f t="shared" si="105"/>
        <v/>
      </c>
      <c r="AD324" t="str">
        <f t="shared" si="106"/>
        <v/>
      </c>
    </row>
    <row r="325" spans="14:30" thickBot="1" x14ac:dyDescent="0.3">
      <c r="N325">
        <f t="shared" si="116"/>
        <v>0</v>
      </c>
      <c r="O325">
        <f t="shared" si="113"/>
        <v>0</v>
      </c>
      <c r="P325">
        <f t="shared" si="114"/>
        <v>0</v>
      </c>
      <c r="Q325">
        <f t="shared" si="115"/>
        <v>0</v>
      </c>
      <c r="X325" t="str">
        <f t="shared" si="100"/>
        <v/>
      </c>
      <c r="Y325" t="str">
        <f t="shared" si="101"/>
        <v/>
      </c>
      <c r="Z325" t="str">
        <f t="shared" si="102"/>
        <v/>
      </c>
      <c r="AA325" t="str">
        <f t="shared" si="103"/>
        <v/>
      </c>
      <c r="AB325" t="str">
        <f t="shared" si="104"/>
        <v/>
      </c>
      <c r="AC325" t="str">
        <f t="shared" si="105"/>
        <v/>
      </c>
      <c r="AD325" t="str">
        <f t="shared" si="106"/>
        <v/>
      </c>
    </row>
    <row r="326" spans="14:30" thickBot="1" x14ac:dyDescent="0.3">
      <c r="N326">
        <f t="shared" si="116"/>
        <v>0</v>
      </c>
      <c r="O326">
        <f t="shared" si="113"/>
        <v>0</v>
      </c>
      <c r="P326">
        <f t="shared" si="114"/>
        <v>0</v>
      </c>
      <c r="Q326">
        <f t="shared" si="115"/>
        <v>0</v>
      </c>
      <c r="X326" t="str">
        <f t="shared" si="100"/>
        <v/>
      </c>
      <c r="Y326" t="str">
        <f t="shared" si="101"/>
        <v/>
      </c>
      <c r="Z326" t="str">
        <f t="shared" si="102"/>
        <v/>
      </c>
      <c r="AA326" t="str">
        <f t="shared" si="103"/>
        <v/>
      </c>
      <c r="AB326" t="str">
        <f t="shared" si="104"/>
        <v/>
      </c>
      <c r="AC326" t="str">
        <f t="shared" si="105"/>
        <v/>
      </c>
      <c r="AD326" t="str">
        <f t="shared" si="106"/>
        <v/>
      </c>
    </row>
    <row r="327" spans="14:30" thickBot="1" x14ac:dyDescent="0.3">
      <c r="N327">
        <f t="shared" si="116"/>
        <v>0</v>
      </c>
      <c r="O327">
        <f t="shared" si="113"/>
        <v>0</v>
      </c>
      <c r="P327">
        <f t="shared" si="114"/>
        <v>0</v>
      </c>
      <c r="Q327">
        <f t="shared" si="115"/>
        <v>0</v>
      </c>
      <c r="X327" t="str">
        <f t="shared" si="100"/>
        <v/>
      </c>
      <c r="Y327" t="str">
        <f t="shared" si="101"/>
        <v/>
      </c>
      <c r="Z327" t="str">
        <f t="shared" si="102"/>
        <v/>
      </c>
      <c r="AA327" t="str">
        <f t="shared" si="103"/>
        <v/>
      </c>
      <c r="AB327" t="str">
        <f t="shared" si="104"/>
        <v/>
      </c>
      <c r="AC327" t="str">
        <f t="shared" si="105"/>
        <v/>
      </c>
      <c r="AD327" t="str">
        <f t="shared" si="106"/>
        <v/>
      </c>
    </row>
    <row r="328" spans="14:30" thickBot="1" x14ac:dyDescent="0.3">
      <c r="N328">
        <f t="shared" si="116"/>
        <v>0</v>
      </c>
      <c r="O328">
        <f t="shared" si="113"/>
        <v>0</v>
      </c>
      <c r="P328">
        <f t="shared" si="114"/>
        <v>0</v>
      </c>
      <c r="Q328">
        <f t="shared" si="115"/>
        <v>0</v>
      </c>
      <c r="X328" t="str">
        <f t="shared" ref="X328:X391" si="117">IF(R328="","",",")</f>
        <v/>
      </c>
      <c r="Y328" t="str">
        <f t="shared" ref="Y328:Y391" si="118">IF(S328="","",",")</f>
        <v/>
      </c>
      <c r="Z328" t="str">
        <f t="shared" ref="Z328:Z391" si="119">IF(T328="","",",")</f>
        <v/>
      </c>
      <c r="AA328" t="str">
        <f t="shared" ref="AA328:AA391" si="120">IF(U328="","",",")</f>
        <v/>
      </c>
      <c r="AB328" t="str">
        <f t="shared" ref="AB328:AB391" si="121">IF(V328="","",",")</f>
        <v/>
      </c>
      <c r="AC328" t="str">
        <f t="shared" ref="AC328:AC391" si="122">IF(W328="","",",")</f>
        <v/>
      </c>
      <c r="AD328" t="str">
        <f t="shared" ref="AD328:AD391" si="123">IF(X328="","",",")</f>
        <v/>
      </c>
    </row>
    <row r="329" spans="14:30" thickBot="1" x14ac:dyDescent="0.3">
      <c r="N329">
        <f t="shared" si="116"/>
        <v>0</v>
      </c>
      <c r="O329">
        <f t="shared" si="113"/>
        <v>0</v>
      </c>
      <c r="P329">
        <f t="shared" si="114"/>
        <v>0</v>
      </c>
      <c r="Q329">
        <f t="shared" si="115"/>
        <v>0</v>
      </c>
      <c r="X329" t="str">
        <f t="shared" si="117"/>
        <v/>
      </c>
      <c r="Y329" t="str">
        <f t="shared" si="118"/>
        <v/>
      </c>
      <c r="Z329" t="str">
        <f t="shared" si="119"/>
        <v/>
      </c>
      <c r="AA329" t="str">
        <f t="shared" si="120"/>
        <v/>
      </c>
      <c r="AB329" t="str">
        <f t="shared" si="121"/>
        <v/>
      </c>
      <c r="AC329" t="str">
        <f t="shared" si="122"/>
        <v/>
      </c>
      <c r="AD329" t="str">
        <f t="shared" si="123"/>
        <v/>
      </c>
    </row>
    <row r="330" spans="14:30" thickBot="1" x14ac:dyDescent="0.3">
      <c r="N330">
        <f t="shared" si="116"/>
        <v>0</v>
      </c>
      <c r="O330">
        <f t="shared" si="113"/>
        <v>0</v>
      </c>
      <c r="P330">
        <f t="shared" si="114"/>
        <v>0</v>
      </c>
      <c r="Q330">
        <f t="shared" si="115"/>
        <v>0</v>
      </c>
      <c r="X330" t="str">
        <f t="shared" si="117"/>
        <v/>
      </c>
      <c r="Y330" t="str">
        <f t="shared" si="118"/>
        <v/>
      </c>
      <c r="Z330" t="str">
        <f t="shared" si="119"/>
        <v/>
      </c>
      <c r="AA330" t="str">
        <f t="shared" si="120"/>
        <v/>
      </c>
      <c r="AB330" t="str">
        <f t="shared" si="121"/>
        <v/>
      </c>
      <c r="AC330" t="str">
        <f t="shared" si="122"/>
        <v/>
      </c>
      <c r="AD330" t="str">
        <f t="shared" si="123"/>
        <v/>
      </c>
    </row>
    <row r="331" spans="14:30" thickBot="1" x14ac:dyDescent="0.3">
      <c r="N331">
        <f t="shared" si="116"/>
        <v>0</v>
      </c>
      <c r="O331">
        <f t="shared" si="113"/>
        <v>0</v>
      </c>
      <c r="P331">
        <f t="shared" si="114"/>
        <v>0</v>
      </c>
      <c r="Q331">
        <f t="shared" si="115"/>
        <v>0</v>
      </c>
      <c r="X331" t="str">
        <f t="shared" si="117"/>
        <v/>
      </c>
      <c r="Y331" t="str">
        <f t="shared" si="118"/>
        <v/>
      </c>
      <c r="Z331" t="str">
        <f t="shared" si="119"/>
        <v/>
      </c>
      <c r="AA331" t="str">
        <f t="shared" si="120"/>
        <v/>
      </c>
      <c r="AB331" t="str">
        <f t="shared" si="121"/>
        <v/>
      </c>
      <c r="AC331" t="str">
        <f t="shared" si="122"/>
        <v/>
      </c>
      <c r="AD331" t="str">
        <f t="shared" si="123"/>
        <v/>
      </c>
    </row>
    <row r="332" spans="14:30" thickBot="1" x14ac:dyDescent="0.3">
      <c r="N332">
        <f t="shared" si="116"/>
        <v>0</v>
      </c>
      <c r="O332">
        <f t="shared" si="113"/>
        <v>0</v>
      </c>
      <c r="P332">
        <f t="shared" si="114"/>
        <v>0</v>
      </c>
      <c r="Q332">
        <f t="shared" si="115"/>
        <v>0</v>
      </c>
      <c r="X332" t="str">
        <f t="shared" si="117"/>
        <v/>
      </c>
      <c r="Y332" t="str">
        <f t="shared" si="118"/>
        <v/>
      </c>
      <c r="Z332" t="str">
        <f t="shared" si="119"/>
        <v/>
      </c>
      <c r="AA332" t="str">
        <f t="shared" si="120"/>
        <v/>
      </c>
      <c r="AB332" t="str">
        <f t="shared" si="121"/>
        <v/>
      </c>
      <c r="AC332" t="str">
        <f t="shared" si="122"/>
        <v/>
      </c>
      <c r="AD332" t="str">
        <f t="shared" si="123"/>
        <v/>
      </c>
    </row>
    <row r="333" spans="14:30" thickBot="1" x14ac:dyDescent="0.3">
      <c r="N333">
        <f t="shared" si="116"/>
        <v>0</v>
      </c>
      <c r="O333">
        <f t="shared" si="113"/>
        <v>0</v>
      </c>
      <c r="P333">
        <f t="shared" si="114"/>
        <v>0</v>
      </c>
      <c r="Q333">
        <f t="shared" si="115"/>
        <v>0</v>
      </c>
      <c r="X333" t="str">
        <f t="shared" si="117"/>
        <v/>
      </c>
      <c r="Y333" t="str">
        <f t="shared" si="118"/>
        <v/>
      </c>
      <c r="Z333" t="str">
        <f t="shared" si="119"/>
        <v/>
      </c>
      <c r="AA333" t="str">
        <f t="shared" si="120"/>
        <v/>
      </c>
      <c r="AB333" t="str">
        <f t="shared" si="121"/>
        <v/>
      </c>
      <c r="AC333" t="str">
        <f t="shared" si="122"/>
        <v/>
      </c>
      <c r="AD333" t="str">
        <f t="shared" si="123"/>
        <v/>
      </c>
    </row>
    <row r="334" spans="14:30" thickBot="1" x14ac:dyDescent="0.3">
      <c r="N334">
        <f t="shared" si="116"/>
        <v>0</v>
      </c>
      <c r="O334">
        <f t="shared" si="113"/>
        <v>0</v>
      </c>
      <c r="P334">
        <f t="shared" si="114"/>
        <v>0</v>
      </c>
      <c r="Q334">
        <f t="shared" si="115"/>
        <v>0</v>
      </c>
      <c r="X334" t="str">
        <f t="shared" si="117"/>
        <v/>
      </c>
      <c r="Y334" t="str">
        <f t="shared" si="118"/>
        <v/>
      </c>
      <c r="Z334" t="str">
        <f t="shared" si="119"/>
        <v/>
      </c>
      <c r="AA334" t="str">
        <f t="shared" si="120"/>
        <v/>
      </c>
      <c r="AB334" t="str">
        <f t="shared" si="121"/>
        <v/>
      </c>
      <c r="AC334" t="str">
        <f t="shared" si="122"/>
        <v/>
      </c>
      <c r="AD334" t="str">
        <f t="shared" si="123"/>
        <v/>
      </c>
    </row>
    <row r="335" spans="14:30" thickBot="1" x14ac:dyDescent="0.3">
      <c r="N335">
        <f t="shared" si="116"/>
        <v>0</v>
      </c>
      <c r="O335">
        <f t="shared" si="113"/>
        <v>0</v>
      </c>
      <c r="P335">
        <f t="shared" si="114"/>
        <v>0</v>
      </c>
      <c r="Q335">
        <f t="shared" si="115"/>
        <v>0</v>
      </c>
      <c r="X335" t="str">
        <f t="shared" si="117"/>
        <v/>
      </c>
      <c r="Y335" t="str">
        <f t="shared" si="118"/>
        <v/>
      </c>
      <c r="Z335" t="str">
        <f t="shared" si="119"/>
        <v/>
      </c>
      <c r="AA335" t="str">
        <f t="shared" si="120"/>
        <v/>
      </c>
      <c r="AB335" t="str">
        <f t="shared" si="121"/>
        <v/>
      </c>
      <c r="AC335" t="str">
        <f t="shared" si="122"/>
        <v/>
      </c>
      <c r="AD335" t="str">
        <f t="shared" si="123"/>
        <v/>
      </c>
    </row>
    <row r="336" spans="14:30" thickBot="1" x14ac:dyDescent="0.3">
      <c r="N336">
        <f t="shared" si="116"/>
        <v>0</v>
      </c>
      <c r="O336">
        <f t="shared" si="113"/>
        <v>0</v>
      </c>
      <c r="P336">
        <f t="shared" si="114"/>
        <v>0</v>
      </c>
      <c r="Q336">
        <f t="shared" si="115"/>
        <v>0</v>
      </c>
      <c r="X336" t="str">
        <f t="shared" si="117"/>
        <v/>
      </c>
      <c r="Y336" t="str">
        <f t="shared" si="118"/>
        <v/>
      </c>
      <c r="Z336" t="str">
        <f t="shared" si="119"/>
        <v/>
      </c>
      <c r="AA336" t="str">
        <f t="shared" si="120"/>
        <v/>
      </c>
      <c r="AB336" t="str">
        <f t="shared" si="121"/>
        <v/>
      </c>
      <c r="AC336" t="str">
        <f t="shared" si="122"/>
        <v/>
      </c>
      <c r="AD336" t="str">
        <f t="shared" si="123"/>
        <v/>
      </c>
    </row>
    <row r="337" spans="14:30" thickBot="1" x14ac:dyDescent="0.3">
      <c r="N337">
        <f t="shared" si="116"/>
        <v>0</v>
      </c>
      <c r="O337">
        <f t="shared" si="113"/>
        <v>0</v>
      </c>
      <c r="P337">
        <f t="shared" si="114"/>
        <v>0</v>
      </c>
      <c r="Q337">
        <f t="shared" si="115"/>
        <v>0</v>
      </c>
      <c r="X337" t="str">
        <f t="shared" si="117"/>
        <v/>
      </c>
      <c r="Y337" t="str">
        <f t="shared" si="118"/>
        <v/>
      </c>
      <c r="Z337" t="str">
        <f t="shared" si="119"/>
        <v/>
      </c>
      <c r="AA337" t="str">
        <f t="shared" si="120"/>
        <v/>
      </c>
      <c r="AB337" t="str">
        <f t="shared" si="121"/>
        <v/>
      </c>
      <c r="AC337" t="str">
        <f t="shared" si="122"/>
        <v/>
      </c>
      <c r="AD337" t="str">
        <f t="shared" si="123"/>
        <v/>
      </c>
    </row>
    <row r="338" spans="14:30" thickBot="1" x14ac:dyDescent="0.3">
      <c r="N338">
        <f t="shared" si="116"/>
        <v>0</v>
      </c>
      <c r="O338">
        <f t="shared" si="113"/>
        <v>0</v>
      </c>
      <c r="P338">
        <f t="shared" si="114"/>
        <v>0</v>
      </c>
      <c r="Q338">
        <f t="shared" si="115"/>
        <v>0</v>
      </c>
      <c r="X338" t="str">
        <f t="shared" si="117"/>
        <v/>
      </c>
      <c r="Y338" t="str">
        <f t="shared" si="118"/>
        <v/>
      </c>
      <c r="Z338" t="str">
        <f t="shared" si="119"/>
        <v/>
      </c>
      <c r="AA338" t="str">
        <f t="shared" si="120"/>
        <v/>
      </c>
      <c r="AB338" t="str">
        <f t="shared" si="121"/>
        <v/>
      </c>
      <c r="AC338" t="str">
        <f t="shared" si="122"/>
        <v/>
      </c>
      <c r="AD338" t="str">
        <f t="shared" si="123"/>
        <v/>
      </c>
    </row>
    <row r="339" spans="14:30" thickBot="1" x14ac:dyDescent="0.3">
      <c r="N339">
        <f t="shared" si="116"/>
        <v>0</v>
      </c>
      <c r="O339">
        <f t="shared" si="113"/>
        <v>0</v>
      </c>
      <c r="P339">
        <f t="shared" si="114"/>
        <v>0</v>
      </c>
      <c r="Q339">
        <f t="shared" si="115"/>
        <v>0</v>
      </c>
      <c r="X339" t="str">
        <f t="shared" si="117"/>
        <v/>
      </c>
      <c r="Y339" t="str">
        <f t="shared" si="118"/>
        <v/>
      </c>
      <c r="Z339" t="str">
        <f t="shared" si="119"/>
        <v/>
      </c>
      <c r="AA339" t="str">
        <f t="shared" si="120"/>
        <v/>
      </c>
      <c r="AB339" t="str">
        <f t="shared" si="121"/>
        <v/>
      </c>
      <c r="AC339" t="str">
        <f t="shared" si="122"/>
        <v/>
      </c>
      <c r="AD339" t="str">
        <f t="shared" si="123"/>
        <v/>
      </c>
    </row>
    <row r="340" spans="14:30" thickBot="1" x14ac:dyDescent="0.3">
      <c r="N340">
        <f t="shared" si="116"/>
        <v>0</v>
      </c>
      <c r="O340">
        <f t="shared" si="113"/>
        <v>0</v>
      </c>
      <c r="P340">
        <f t="shared" si="114"/>
        <v>0</v>
      </c>
      <c r="Q340">
        <f t="shared" si="115"/>
        <v>0</v>
      </c>
      <c r="X340" t="str">
        <f t="shared" si="117"/>
        <v/>
      </c>
      <c r="Y340" t="str">
        <f t="shared" si="118"/>
        <v/>
      </c>
      <c r="Z340" t="str">
        <f t="shared" si="119"/>
        <v/>
      </c>
      <c r="AA340" t="str">
        <f t="shared" si="120"/>
        <v/>
      </c>
      <c r="AB340" t="str">
        <f t="shared" si="121"/>
        <v/>
      </c>
      <c r="AC340" t="str">
        <f t="shared" si="122"/>
        <v/>
      </c>
      <c r="AD340" t="str">
        <f t="shared" si="123"/>
        <v/>
      </c>
    </row>
    <row r="341" spans="14:30" thickBot="1" x14ac:dyDescent="0.3">
      <c r="N341">
        <f t="shared" si="116"/>
        <v>0</v>
      </c>
      <c r="O341">
        <f t="shared" si="113"/>
        <v>0</v>
      </c>
      <c r="P341">
        <f t="shared" si="114"/>
        <v>0</v>
      </c>
      <c r="Q341">
        <f t="shared" si="115"/>
        <v>0</v>
      </c>
      <c r="X341" t="str">
        <f t="shared" si="117"/>
        <v/>
      </c>
      <c r="Y341" t="str">
        <f t="shared" si="118"/>
        <v/>
      </c>
      <c r="Z341" t="str">
        <f t="shared" si="119"/>
        <v/>
      </c>
      <c r="AA341" t="str">
        <f t="shared" si="120"/>
        <v/>
      </c>
      <c r="AB341" t="str">
        <f t="shared" si="121"/>
        <v/>
      </c>
      <c r="AC341" t="str">
        <f t="shared" si="122"/>
        <v/>
      </c>
      <c r="AD341" t="str">
        <f t="shared" si="123"/>
        <v/>
      </c>
    </row>
    <row r="342" spans="14:30" thickBot="1" x14ac:dyDescent="0.3">
      <c r="N342">
        <f t="shared" si="116"/>
        <v>0</v>
      </c>
      <c r="O342">
        <f t="shared" si="113"/>
        <v>0</v>
      </c>
      <c r="P342">
        <f t="shared" si="114"/>
        <v>0</v>
      </c>
      <c r="Q342">
        <f t="shared" si="115"/>
        <v>0</v>
      </c>
      <c r="X342" t="str">
        <f t="shared" si="117"/>
        <v/>
      </c>
      <c r="Y342" t="str">
        <f t="shared" si="118"/>
        <v/>
      </c>
      <c r="Z342" t="str">
        <f t="shared" si="119"/>
        <v/>
      </c>
      <c r="AA342" t="str">
        <f t="shared" si="120"/>
        <v/>
      </c>
      <c r="AB342" t="str">
        <f t="shared" si="121"/>
        <v/>
      </c>
      <c r="AC342" t="str">
        <f t="shared" si="122"/>
        <v/>
      </c>
      <c r="AD342" t="str">
        <f t="shared" si="123"/>
        <v/>
      </c>
    </row>
    <row r="343" spans="14:30" thickBot="1" x14ac:dyDescent="0.3">
      <c r="N343">
        <f t="shared" si="116"/>
        <v>0</v>
      </c>
      <c r="O343">
        <f t="shared" si="113"/>
        <v>0</v>
      </c>
      <c r="P343">
        <f t="shared" si="114"/>
        <v>0</v>
      </c>
      <c r="Q343">
        <f t="shared" si="115"/>
        <v>0</v>
      </c>
      <c r="X343" t="str">
        <f t="shared" si="117"/>
        <v/>
      </c>
      <c r="Y343" t="str">
        <f t="shared" si="118"/>
        <v/>
      </c>
      <c r="Z343" t="str">
        <f t="shared" si="119"/>
        <v/>
      </c>
      <c r="AA343" t="str">
        <f t="shared" si="120"/>
        <v/>
      </c>
      <c r="AB343" t="str">
        <f t="shared" si="121"/>
        <v/>
      </c>
      <c r="AC343" t="str">
        <f t="shared" si="122"/>
        <v/>
      </c>
      <c r="AD343" t="str">
        <f t="shared" si="123"/>
        <v/>
      </c>
    </row>
    <row r="344" spans="14:30" thickBot="1" x14ac:dyDescent="0.3">
      <c r="N344">
        <f t="shared" si="116"/>
        <v>0</v>
      </c>
      <c r="O344">
        <f t="shared" si="113"/>
        <v>0</v>
      </c>
      <c r="P344">
        <f t="shared" si="114"/>
        <v>0</v>
      </c>
      <c r="Q344">
        <f t="shared" si="115"/>
        <v>0</v>
      </c>
      <c r="X344" t="str">
        <f t="shared" si="117"/>
        <v/>
      </c>
      <c r="Y344" t="str">
        <f t="shared" si="118"/>
        <v/>
      </c>
      <c r="Z344" t="str">
        <f t="shared" si="119"/>
        <v/>
      </c>
      <c r="AA344" t="str">
        <f t="shared" si="120"/>
        <v/>
      </c>
      <c r="AB344" t="str">
        <f t="shared" si="121"/>
        <v/>
      </c>
      <c r="AC344" t="str">
        <f t="shared" si="122"/>
        <v/>
      </c>
      <c r="AD344" t="str">
        <f t="shared" si="123"/>
        <v/>
      </c>
    </row>
    <row r="345" spans="14:30" thickBot="1" x14ac:dyDescent="0.3">
      <c r="N345">
        <f t="shared" si="116"/>
        <v>0</v>
      </c>
      <c r="O345">
        <f t="shared" si="113"/>
        <v>0</v>
      </c>
      <c r="P345">
        <f t="shared" si="114"/>
        <v>0</v>
      </c>
      <c r="Q345">
        <f t="shared" si="115"/>
        <v>0</v>
      </c>
      <c r="X345" t="str">
        <f t="shared" si="117"/>
        <v/>
      </c>
      <c r="Y345" t="str">
        <f t="shared" si="118"/>
        <v/>
      </c>
      <c r="Z345" t="str">
        <f t="shared" si="119"/>
        <v/>
      </c>
      <c r="AA345" t="str">
        <f t="shared" si="120"/>
        <v/>
      </c>
      <c r="AB345" t="str">
        <f t="shared" si="121"/>
        <v/>
      </c>
      <c r="AC345" t="str">
        <f t="shared" si="122"/>
        <v/>
      </c>
      <c r="AD345" t="str">
        <f t="shared" si="123"/>
        <v/>
      </c>
    </row>
    <row r="346" spans="14:30" thickBot="1" x14ac:dyDescent="0.3">
      <c r="N346">
        <f t="shared" si="116"/>
        <v>0</v>
      </c>
      <c r="O346">
        <f t="shared" si="113"/>
        <v>0</v>
      </c>
      <c r="P346">
        <f t="shared" si="114"/>
        <v>0</v>
      </c>
      <c r="Q346">
        <f t="shared" si="115"/>
        <v>0</v>
      </c>
      <c r="X346" t="str">
        <f t="shared" si="117"/>
        <v/>
      </c>
      <c r="Y346" t="str">
        <f t="shared" si="118"/>
        <v/>
      </c>
      <c r="Z346" t="str">
        <f t="shared" si="119"/>
        <v/>
      </c>
      <c r="AA346" t="str">
        <f t="shared" si="120"/>
        <v/>
      </c>
      <c r="AB346" t="str">
        <f t="shared" si="121"/>
        <v/>
      </c>
      <c r="AC346" t="str">
        <f t="shared" si="122"/>
        <v/>
      </c>
      <c r="AD346" t="str">
        <f t="shared" si="123"/>
        <v/>
      </c>
    </row>
    <row r="347" spans="14:30" thickBot="1" x14ac:dyDescent="0.3">
      <c r="N347">
        <f t="shared" si="116"/>
        <v>0</v>
      </c>
      <c r="O347">
        <f t="shared" si="113"/>
        <v>0</v>
      </c>
      <c r="P347">
        <f t="shared" si="114"/>
        <v>0</v>
      </c>
      <c r="Q347">
        <f t="shared" si="115"/>
        <v>0</v>
      </c>
      <c r="V347">
        <v>17</v>
      </c>
      <c r="X347" t="str">
        <f t="shared" si="117"/>
        <v/>
      </c>
      <c r="Y347" t="str">
        <f t="shared" si="118"/>
        <v/>
      </c>
      <c r="Z347" t="str">
        <f t="shared" si="119"/>
        <v/>
      </c>
      <c r="AA347" t="str">
        <f t="shared" si="120"/>
        <v/>
      </c>
      <c r="AB347" t="str">
        <f t="shared" si="121"/>
        <v>,</v>
      </c>
      <c r="AC347" t="str">
        <f t="shared" si="122"/>
        <v/>
      </c>
      <c r="AD347" t="str">
        <f t="shared" si="123"/>
        <v/>
      </c>
    </row>
    <row r="348" spans="14:30" thickBot="1" x14ac:dyDescent="0.3">
      <c r="N348">
        <f t="shared" si="116"/>
        <v>0</v>
      </c>
      <c r="O348">
        <f t="shared" si="113"/>
        <v>0</v>
      </c>
      <c r="P348">
        <f t="shared" si="114"/>
        <v>0</v>
      </c>
      <c r="Q348">
        <f t="shared" si="115"/>
        <v>0</v>
      </c>
      <c r="X348" t="str">
        <f t="shared" si="117"/>
        <v/>
      </c>
      <c r="Y348" t="str">
        <f t="shared" si="118"/>
        <v/>
      </c>
      <c r="Z348" t="str">
        <f t="shared" si="119"/>
        <v/>
      </c>
      <c r="AA348" t="str">
        <f t="shared" si="120"/>
        <v/>
      </c>
      <c r="AB348" t="str">
        <f t="shared" si="121"/>
        <v/>
      </c>
      <c r="AC348" t="str">
        <f t="shared" si="122"/>
        <v/>
      </c>
      <c r="AD348" t="str">
        <f t="shared" si="123"/>
        <v/>
      </c>
    </row>
    <row r="349" spans="14:30" thickBot="1" x14ac:dyDescent="0.3">
      <c r="N349">
        <f t="shared" si="116"/>
        <v>0</v>
      </c>
      <c r="O349">
        <f t="shared" si="113"/>
        <v>0</v>
      </c>
      <c r="P349">
        <f t="shared" si="114"/>
        <v>0</v>
      </c>
      <c r="Q349">
        <f t="shared" si="115"/>
        <v>0</v>
      </c>
      <c r="X349" t="str">
        <f t="shared" si="117"/>
        <v/>
      </c>
      <c r="Y349" t="str">
        <f t="shared" si="118"/>
        <v/>
      </c>
      <c r="Z349" t="str">
        <f t="shared" si="119"/>
        <v/>
      </c>
      <c r="AA349" t="str">
        <f t="shared" si="120"/>
        <v/>
      </c>
      <c r="AB349" t="str">
        <f t="shared" si="121"/>
        <v/>
      </c>
      <c r="AC349" t="str">
        <f t="shared" si="122"/>
        <v/>
      </c>
      <c r="AD349" t="str">
        <f t="shared" si="123"/>
        <v/>
      </c>
    </row>
    <row r="350" spans="14:30" thickBot="1" x14ac:dyDescent="0.3">
      <c r="N350">
        <f t="shared" si="116"/>
        <v>0</v>
      </c>
      <c r="O350">
        <f t="shared" si="113"/>
        <v>0</v>
      </c>
      <c r="P350">
        <f t="shared" si="114"/>
        <v>0</v>
      </c>
      <c r="Q350">
        <f t="shared" si="115"/>
        <v>0</v>
      </c>
      <c r="X350" t="str">
        <f t="shared" si="117"/>
        <v/>
      </c>
      <c r="Y350" t="str">
        <f t="shared" si="118"/>
        <v/>
      </c>
      <c r="Z350" t="str">
        <f t="shared" si="119"/>
        <v/>
      </c>
      <c r="AA350" t="str">
        <f t="shared" si="120"/>
        <v/>
      </c>
      <c r="AB350" t="str">
        <f t="shared" si="121"/>
        <v/>
      </c>
      <c r="AC350" t="str">
        <f t="shared" si="122"/>
        <v/>
      </c>
      <c r="AD350" t="str">
        <f t="shared" si="123"/>
        <v/>
      </c>
    </row>
    <row r="351" spans="14:30" thickBot="1" x14ac:dyDescent="0.3">
      <c r="N351">
        <f t="shared" si="116"/>
        <v>0</v>
      </c>
      <c r="O351">
        <f t="shared" si="113"/>
        <v>0</v>
      </c>
      <c r="P351">
        <f t="shared" si="114"/>
        <v>0</v>
      </c>
      <c r="Q351">
        <f t="shared" si="115"/>
        <v>0</v>
      </c>
      <c r="X351" t="str">
        <f t="shared" si="117"/>
        <v/>
      </c>
      <c r="Y351" t="str">
        <f t="shared" si="118"/>
        <v/>
      </c>
      <c r="Z351" t="str">
        <f t="shared" si="119"/>
        <v/>
      </c>
      <c r="AA351" t="str">
        <f t="shared" si="120"/>
        <v/>
      </c>
      <c r="AB351" t="str">
        <f t="shared" si="121"/>
        <v/>
      </c>
      <c r="AC351" t="str">
        <f t="shared" si="122"/>
        <v/>
      </c>
      <c r="AD351" t="str">
        <f t="shared" si="123"/>
        <v/>
      </c>
    </row>
    <row r="352" spans="14:30" thickBot="1" x14ac:dyDescent="0.3">
      <c r="N352">
        <f t="shared" si="116"/>
        <v>0</v>
      </c>
      <c r="O352">
        <f t="shared" si="113"/>
        <v>0</v>
      </c>
      <c r="P352">
        <f t="shared" si="114"/>
        <v>0</v>
      </c>
      <c r="Q352">
        <f t="shared" si="115"/>
        <v>0</v>
      </c>
      <c r="X352" t="str">
        <f t="shared" si="117"/>
        <v/>
      </c>
      <c r="Y352" t="str">
        <f t="shared" si="118"/>
        <v/>
      </c>
      <c r="Z352" t="str">
        <f t="shared" si="119"/>
        <v/>
      </c>
      <c r="AA352" t="str">
        <f t="shared" si="120"/>
        <v/>
      </c>
      <c r="AB352" t="str">
        <f t="shared" si="121"/>
        <v/>
      </c>
      <c r="AC352" t="str">
        <f t="shared" si="122"/>
        <v/>
      </c>
      <c r="AD352" t="str">
        <f t="shared" si="123"/>
        <v/>
      </c>
    </row>
    <row r="353" spans="14:30" thickBot="1" x14ac:dyDescent="0.3">
      <c r="N353">
        <f t="shared" si="116"/>
        <v>0</v>
      </c>
      <c r="O353">
        <f t="shared" si="113"/>
        <v>0</v>
      </c>
      <c r="P353">
        <f t="shared" si="114"/>
        <v>0</v>
      </c>
      <c r="Q353">
        <f t="shared" si="115"/>
        <v>0</v>
      </c>
      <c r="X353" t="str">
        <f t="shared" si="117"/>
        <v/>
      </c>
      <c r="Y353" t="str">
        <f t="shared" si="118"/>
        <v/>
      </c>
      <c r="Z353" t="str">
        <f t="shared" si="119"/>
        <v/>
      </c>
      <c r="AA353" t="str">
        <f t="shared" si="120"/>
        <v/>
      </c>
      <c r="AB353" t="str">
        <f t="shared" si="121"/>
        <v/>
      </c>
      <c r="AC353" t="str">
        <f t="shared" si="122"/>
        <v/>
      </c>
      <c r="AD353" t="str">
        <f t="shared" si="123"/>
        <v/>
      </c>
    </row>
    <row r="354" spans="14:30" thickBot="1" x14ac:dyDescent="0.3">
      <c r="N354">
        <f t="shared" si="116"/>
        <v>0</v>
      </c>
      <c r="O354">
        <f t="shared" si="113"/>
        <v>0</v>
      </c>
      <c r="P354">
        <f t="shared" si="114"/>
        <v>0</v>
      </c>
      <c r="Q354">
        <f t="shared" si="115"/>
        <v>0</v>
      </c>
      <c r="X354" t="str">
        <f t="shared" si="117"/>
        <v/>
      </c>
      <c r="Y354" t="str">
        <f t="shared" si="118"/>
        <v/>
      </c>
      <c r="Z354" t="str">
        <f t="shared" si="119"/>
        <v/>
      </c>
      <c r="AA354" t="str">
        <f t="shared" si="120"/>
        <v/>
      </c>
      <c r="AB354" t="str">
        <f t="shared" si="121"/>
        <v/>
      </c>
      <c r="AC354" t="str">
        <f t="shared" si="122"/>
        <v/>
      </c>
      <c r="AD354" t="str">
        <f t="shared" si="123"/>
        <v/>
      </c>
    </row>
    <row r="355" spans="14:30" thickBot="1" x14ac:dyDescent="0.3">
      <c r="N355">
        <f t="shared" si="116"/>
        <v>0</v>
      </c>
      <c r="O355">
        <f t="shared" si="113"/>
        <v>0</v>
      </c>
      <c r="P355">
        <f t="shared" si="114"/>
        <v>0</v>
      </c>
      <c r="Q355">
        <f t="shared" si="115"/>
        <v>0</v>
      </c>
      <c r="X355" t="str">
        <f t="shared" si="117"/>
        <v/>
      </c>
      <c r="Y355" t="str">
        <f t="shared" si="118"/>
        <v/>
      </c>
      <c r="Z355" t="str">
        <f t="shared" si="119"/>
        <v/>
      </c>
      <c r="AA355" t="str">
        <f t="shared" si="120"/>
        <v/>
      </c>
      <c r="AB355" t="str">
        <f t="shared" si="121"/>
        <v/>
      </c>
      <c r="AC355" t="str">
        <f t="shared" si="122"/>
        <v/>
      </c>
      <c r="AD355" t="str">
        <f t="shared" si="123"/>
        <v/>
      </c>
    </row>
    <row r="356" spans="14:30" thickBot="1" x14ac:dyDescent="0.3">
      <c r="N356">
        <f t="shared" si="116"/>
        <v>0</v>
      </c>
      <c r="O356">
        <f t="shared" si="113"/>
        <v>0</v>
      </c>
      <c r="P356">
        <f t="shared" si="114"/>
        <v>0</v>
      </c>
      <c r="Q356">
        <f t="shared" si="115"/>
        <v>0</v>
      </c>
      <c r="X356" t="str">
        <f t="shared" si="117"/>
        <v/>
      </c>
      <c r="Y356" t="str">
        <f t="shared" si="118"/>
        <v/>
      </c>
      <c r="Z356" t="str">
        <f t="shared" si="119"/>
        <v/>
      </c>
      <c r="AA356" t="str">
        <f t="shared" si="120"/>
        <v/>
      </c>
      <c r="AB356" t="str">
        <f t="shared" si="121"/>
        <v/>
      </c>
      <c r="AC356" t="str">
        <f t="shared" si="122"/>
        <v/>
      </c>
      <c r="AD356" t="str">
        <f t="shared" si="123"/>
        <v/>
      </c>
    </row>
    <row r="357" spans="14:30" thickBot="1" x14ac:dyDescent="0.3">
      <c r="N357">
        <f t="shared" si="116"/>
        <v>0</v>
      </c>
      <c r="O357">
        <f t="shared" si="113"/>
        <v>0</v>
      </c>
      <c r="P357">
        <f t="shared" si="114"/>
        <v>0</v>
      </c>
      <c r="Q357">
        <f t="shared" si="115"/>
        <v>0</v>
      </c>
      <c r="X357" t="str">
        <f t="shared" si="117"/>
        <v/>
      </c>
      <c r="Y357" t="str">
        <f t="shared" si="118"/>
        <v/>
      </c>
      <c r="Z357" t="str">
        <f t="shared" si="119"/>
        <v/>
      </c>
      <c r="AA357" t="str">
        <f t="shared" si="120"/>
        <v/>
      </c>
      <c r="AB357" t="str">
        <f t="shared" si="121"/>
        <v/>
      </c>
      <c r="AC357" t="str">
        <f t="shared" si="122"/>
        <v/>
      </c>
      <c r="AD357" t="str">
        <f t="shared" si="123"/>
        <v/>
      </c>
    </row>
    <row r="358" spans="14:30" thickBot="1" x14ac:dyDescent="0.3">
      <c r="N358">
        <f t="shared" si="116"/>
        <v>0</v>
      </c>
      <c r="O358">
        <f t="shared" si="113"/>
        <v>0</v>
      </c>
      <c r="P358">
        <f t="shared" si="114"/>
        <v>0</v>
      </c>
      <c r="Q358">
        <f t="shared" si="115"/>
        <v>0</v>
      </c>
      <c r="X358" t="str">
        <f t="shared" si="117"/>
        <v/>
      </c>
      <c r="Y358" t="str">
        <f t="shared" si="118"/>
        <v/>
      </c>
      <c r="Z358" t="str">
        <f t="shared" si="119"/>
        <v/>
      </c>
      <c r="AA358" t="str">
        <f t="shared" si="120"/>
        <v/>
      </c>
      <c r="AB358" t="str">
        <f t="shared" si="121"/>
        <v/>
      </c>
      <c r="AC358" t="str">
        <f t="shared" si="122"/>
        <v/>
      </c>
      <c r="AD358" t="str">
        <f t="shared" si="123"/>
        <v/>
      </c>
    </row>
    <row r="359" spans="14:30" thickBot="1" x14ac:dyDescent="0.3">
      <c r="N359">
        <f t="shared" si="116"/>
        <v>0</v>
      </c>
      <c r="O359">
        <f t="shared" si="113"/>
        <v>0</v>
      </c>
      <c r="P359">
        <f t="shared" si="114"/>
        <v>0</v>
      </c>
      <c r="Q359">
        <f t="shared" si="115"/>
        <v>0</v>
      </c>
      <c r="X359" t="str">
        <f t="shared" si="117"/>
        <v/>
      </c>
      <c r="Y359" t="str">
        <f t="shared" si="118"/>
        <v/>
      </c>
      <c r="Z359" t="str">
        <f t="shared" si="119"/>
        <v/>
      </c>
      <c r="AA359" t="str">
        <f t="shared" si="120"/>
        <v/>
      </c>
      <c r="AB359" t="str">
        <f t="shared" si="121"/>
        <v/>
      </c>
      <c r="AC359" t="str">
        <f t="shared" si="122"/>
        <v/>
      </c>
      <c r="AD359" t="str">
        <f t="shared" si="123"/>
        <v/>
      </c>
    </row>
    <row r="360" spans="14:30" thickBot="1" x14ac:dyDescent="0.3">
      <c r="N360">
        <f t="shared" si="116"/>
        <v>0</v>
      </c>
      <c r="O360">
        <f t="shared" si="113"/>
        <v>0</v>
      </c>
      <c r="P360">
        <f t="shared" si="114"/>
        <v>0</v>
      </c>
      <c r="Q360">
        <f t="shared" si="115"/>
        <v>0</v>
      </c>
      <c r="X360" t="str">
        <f t="shared" si="117"/>
        <v/>
      </c>
      <c r="Y360" t="str">
        <f t="shared" si="118"/>
        <v/>
      </c>
      <c r="Z360" t="str">
        <f t="shared" si="119"/>
        <v/>
      </c>
      <c r="AA360" t="str">
        <f t="shared" si="120"/>
        <v/>
      </c>
      <c r="AB360" t="str">
        <f t="shared" si="121"/>
        <v/>
      </c>
      <c r="AC360" t="str">
        <f t="shared" si="122"/>
        <v/>
      </c>
      <c r="AD360" t="str">
        <f t="shared" si="123"/>
        <v/>
      </c>
    </row>
    <row r="361" spans="14:30" thickBot="1" x14ac:dyDescent="0.3">
      <c r="N361">
        <f t="shared" si="116"/>
        <v>0</v>
      </c>
      <c r="O361">
        <f t="shared" si="113"/>
        <v>0</v>
      </c>
      <c r="P361">
        <f t="shared" si="114"/>
        <v>0</v>
      </c>
      <c r="Q361">
        <f t="shared" si="115"/>
        <v>0</v>
      </c>
      <c r="X361" t="str">
        <f t="shared" si="117"/>
        <v/>
      </c>
      <c r="Y361" t="str">
        <f t="shared" si="118"/>
        <v/>
      </c>
      <c r="Z361" t="str">
        <f t="shared" si="119"/>
        <v/>
      </c>
      <c r="AA361" t="str">
        <f t="shared" si="120"/>
        <v/>
      </c>
      <c r="AB361" t="str">
        <f t="shared" si="121"/>
        <v/>
      </c>
      <c r="AC361" t="str">
        <f t="shared" si="122"/>
        <v/>
      </c>
      <c r="AD361" t="str">
        <f t="shared" si="123"/>
        <v/>
      </c>
    </row>
    <row r="362" spans="14:30" thickBot="1" x14ac:dyDescent="0.3">
      <c r="N362">
        <f t="shared" si="116"/>
        <v>0</v>
      </c>
      <c r="O362">
        <f t="shared" si="113"/>
        <v>0</v>
      </c>
      <c r="P362">
        <f t="shared" si="114"/>
        <v>0</v>
      </c>
      <c r="Q362">
        <f t="shared" si="115"/>
        <v>0</v>
      </c>
      <c r="X362" t="str">
        <f t="shared" si="117"/>
        <v/>
      </c>
      <c r="Y362" t="str">
        <f t="shared" si="118"/>
        <v/>
      </c>
      <c r="Z362" t="str">
        <f t="shared" si="119"/>
        <v/>
      </c>
      <c r="AA362" t="str">
        <f t="shared" si="120"/>
        <v/>
      </c>
      <c r="AB362" t="str">
        <f t="shared" si="121"/>
        <v/>
      </c>
      <c r="AC362" t="str">
        <f t="shared" si="122"/>
        <v/>
      </c>
      <c r="AD362" t="str">
        <f t="shared" si="123"/>
        <v/>
      </c>
    </row>
    <row r="363" spans="14:30" thickBot="1" x14ac:dyDescent="0.3">
      <c r="N363">
        <f t="shared" si="116"/>
        <v>0</v>
      </c>
      <c r="O363">
        <f t="shared" si="113"/>
        <v>0</v>
      </c>
      <c r="P363">
        <f t="shared" si="114"/>
        <v>0</v>
      </c>
      <c r="Q363">
        <f t="shared" si="115"/>
        <v>0</v>
      </c>
      <c r="X363" t="str">
        <f t="shared" si="117"/>
        <v/>
      </c>
      <c r="Y363" t="str">
        <f t="shared" si="118"/>
        <v/>
      </c>
      <c r="Z363" t="str">
        <f t="shared" si="119"/>
        <v/>
      </c>
      <c r="AA363" t="str">
        <f t="shared" si="120"/>
        <v/>
      </c>
      <c r="AB363" t="str">
        <f t="shared" si="121"/>
        <v/>
      </c>
      <c r="AC363" t="str">
        <f t="shared" si="122"/>
        <v/>
      </c>
      <c r="AD363" t="str">
        <f t="shared" si="123"/>
        <v/>
      </c>
    </row>
    <row r="364" spans="14:30" thickBot="1" x14ac:dyDescent="0.3">
      <c r="N364">
        <f t="shared" si="116"/>
        <v>0</v>
      </c>
      <c r="O364">
        <f t="shared" si="113"/>
        <v>0</v>
      </c>
      <c r="P364">
        <f t="shared" si="114"/>
        <v>0</v>
      </c>
      <c r="Q364">
        <f t="shared" si="115"/>
        <v>0</v>
      </c>
      <c r="X364" t="str">
        <f t="shared" si="117"/>
        <v/>
      </c>
      <c r="Y364" t="str">
        <f t="shared" si="118"/>
        <v/>
      </c>
      <c r="Z364" t="str">
        <f t="shared" si="119"/>
        <v/>
      </c>
      <c r="AA364" t="str">
        <f t="shared" si="120"/>
        <v/>
      </c>
      <c r="AB364" t="str">
        <f t="shared" si="121"/>
        <v/>
      </c>
      <c r="AC364" t="str">
        <f t="shared" si="122"/>
        <v/>
      </c>
      <c r="AD364" t="str">
        <f t="shared" si="123"/>
        <v/>
      </c>
    </row>
    <row r="365" spans="14:30" thickBot="1" x14ac:dyDescent="0.3">
      <c r="N365">
        <f t="shared" si="116"/>
        <v>0</v>
      </c>
      <c r="O365">
        <f t="shared" si="113"/>
        <v>0</v>
      </c>
      <c r="P365">
        <f t="shared" si="114"/>
        <v>0</v>
      </c>
      <c r="Q365">
        <f t="shared" si="115"/>
        <v>0</v>
      </c>
      <c r="X365" t="str">
        <f t="shared" si="117"/>
        <v/>
      </c>
      <c r="Y365" t="str">
        <f t="shared" si="118"/>
        <v/>
      </c>
      <c r="Z365" t="str">
        <f t="shared" si="119"/>
        <v/>
      </c>
      <c r="AA365" t="str">
        <f t="shared" si="120"/>
        <v/>
      </c>
      <c r="AB365" t="str">
        <f t="shared" si="121"/>
        <v/>
      </c>
      <c r="AC365" t="str">
        <f t="shared" si="122"/>
        <v/>
      </c>
      <c r="AD365" t="str">
        <f t="shared" si="123"/>
        <v/>
      </c>
    </row>
    <row r="366" spans="14:30" thickBot="1" x14ac:dyDescent="0.3">
      <c r="N366">
        <f t="shared" si="116"/>
        <v>0</v>
      </c>
      <c r="O366">
        <f t="shared" si="113"/>
        <v>0</v>
      </c>
      <c r="P366">
        <f t="shared" si="114"/>
        <v>0</v>
      </c>
      <c r="Q366">
        <f t="shared" si="115"/>
        <v>0</v>
      </c>
      <c r="X366" t="str">
        <f t="shared" si="117"/>
        <v/>
      </c>
      <c r="Y366" t="str">
        <f t="shared" si="118"/>
        <v/>
      </c>
      <c r="Z366" t="str">
        <f t="shared" si="119"/>
        <v/>
      </c>
      <c r="AA366" t="str">
        <f t="shared" si="120"/>
        <v/>
      </c>
      <c r="AB366" t="str">
        <f t="shared" si="121"/>
        <v/>
      </c>
      <c r="AC366" t="str">
        <f t="shared" si="122"/>
        <v/>
      </c>
      <c r="AD366" t="str">
        <f t="shared" si="123"/>
        <v/>
      </c>
    </row>
    <row r="367" spans="14:30" thickBot="1" x14ac:dyDescent="0.3">
      <c r="N367">
        <f t="shared" si="116"/>
        <v>0</v>
      </c>
      <c r="O367">
        <f t="shared" si="113"/>
        <v>0</v>
      </c>
      <c r="P367">
        <f t="shared" si="114"/>
        <v>0</v>
      </c>
      <c r="Q367">
        <f t="shared" si="115"/>
        <v>0</v>
      </c>
      <c r="V367">
        <v>18</v>
      </c>
      <c r="X367" t="str">
        <f t="shared" si="117"/>
        <v/>
      </c>
      <c r="Y367" t="str">
        <f t="shared" si="118"/>
        <v/>
      </c>
      <c r="Z367" t="str">
        <f t="shared" si="119"/>
        <v/>
      </c>
      <c r="AA367" t="str">
        <f t="shared" si="120"/>
        <v/>
      </c>
      <c r="AB367" t="str">
        <f t="shared" si="121"/>
        <v>,</v>
      </c>
      <c r="AC367" t="str">
        <f t="shared" si="122"/>
        <v/>
      </c>
      <c r="AD367" t="str">
        <f t="shared" si="123"/>
        <v/>
      </c>
    </row>
    <row r="368" spans="14:30" thickBot="1" x14ac:dyDescent="0.3">
      <c r="N368">
        <f t="shared" si="116"/>
        <v>0</v>
      </c>
      <c r="O368">
        <f t="shared" si="113"/>
        <v>0</v>
      </c>
      <c r="P368">
        <f t="shared" si="114"/>
        <v>0</v>
      </c>
      <c r="Q368">
        <f t="shared" si="115"/>
        <v>0</v>
      </c>
      <c r="X368" t="str">
        <f t="shared" si="117"/>
        <v/>
      </c>
      <c r="Y368" t="str">
        <f t="shared" si="118"/>
        <v/>
      </c>
      <c r="Z368" t="str">
        <f t="shared" si="119"/>
        <v/>
      </c>
      <c r="AA368" t="str">
        <f t="shared" si="120"/>
        <v/>
      </c>
      <c r="AB368" t="str">
        <f t="shared" si="121"/>
        <v/>
      </c>
      <c r="AC368" t="str">
        <f t="shared" si="122"/>
        <v/>
      </c>
      <c r="AD368" t="str">
        <f t="shared" si="123"/>
        <v/>
      </c>
    </row>
    <row r="369" spans="14:30" thickBot="1" x14ac:dyDescent="0.3">
      <c r="N369">
        <f t="shared" si="116"/>
        <v>0</v>
      </c>
      <c r="O369">
        <f t="shared" si="113"/>
        <v>0</v>
      </c>
      <c r="P369">
        <f t="shared" si="114"/>
        <v>0</v>
      </c>
      <c r="Q369">
        <f t="shared" si="115"/>
        <v>0</v>
      </c>
      <c r="X369" t="str">
        <f t="shared" si="117"/>
        <v/>
      </c>
      <c r="Y369" t="str">
        <f t="shared" si="118"/>
        <v/>
      </c>
      <c r="Z369" t="str">
        <f t="shared" si="119"/>
        <v/>
      </c>
      <c r="AA369" t="str">
        <f t="shared" si="120"/>
        <v/>
      </c>
      <c r="AB369" t="str">
        <f t="shared" si="121"/>
        <v/>
      </c>
      <c r="AC369" t="str">
        <f t="shared" si="122"/>
        <v/>
      </c>
      <c r="AD369" t="str">
        <f t="shared" si="123"/>
        <v/>
      </c>
    </row>
    <row r="370" spans="14:30" thickBot="1" x14ac:dyDescent="0.3">
      <c r="N370">
        <f t="shared" si="116"/>
        <v>0</v>
      </c>
      <c r="O370">
        <f t="shared" si="113"/>
        <v>0</v>
      </c>
      <c r="P370">
        <f t="shared" si="114"/>
        <v>0</v>
      </c>
      <c r="Q370">
        <f t="shared" si="115"/>
        <v>0</v>
      </c>
      <c r="X370" t="str">
        <f t="shared" si="117"/>
        <v/>
      </c>
      <c r="Y370" t="str">
        <f t="shared" si="118"/>
        <v/>
      </c>
      <c r="Z370" t="str">
        <f t="shared" si="119"/>
        <v/>
      </c>
      <c r="AA370" t="str">
        <f t="shared" si="120"/>
        <v/>
      </c>
      <c r="AB370" t="str">
        <f t="shared" si="121"/>
        <v/>
      </c>
      <c r="AC370" t="str">
        <f t="shared" si="122"/>
        <v/>
      </c>
      <c r="AD370" t="str">
        <f t="shared" si="123"/>
        <v/>
      </c>
    </row>
    <row r="371" spans="14:30" thickBot="1" x14ac:dyDescent="0.3">
      <c r="N371">
        <f t="shared" si="116"/>
        <v>0</v>
      </c>
      <c r="O371">
        <f t="shared" si="113"/>
        <v>0</v>
      </c>
      <c r="P371">
        <f t="shared" si="114"/>
        <v>0</v>
      </c>
      <c r="Q371">
        <f t="shared" si="115"/>
        <v>0</v>
      </c>
      <c r="X371" t="str">
        <f t="shared" si="117"/>
        <v/>
      </c>
      <c r="Y371" t="str">
        <f t="shared" si="118"/>
        <v/>
      </c>
      <c r="Z371" t="str">
        <f t="shared" si="119"/>
        <v/>
      </c>
      <c r="AA371" t="str">
        <f t="shared" si="120"/>
        <v/>
      </c>
      <c r="AB371" t="str">
        <f t="shared" si="121"/>
        <v/>
      </c>
      <c r="AC371" t="str">
        <f t="shared" si="122"/>
        <v/>
      </c>
      <c r="AD371" t="str">
        <f t="shared" si="123"/>
        <v/>
      </c>
    </row>
    <row r="372" spans="14:30" thickBot="1" x14ac:dyDescent="0.3">
      <c r="N372">
        <f t="shared" si="116"/>
        <v>0</v>
      </c>
      <c r="O372">
        <f t="shared" si="113"/>
        <v>0</v>
      </c>
      <c r="P372">
        <f t="shared" si="114"/>
        <v>0</v>
      </c>
      <c r="Q372">
        <f t="shared" si="115"/>
        <v>0</v>
      </c>
      <c r="X372" t="str">
        <f t="shared" si="117"/>
        <v/>
      </c>
      <c r="Y372" t="str">
        <f t="shared" si="118"/>
        <v/>
      </c>
      <c r="Z372" t="str">
        <f t="shared" si="119"/>
        <v/>
      </c>
      <c r="AA372" t="str">
        <f t="shared" si="120"/>
        <v/>
      </c>
      <c r="AB372" t="str">
        <f t="shared" si="121"/>
        <v/>
      </c>
      <c r="AC372" t="str">
        <f t="shared" si="122"/>
        <v/>
      </c>
      <c r="AD372" t="str">
        <f t="shared" si="123"/>
        <v/>
      </c>
    </row>
    <row r="373" spans="14:30" thickBot="1" x14ac:dyDescent="0.3">
      <c r="N373">
        <f t="shared" si="116"/>
        <v>0</v>
      </c>
      <c r="O373">
        <f t="shared" si="113"/>
        <v>0</v>
      </c>
      <c r="P373">
        <f t="shared" si="114"/>
        <v>0</v>
      </c>
      <c r="Q373">
        <f t="shared" si="115"/>
        <v>0</v>
      </c>
      <c r="X373" t="str">
        <f t="shared" si="117"/>
        <v/>
      </c>
      <c r="Y373" t="str">
        <f t="shared" si="118"/>
        <v/>
      </c>
      <c r="Z373" t="str">
        <f t="shared" si="119"/>
        <v/>
      </c>
      <c r="AA373" t="str">
        <f t="shared" si="120"/>
        <v/>
      </c>
      <c r="AB373" t="str">
        <f t="shared" si="121"/>
        <v/>
      </c>
      <c r="AC373" t="str">
        <f t="shared" si="122"/>
        <v/>
      </c>
      <c r="AD373" t="str">
        <f t="shared" si="123"/>
        <v/>
      </c>
    </row>
    <row r="374" spans="14:30" thickBot="1" x14ac:dyDescent="0.3">
      <c r="N374">
        <f t="shared" si="116"/>
        <v>0</v>
      </c>
      <c r="O374">
        <f t="shared" si="113"/>
        <v>0</v>
      </c>
      <c r="P374">
        <f t="shared" si="114"/>
        <v>0</v>
      </c>
      <c r="Q374">
        <f t="shared" si="115"/>
        <v>0</v>
      </c>
      <c r="X374" t="str">
        <f t="shared" si="117"/>
        <v/>
      </c>
      <c r="Y374" t="str">
        <f t="shared" si="118"/>
        <v/>
      </c>
      <c r="Z374" t="str">
        <f t="shared" si="119"/>
        <v/>
      </c>
      <c r="AA374" t="str">
        <f t="shared" si="120"/>
        <v/>
      </c>
      <c r="AB374" t="str">
        <f t="shared" si="121"/>
        <v/>
      </c>
      <c r="AC374" t="str">
        <f t="shared" si="122"/>
        <v/>
      </c>
      <c r="AD374" t="str">
        <f t="shared" si="123"/>
        <v/>
      </c>
    </row>
    <row r="375" spans="14:30" thickBot="1" x14ac:dyDescent="0.3">
      <c r="N375">
        <f t="shared" si="116"/>
        <v>0</v>
      </c>
      <c r="O375">
        <f t="shared" si="113"/>
        <v>0</v>
      </c>
      <c r="P375">
        <f t="shared" si="114"/>
        <v>0</v>
      </c>
      <c r="Q375">
        <f t="shared" si="115"/>
        <v>0</v>
      </c>
      <c r="X375" t="str">
        <f t="shared" si="117"/>
        <v/>
      </c>
      <c r="Y375" t="str">
        <f t="shared" si="118"/>
        <v/>
      </c>
      <c r="Z375" t="str">
        <f t="shared" si="119"/>
        <v/>
      </c>
      <c r="AA375" t="str">
        <f t="shared" si="120"/>
        <v/>
      </c>
      <c r="AB375" t="str">
        <f t="shared" si="121"/>
        <v/>
      </c>
      <c r="AC375" t="str">
        <f t="shared" si="122"/>
        <v/>
      </c>
      <c r="AD375" t="str">
        <f t="shared" si="123"/>
        <v/>
      </c>
    </row>
    <row r="376" spans="14:30" thickBot="1" x14ac:dyDescent="0.3">
      <c r="N376">
        <f t="shared" si="116"/>
        <v>0</v>
      </c>
      <c r="O376">
        <f t="shared" si="113"/>
        <v>0</v>
      </c>
      <c r="P376">
        <f t="shared" si="114"/>
        <v>0</v>
      </c>
      <c r="Q376">
        <f t="shared" si="115"/>
        <v>0</v>
      </c>
      <c r="X376" t="str">
        <f t="shared" si="117"/>
        <v/>
      </c>
      <c r="Y376" t="str">
        <f t="shared" si="118"/>
        <v/>
      </c>
      <c r="Z376" t="str">
        <f t="shared" si="119"/>
        <v/>
      </c>
      <c r="AA376" t="str">
        <f t="shared" si="120"/>
        <v/>
      </c>
      <c r="AB376" t="str">
        <f t="shared" si="121"/>
        <v/>
      </c>
      <c r="AC376" t="str">
        <f t="shared" si="122"/>
        <v/>
      </c>
      <c r="AD376" t="str">
        <f t="shared" si="123"/>
        <v/>
      </c>
    </row>
    <row r="377" spans="14:30" thickBot="1" x14ac:dyDescent="0.3">
      <c r="N377">
        <f t="shared" si="116"/>
        <v>0</v>
      </c>
      <c r="O377">
        <f t="shared" si="113"/>
        <v>0</v>
      </c>
      <c r="P377">
        <f t="shared" si="114"/>
        <v>0</v>
      </c>
      <c r="Q377">
        <f t="shared" si="115"/>
        <v>0</v>
      </c>
      <c r="X377" t="str">
        <f t="shared" si="117"/>
        <v/>
      </c>
      <c r="Y377" t="str">
        <f t="shared" si="118"/>
        <v/>
      </c>
      <c r="Z377" t="str">
        <f t="shared" si="119"/>
        <v/>
      </c>
      <c r="AA377" t="str">
        <f t="shared" si="120"/>
        <v/>
      </c>
      <c r="AB377" t="str">
        <f t="shared" si="121"/>
        <v/>
      </c>
      <c r="AC377" t="str">
        <f t="shared" si="122"/>
        <v/>
      </c>
      <c r="AD377" t="str">
        <f t="shared" si="123"/>
        <v/>
      </c>
    </row>
    <row r="378" spans="14:30" thickBot="1" x14ac:dyDescent="0.3">
      <c r="N378">
        <f t="shared" si="116"/>
        <v>0</v>
      </c>
      <c r="O378">
        <f t="shared" si="113"/>
        <v>0</v>
      </c>
      <c r="P378">
        <f t="shared" si="114"/>
        <v>0</v>
      </c>
      <c r="Q378">
        <f t="shared" si="115"/>
        <v>0</v>
      </c>
      <c r="X378" t="str">
        <f t="shared" si="117"/>
        <v/>
      </c>
      <c r="Y378" t="str">
        <f t="shared" si="118"/>
        <v/>
      </c>
      <c r="Z378" t="str">
        <f t="shared" si="119"/>
        <v/>
      </c>
      <c r="AA378" t="str">
        <f t="shared" si="120"/>
        <v/>
      </c>
      <c r="AB378" t="str">
        <f t="shared" si="121"/>
        <v/>
      </c>
      <c r="AC378" t="str">
        <f t="shared" si="122"/>
        <v/>
      </c>
      <c r="AD378" t="str">
        <f t="shared" si="123"/>
        <v/>
      </c>
    </row>
    <row r="379" spans="14:30" thickBot="1" x14ac:dyDescent="0.3">
      <c r="N379">
        <f t="shared" si="116"/>
        <v>0</v>
      </c>
      <c r="O379">
        <f t="shared" si="113"/>
        <v>0</v>
      </c>
      <c r="P379">
        <f t="shared" si="114"/>
        <v>0</v>
      </c>
      <c r="Q379">
        <f t="shared" si="115"/>
        <v>0</v>
      </c>
      <c r="X379" t="str">
        <f t="shared" si="117"/>
        <v/>
      </c>
      <c r="Y379" t="str">
        <f t="shared" si="118"/>
        <v/>
      </c>
      <c r="Z379" t="str">
        <f t="shared" si="119"/>
        <v/>
      </c>
      <c r="AA379" t="str">
        <f t="shared" si="120"/>
        <v/>
      </c>
      <c r="AB379" t="str">
        <f t="shared" si="121"/>
        <v/>
      </c>
      <c r="AC379" t="str">
        <f t="shared" si="122"/>
        <v/>
      </c>
      <c r="AD379" t="str">
        <f t="shared" si="123"/>
        <v/>
      </c>
    </row>
    <row r="380" spans="14:30" thickBot="1" x14ac:dyDescent="0.3">
      <c r="N380">
        <f t="shared" si="116"/>
        <v>0</v>
      </c>
      <c r="O380">
        <f t="shared" si="113"/>
        <v>0</v>
      </c>
      <c r="P380">
        <f t="shared" si="114"/>
        <v>0</v>
      </c>
      <c r="Q380">
        <f t="shared" si="115"/>
        <v>0</v>
      </c>
      <c r="X380" t="str">
        <f t="shared" si="117"/>
        <v/>
      </c>
      <c r="Y380" t="str">
        <f t="shared" si="118"/>
        <v/>
      </c>
      <c r="Z380" t="str">
        <f t="shared" si="119"/>
        <v/>
      </c>
      <c r="AA380" t="str">
        <f t="shared" si="120"/>
        <v/>
      </c>
      <c r="AB380" t="str">
        <f t="shared" si="121"/>
        <v/>
      </c>
      <c r="AC380" t="str">
        <f t="shared" si="122"/>
        <v/>
      </c>
      <c r="AD380" t="str">
        <f t="shared" si="123"/>
        <v/>
      </c>
    </row>
    <row r="381" spans="14:30" thickBot="1" x14ac:dyDescent="0.3">
      <c r="N381">
        <f t="shared" si="116"/>
        <v>0</v>
      </c>
      <c r="O381">
        <f t="shared" si="113"/>
        <v>0</v>
      </c>
      <c r="P381">
        <f t="shared" si="114"/>
        <v>0</v>
      </c>
      <c r="Q381">
        <f t="shared" si="115"/>
        <v>0</v>
      </c>
      <c r="X381" t="str">
        <f t="shared" si="117"/>
        <v/>
      </c>
      <c r="Y381" t="str">
        <f t="shared" si="118"/>
        <v/>
      </c>
      <c r="Z381" t="str">
        <f t="shared" si="119"/>
        <v/>
      </c>
      <c r="AA381" t="str">
        <f t="shared" si="120"/>
        <v/>
      </c>
      <c r="AB381" t="str">
        <f t="shared" si="121"/>
        <v/>
      </c>
      <c r="AC381" t="str">
        <f t="shared" si="122"/>
        <v/>
      </c>
      <c r="AD381" t="str">
        <f t="shared" si="123"/>
        <v/>
      </c>
    </row>
    <row r="382" spans="14:30" thickBot="1" x14ac:dyDescent="0.3">
      <c r="N382">
        <f t="shared" si="116"/>
        <v>0</v>
      </c>
      <c r="O382">
        <f t="shared" si="113"/>
        <v>0</v>
      </c>
      <c r="P382">
        <f t="shared" si="114"/>
        <v>0</v>
      </c>
      <c r="Q382">
        <f t="shared" si="115"/>
        <v>0</v>
      </c>
      <c r="X382" t="str">
        <f t="shared" si="117"/>
        <v/>
      </c>
      <c r="Y382" t="str">
        <f t="shared" si="118"/>
        <v/>
      </c>
      <c r="Z382" t="str">
        <f t="shared" si="119"/>
        <v/>
      </c>
      <c r="AA382" t="str">
        <f t="shared" si="120"/>
        <v/>
      </c>
      <c r="AB382" t="str">
        <f t="shared" si="121"/>
        <v/>
      </c>
      <c r="AC382" t="str">
        <f t="shared" si="122"/>
        <v/>
      </c>
      <c r="AD382" t="str">
        <f t="shared" si="123"/>
        <v/>
      </c>
    </row>
    <row r="383" spans="14:30" thickBot="1" x14ac:dyDescent="0.3">
      <c r="N383">
        <f t="shared" si="116"/>
        <v>0</v>
      </c>
      <c r="O383">
        <f t="shared" si="113"/>
        <v>0</v>
      </c>
      <c r="P383">
        <f t="shared" si="114"/>
        <v>0</v>
      </c>
      <c r="Q383">
        <f t="shared" si="115"/>
        <v>0</v>
      </c>
      <c r="X383" t="str">
        <f t="shared" si="117"/>
        <v/>
      </c>
      <c r="Y383" t="str">
        <f t="shared" si="118"/>
        <v/>
      </c>
      <c r="Z383" t="str">
        <f t="shared" si="119"/>
        <v/>
      </c>
      <c r="AA383" t="str">
        <f t="shared" si="120"/>
        <v/>
      </c>
      <c r="AB383" t="str">
        <f t="shared" si="121"/>
        <v/>
      </c>
      <c r="AC383" t="str">
        <f t="shared" si="122"/>
        <v/>
      </c>
      <c r="AD383" t="str">
        <f t="shared" si="123"/>
        <v/>
      </c>
    </row>
    <row r="384" spans="14:30" thickBot="1" x14ac:dyDescent="0.3">
      <c r="N384">
        <f t="shared" si="116"/>
        <v>0</v>
      </c>
      <c r="O384">
        <f t="shared" si="113"/>
        <v>0</v>
      </c>
      <c r="P384">
        <f t="shared" si="114"/>
        <v>0</v>
      </c>
      <c r="Q384">
        <f t="shared" si="115"/>
        <v>0</v>
      </c>
      <c r="X384" t="str">
        <f t="shared" si="117"/>
        <v/>
      </c>
      <c r="Y384" t="str">
        <f t="shared" si="118"/>
        <v/>
      </c>
      <c r="Z384" t="str">
        <f t="shared" si="119"/>
        <v/>
      </c>
      <c r="AA384" t="str">
        <f t="shared" si="120"/>
        <v/>
      </c>
      <c r="AB384" t="str">
        <f t="shared" si="121"/>
        <v/>
      </c>
      <c r="AC384" t="str">
        <f t="shared" si="122"/>
        <v/>
      </c>
      <c r="AD384" t="str">
        <f t="shared" si="123"/>
        <v/>
      </c>
    </row>
    <row r="385" spans="14:30" thickBot="1" x14ac:dyDescent="0.3">
      <c r="N385">
        <f t="shared" si="116"/>
        <v>0</v>
      </c>
      <c r="O385">
        <f t="shared" ref="O385:O448" si="124">B385</f>
        <v>0</v>
      </c>
      <c r="P385">
        <f t="shared" ref="P385:P448" si="125">C385</f>
        <v>0</v>
      </c>
      <c r="Q385">
        <f t="shared" ref="Q385:Q448" si="126">D385</f>
        <v>0</v>
      </c>
      <c r="X385" t="str">
        <f t="shared" si="117"/>
        <v/>
      </c>
      <c r="Y385" t="str">
        <f t="shared" si="118"/>
        <v/>
      </c>
      <c r="Z385" t="str">
        <f t="shared" si="119"/>
        <v/>
      </c>
      <c r="AA385" t="str">
        <f t="shared" si="120"/>
        <v/>
      </c>
      <c r="AB385" t="str">
        <f t="shared" si="121"/>
        <v/>
      </c>
      <c r="AC385" t="str">
        <f t="shared" si="122"/>
        <v/>
      </c>
      <c r="AD385" t="str">
        <f t="shared" si="123"/>
        <v/>
      </c>
    </row>
    <row r="386" spans="14:30" thickBot="1" x14ac:dyDescent="0.3">
      <c r="N386">
        <f t="shared" ref="N386:N449" si="127">A386</f>
        <v>0</v>
      </c>
      <c r="O386">
        <f t="shared" si="124"/>
        <v>0</v>
      </c>
      <c r="P386">
        <f t="shared" si="125"/>
        <v>0</v>
      </c>
      <c r="Q386">
        <f t="shared" si="126"/>
        <v>0</v>
      </c>
      <c r="X386" t="str">
        <f t="shared" si="117"/>
        <v/>
      </c>
      <c r="Y386" t="str">
        <f t="shared" si="118"/>
        <v/>
      </c>
      <c r="Z386" t="str">
        <f t="shared" si="119"/>
        <v/>
      </c>
      <c r="AA386" t="str">
        <f t="shared" si="120"/>
        <v/>
      </c>
      <c r="AB386" t="str">
        <f t="shared" si="121"/>
        <v/>
      </c>
      <c r="AC386" t="str">
        <f t="shared" si="122"/>
        <v/>
      </c>
      <c r="AD386" t="str">
        <f t="shared" si="123"/>
        <v/>
      </c>
    </row>
    <row r="387" spans="14:30" thickBot="1" x14ac:dyDescent="0.3">
      <c r="N387">
        <f t="shared" si="127"/>
        <v>0</v>
      </c>
      <c r="O387">
        <f t="shared" si="124"/>
        <v>0</v>
      </c>
      <c r="P387">
        <f t="shared" si="125"/>
        <v>0</v>
      </c>
      <c r="Q387">
        <f t="shared" si="126"/>
        <v>0</v>
      </c>
      <c r="V387">
        <v>19</v>
      </c>
      <c r="X387" t="str">
        <f t="shared" si="117"/>
        <v/>
      </c>
      <c r="Y387" t="str">
        <f t="shared" si="118"/>
        <v/>
      </c>
      <c r="Z387" t="str">
        <f t="shared" si="119"/>
        <v/>
      </c>
      <c r="AA387" t="str">
        <f t="shared" si="120"/>
        <v/>
      </c>
      <c r="AB387" t="str">
        <f t="shared" si="121"/>
        <v>,</v>
      </c>
      <c r="AC387" t="str">
        <f t="shared" si="122"/>
        <v/>
      </c>
      <c r="AD387" t="str">
        <f t="shared" si="123"/>
        <v/>
      </c>
    </row>
    <row r="388" spans="14:30" thickBot="1" x14ac:dyDescent="0.3">
      <c r="N388">
        <f t="shared" si="127"/>
        <v>0</v>
      </c>
      <c r="O388">
        <f t="shared" si="124"/>
        <v>0</v>
      </c>
      <c r="P388">
        <f t="shared" si="125"/>
        <v>0</v>
      </c>
      <c r="Q388">
        <f t="shared" si="126"/>
        <v>0</v>
      </c>
      <c r="X388" t="str">
        <f t="shared" si="117"/>
        <v/>
      </c>
      <c r="Y388" t="str">
        <f t="shared" si="118"/>
        <v/>
      </c>
      <c r="Z388" t="str">
        <f t="shared" si="119"/>
        <v/>
      </c>
      <c r="AA388" t="str">
        <f t="shared" si="120"/>
        <v/>
      </c>
      <c r="AB388" t="str">
        <f t="shared" si="121"/>
        <v/>
      </c>
      <c r="AC388" t="str">
        <f t="shared" si="122"/>
        <v/>
      </c>
      <c r="AD388" t="str">
        <f t="shared" si="123"/>
        <v/>
      </c>
    </row>
    <row r="389" spans="14:30" thickBot="1" x14ac:dyDescent="0.3">
      <c r="N389">
        <f t="shared" si="127"/>
        <v>0</v>
      </c>
      <c r="O389">
        <f t="shared" si="124"/>
        <v>0</v>
      </c>
      <c r="P389">
        <f t="shared" si="125"/>
        <v>0</v>
      </c>
      <c r="Q389">
        <f t="shared" si="126"/>
        <v>0</v>
      </c>
      <c r="X389" t="str">
        <f t="shared" si="117"/>
        <v/>
      </c>
      <c r="Y389" t="str">
        <f t="shared" si="118"/>
        <v/>
      </c>
      <c r="Z389" t="str">
        <f t="shared" si="119"/>
        <v/>
      </c>
      <c r="AA389" t="str">
        <f t="shared" si="120"/>
        <v/>
      </c>
      <c r="AB389" t="str">
        <f t="shared" si="121"/>
        <v/>
      </c>
      <c r="AC389" t="str">
        <f t="shared" si="122"/>
        <v/>
      </c>
      <c r="AD389" t="str">
        <f t="shared" si="123"/>
        <v/>
      </c>
    </row>
    <row r="390" spans="14:30" thickBot="1" x14ac:dyDescent="0.3">
      <c r="N390">
        <f t="shared" si="127"/>
        <v>0</v>
      </c>
      <c r="O390">
        <f t="shared" si="124"/>
        <v>0</v>
      </c>
      <c r="P390">
        <f t="shared" si="125"/>
        <v>0</v>
      </c>
      <c r="Q390">
        <f t="shared" si="126"/>
        <v>0</v>
      </c>
      <c r="X390" t="str">
        <f t="shared" si="117"/>
        <v/>
      </c>
      <c r="Y390" t="str">
        <f t="shared" si="118"/>
        <v/>
      </c>
      <c r="Z390" t="str">
        <f t="shared" si="119"/>
        <v/>
      </c>
      <c r="AA390" t="str">
        <f t="shared" si="120"/>
        <v/>
      </c>
      <c r="AB390" t="str">
        <f t="shared" si="121"/>
        <v/>
      </c>
      <c r="AC390" t="str">
        <f t="shared" si="122"/>
        <v/>
      </c>
      <c r="AD390" t="str">
        <f t="shared" si="123"/>
        <v/>
      </c>
    </row>
    <row r="391" spans="14:30" thickBot="1" x14ac:dyDescent="0.3">
      <c r="N391">
        <f t="shared" si="127"/>
        <v>0</v>
      </c>
      <c r="O391">
        <f t="shared" si="124"/>
        <v>0</v>
      </c>
      <c r="P391">
        <f t="shared" si="125"/>
        <v>0</v>
      </c>
      <c r="Q391">
        <f t="shared" si="126"/>
        <v>0</v>
      </c>
      <c r="X391" t="str">
        <f t="shared" si="117"/>
        <v/>
      </c>
      <c r="Y391" t="str">
        <f t="shared" si="118"/>
        <v/>
      </c>
      <c r="Z391" t="str">
        <f t="shared" si="119"/>
        <v/>
      </c>
      <c r="AA391" t="str">
        <f t="shared" si="120"/>
        <v/>
      </c>
      <c r="AB391" t="str">
        <f t="shared" si="121"/>
        <v/>
      </c>
      <c r="AC391" t="str">
        <f t="shared" si="122"/>
        <v/>
      </c>
      <c r="AD391" t="str">
        <f t="shared" si="123"/>
        <v/>
      </c>
    </row>
    <row r="392" spans="14:30" thickBot="1" x14ac:dyDescent="0.3">
      <c r="N392">
        <f t="shared" si="127"/>
        <v>0</v>
      </c>
      <c r="O392">
        <f t="shared" si="124"/>
        <v>0</v>
      </c>
      <c r="P392">
        <f t="shared" si="125"/>
        <v>0</v>
      </c>
      <c r="Q392">
        <f t="shared" si="126"/>
        <v>0</v>
      </c>
      <c r="X392" t="str">
        <f t="shared" ref="X392:X455" si="128">IF(R392="","",",")</f>
        <v/>
      </c>
      <c r="Y392" t="str">
        <f t="shared" ref="Y392:Y455" si="129">IF(S392="","",",")</f>
        <v/>
      </c>
      <c r="Z392" t="str">
        <f t="shared" ref="Z392:Z455" si="130">IF(T392="","",",")</f>
        <v/>
      </c>
      <c r="AA392" t="str">
        <f t="shared" ref="AA392:AA455" si="131">IF(U392="","",",")</f>
        <v/>
      </c>
      <c r="AB392" t="str">
        <f t="shared" ref="AB392:AB455" si="132">IF(V392="","",",")</f>
        <v/>
      </c>
      <c r="AC392" t="str">
        <f t="shared" ref="AC392:AC455" si="133">IF(W392="","",",")</f>
        <v/>
      </c>
      <c r="AD392" t="str">
        <f t="shared" ref="AD392:AD455" si="134">IF(X392="","",",")</f>
        <v/>
      </c>
    </row>
    <row r="393" spans="14:30" thickBot="1" x14ac:dyDescent="0.3">
      <c r="N393">
        <f t="shared" si="127"/>
        <v>0</v>
      </c>
      <c r="O393">
        <f t="shared" si="124"/>
        <v>0</v>
      </c>
      <c r="P393">
        <f t="shared" si="125"/>
        <v>0</v>
      </c>
      <c r="Q393">
        <f t="shared" si="126"/>
        <v>0</v>
      </c>
      <c r="X393" t="str">
        <f t="shared" si="128"/>
        <v/>
      </c>
      <c r="Y393" t="str">
        <f t="shared" si="129"/>
        <v/>
      </c>
      <c r="Z393" t="str">
        <f t="shared" si="130"/>
        <v/>
      </c>
      <c r="AA393" t="str">
        <f t="shared" si="131"/>
        <v/>
      </c>
      <c r="AB393" t="str">
        <f t="shared" si="132"/>
        <v/>
      </c>
      <c r="AC393" t="str">
        <f t="shared" si="133"/>
        <v/>
      </c>
      <c r="AD393" t="str">
        <f t="shared" si="134"/>
        <v/>
      </c>
    </row>
    <row r="394" spans="14:30" thickBot="1" x14ac:dyDescent="0.3">
      <c r="N394">
        <f t="shared" si="127"/>
        <v>0</v>
      </c>
      <c r="O394">
        <f t="shared" si="124"/>
        <v>0</v>
      </c>
      <c r="P394">
        <f t="shared" si="125"/>
        <v>0</v>
      </c>
      <c r="Q394">
        <f t="shared" si="126"/>
        <v>0</v>
      </c>
      <c r="X394" t="str">
        <f t="shared" si="128"/>
        <v/>
      </c>
      <c r="Y394" t="str">
        <f t="shared" si="129"/>
        <v/>
      </c>
      <c r="Z394" t="str">
        <f t="shared" si="130"/>
        <v/>
      </c>
      <c r="AA394" t="str">
        <f t="shared" si="131"/>
        <v/>
      </c>
      <c r="AB394" t="str">
        <f t="shared" si="132"/>
        <v/>
      </c>
      <c r="AC394" t="str">
        <f t="shared" si="133"/>
        <v/>
      </c>
      <c r="AD394" t="str">
        <f t="shared" si="134"/>
        <v/>
      </c>
    </row>
    <row r="395" spans="14:30" thickBot="1" x14ac:dyDescent="0.3">
      <c r="N395">
        <f t="shared" si="127"/>
        <v>0</v>
      </c>
      <c r="O395">
        <f t="shared" si="124"/>
        <v>0</v>
      </c>
      <c r="P395">
        <f t="shared" si="125"/>
        <v>0</v>
      </c>
      <c r="Q395">
        <f t="shared" si="126"/>
        <v>0</v>
      </c>
      <c r="X395" t="str">
        <f t="shared" si="128"/>
        <v/>
      </c>
      <c r="Y395" t="str">
        <f t="shared" si="129"/>
        <v/>
      </c>
      <c r="Z395" t="str">
        <f t="shared" si="130"/>
        <v/>
      </c>
      <c r="AA395" t="str">
        <f t="shared" si="131"/>
        <v/>
      </c>
      <c r="AB395" t="str">
        <f t="shared" si="132"/>
        <v/>
      </c>
      <c r="AC395" t="str">
        <f t="shared" si="133"/>
        <v/>
      </c>
      <c r="AD395" t="str">
        <f t="shared" si="134"/>
        <v/>
      </c>
    </row>
    <row r="396" spans="14:30" thickBot="1" x14ac:dyDescent="0.3">
      <c r="N396">
        <f t="shared" si="127"/>
        <v>0</v>
      </c>
      <c r="O396">
        <f t="shared" si="124"/>
        <v>0</v>
      </c>
      <c r="P396">
        <f t="shared" si="125"/>
        <v>0</v>
      </c>
      <c r="Q396">
        <f t="shared" si="126"/>
        <v>0</v>
      </c>
      <c r="X396" t="str">
        <f t="shared" si="128"/>
        <v/>
      </c>
      <c r="Y396" t="str">
        <f t="shared" si="129"/>
        <v/>
      </c>
      <c r="Z396" t="str">
        <f t="shared" si="130"/>
        <v/>
      </c>
      <c r="AA396" t="str">
        <f t="shared" si="131"/>
        <v/>
      </c>
      <c r="AB396" t="str">
        <f t="shared" si="132"/>
        <v/>
      </c>
      <c r="AC396" t="str">
        <f t="shared" si="133"/>
        <v/>
      </c>
      <c r="AD396" t="str">
        <f t="shared" si="134"/>
        <v/>
      </c>
    </row>
    <row r="397" spans="14:30" thickBot="1" x14ac:dyDescent="0.3">
      <c r="N397">
        <f t="shared" si="127"/>
        <v>0</v>
      </c>
      <c r="O397">
        <f t="shared" si="124"/>
        <v>0</v>
      </c>
      <c r="P397">
        <f t="shared" si="125"/>
        <v>0</v>
      </c>
      <c r="Q397">
        <f t="shared" si="126"/>
        <v>0</v>
      </c>
      <c r="X397" t="str">
        <f t="shared" si="128"/>
        <v/>
      </c>
      <c r="Y397" t="str">
        <f t="shared" si="129"/>
        <v/>
      </c>
      <c r="Z397" t="str">
        <f t="shared" si="130"/>
        <v/>
      </c>
      <c r="AA397" t="str">
        <f t="shared" si="131"/>
        <v/>
      </c>
      <c r="AB397" t="str">
        <f t="shared" si="132"/>
        <v/>
      </c>
      <c r="AC397" t="str">
        <f t="shared" si="133"/>
        <v/>
      </c>
      <c r="AD397" t="str">
        <f t="shared" si="134"/>
        <v/>
      </c>
    </row>
    <row r="398" spans="14:30" thickBot="1" x14ac:dyDescent="0.3">
      <c r="N398">
        <f t="shared" si="127"/>
        <v>0</v>
      </c>
      <c r="O398">
        <f t="shared" si="124"/>
        <v>0</v>
      </c>
      <c r="P398">
        <f t="shared" si="125"/>
        <v>0</v>
      </c>
      <c r="Q398">
        <f t="shared" si="126"/>
        <v>0</v>
      </c>
      <c r="X398" t="str">
        <f t="shared" si="128"/>
        <v/>
      </c>
      <c r="Y398" t="str">
        <f t="shared" si="129"/>
        <v/>
      </c>
      <c r="Z398" t="str">
        <f t="shared" si="130"/>
        <v/>
      </c>
      <c r="AA398" t="str">
        <f t="shared" si="131"/>
        <v/>
      </c>
      <c r="AB398" t="str">
        <f t="shared" si="132"/>
        <v/>
      </c>
      <c r="AC398" t="str">
        <f t="shared" si="133"/>
        <v/>
      </c>
      <c r="AD398" t="str">
        <f t="shared" si="134"/>
        <v/>
      </c>
    </row>
    <row r="399" spans="14:30" thickBot="1" x14ac:dyDescent="0.3">
      <c r="N399">
        <f t="shared" si="127"/>
        <v>0</v>
      </c>
      <c r="O399">
        <f t="shared" si="124"/>
        <v>0</v>
      </c>
      <c r="P399">
        <f t="shared" si="125"/>
        <v>0</v>
      </c>
      <c r="Q399">
        <f t="shared" si="126"/>
        <v>0</v>
      </c>
      <c r="X399" t="str">
        <f t="shared" si="128"/>
        <v/>
      </c>
      <c r="Y399" t="str">
        <f t="shared" si="129"/>
        <v/>
      </c>
      <c r="Z399" t="str">
        <f t="shared" si="130"/>
        <v/>
      </c>
      <c r="AA399" t="str">
        <f t="shared" si="131"/>
        <v/>
      </c>
      <c r="AB399" t="str">
        <f t="shared" si="132"/>
        <v/>
      </c>
      <c r="AC399" t="str">
        <f t="shared" si="133"/>
        <v/>
      </c>
      <c r="AD399" t="str">
        <f t="shared" si="134"/>
        <v/>
      </c>
    </row>
    <row r="400" spans="14:30" thickBot="1" x14ac:dyDescent="0.3">
      <c r="N400">
        <f t="shared" si="127"/>
        <v>0</v>
      </c>
      <c r="O400">
        <f t="shared" si="124"/>
        <v>0</v>
      </c>
      <c r="P400">
        <f t="shared" si="125"/>
        <v>0</v>
      </c>
      <c r="Q400">
        <f t="shared" si="126"/>
        <v>0</v>
      </c>
      <c r="X400" t="str">
        <f t="shared" si="128"/>
        <v/>
      </c>
      <c r="Y400" t="str">
        <f t="shared" si="129"/>
        <v/>
      </c>
      <c r="Z400" t="str">
        <f t="shared" si="130"/>
        <v/>
      </c>
      <c r="AA400" t="str">
        <f t="shared" si="131"/>
        <v/>
      </c>
      <c r="AB400" t="str">
        <f t="shared" si="132"/>
        <v/>
      </c>
      <c r="AC400" t="str">
        <f t="shared" si="133"/>
        <v/>
      </c>
      <c r="AD400" t="str">
        <f t="shared" si="134"/>
        <v/>
      </c>
    </row>
    <row r="401" spans="14:30" thickBot="1" x14ac:dyDescent="0.3">
      <c r="N401">
        <f t="shared" si="127"/>
        <v>0</v>
      </c>
      <c r="O401">
        <f t="shared" si="124"/>
        <v>0</v>
      </c>
      <c r="P401">
        <f t="shared" si="125"/>
        <v>0</v>
      </c>
      <c r="Q401">
        <f t="shared" si="126"/>
        <v>0</v>
      </c>
      <c r="X401" t="str">
        <f t="shared" si="128"/>
        <v/>
      </c>
      <c r="Y401" t="str">
        <f t="shared" si="129"/>
        <v/>
      </c>
      <c r="Z401" t="str">
        <f t="shared" si="130"/>
        <v/>
      </c>
      <c r="AA401" t="str">
        <f t="shared" si="131"/>
        <v/>
      </c>
      <c r="AB401" t="str">
        <f t="shared" si="132"/>
        <v/>
      </c>
      <c r="AC401" t="str">
        <f t="shared" si="133"/>
        <v/>
      </c>
      <c r="AD401" t="str">
        <f t="shared" si="134"/>
        <v/>
      </c>
    </row>
    <row r="402" spans="14:30" thickBot="1" x14ac:dyDescent="0.3">
      <c r="N402">
        <f t="shared" si="127"/>
        <v>0</v>
      </c>
      <c r="O402">
        <f t="shared" si="124"/>
        <v>0</v>
      </c>
      <c r="P402">
        <f t="shared" si="125"/>
        <v>0</v>
      </c>
      <c r="Q402">
        <f t="shared" si="126"/>
        <v>0</v>
      </c>
      <c r="X402" t="str">
        <f t="shared" si="128"/>
        <v/>
      </c>
      <c r="Y402" t="str">
        <f t="shared" si="129"/>
        <v/>
      </c>
      <c r="Z402" t="str">
        <f t="shared" si="130"/>
        <v/>
      </c>
      <c r="AA402" t="str">
        <f t="shared" si="131"/>
        <v/>
      </c>
      <c r="AB402" t="str">
        <f t="shared" si="132"/>
        <v/>
      </c>
      <c r="AC402" t="str">
        <f t="shared" si="133"/>
        <v/>
      </c>
      <c r="AD402" t="str">
        <f t="shared" si="134"/>
        <v/>
      </c>
    </row>
    <row r="403" spans="14:30" thickBot="1" x14ac:dyDescent="0.3">
      <c r="N403">
        <f t="shared" si="127"/>
        <v>0</v>
      </c>
      <c r="O403">
        <f t="shared" si="124"/>
        <v>0</v>
      </c>
      <c r="P403">
        <f t="shared" si="125"/>
        <v>0</v>
      </c>
      <c r="Q403">
        <f t="shared" si="126"/>
        <v>0</v>
      </c>
      <c r="X403" t="str">
        <f t="shared" si="128"/>
        <v/>
      </c>
      <c r="Y403" t="str">
        <f t="shared" si="129"/>
        <v/>
      </c>
      <c r="Z403" t="str">
        <f t="shared" si="130"/>
        <v/>
      </c>
      <c r="AA403" t="str">
        <f t="shared" si="131"/>
        <v/>
      </c>
      <c r="AB403" t="str">
        <f t="shared" si="132"/>
        <v/>
      </c>
      <c r="AC403" t="str">
        <f t="shared" si="133"/>
        <v/>
      </c>
      <c r="AD403" t="str">
        <f t="shared" si="134"/>
        <v/>
      </c>
    </row>
    <row r="404" spans="14:30" thickBot="1" x14ac:dyDescent="0.3">
      <c r="N404">
        <f t="shared" si="127"/>
        <v>0</v>
      </c>
      <c r="O404">
        <f t="shared" si="124"/>
        <v>0</v>
      </c>
      <c r="P404">
        <f t="shared" si="125"/>
        <v>0</v>
      </c>
      <c r="Q404">
        <f t="shared" si="126"/>
        <v>0</v>
      </c>
      <c r="X404" t="str">
        <f t="shared" si="128"/>
        <v/>
      </c>
      <c r="Y404" t="str">
        <f t="shared" si="129"/>
        <v/>
      </c>
      <c r="Z404" t="str">
        <f t="shared" si="130"/>
        <v/>
      </c>
      <c r="AA404" t="str">
        <f t="shared" si="131"/>
        <v/>
      </c>
      <c r="AB404" t="str">
        <f t="shared" si="132"/>
        <v/>
      </c>
      <c r="AC404" t="str">
        <f t="shared" si="133"/>
        <v/>
      </c>
      <c r="AD404" t="str">
        <f t="shared" si="134"/>
        <v/>
      </c>
    </row>
    <row r="405" spans="14:30" thickBot="1" x14ac:dyDescent="0.3">
      <c r="N405">
        <f t="shared" si="127"/>
        <v>0</v>
      </c>
      <c r="O405">
        <f t="shared" si="124"/>
        <v>0</v>
      </c>
      <c r="P405">
        <f t="shared" si="125"/>
        <v>0</v>
      </c>
      <c r="Q405">
        <f t="shared" si="126"/>
        <v>0</v>
      </c>
      <c r="X405" t="str">
        <f t="shared" si="128"/>
        <v/>
      </c>
      <c r="Y405" t="str">
        <f t="shared" si="129"/>
        <v/>
      </c>
      <c r="Z405" t="str">
        <f t="shared" si="130"/>
        <v/>
      </c>
      <c r="AA405" t="str">
        <f t="shared" si="131"/>
        <v/>
      </c>
      <c r="AB405" t="str">
        <f t="shared" si="132"/>
        <v/>
      </c>
      <c r="AC405" t="str">
        <f t="shared" si="133"/>
        <v/>
      </c>
      <c r="AD405" t="str">
        <f t="shared" si="134"/>
        <v/>
      </c>
    </row>
    <row r="406" spans="14:30" thickBot="1" x14ac:dyDescent="0.3">
      <c r="N406">
        <f t="shared" si="127"/>
        <v>0</v>
      </c>
      <c r="O406">
        <f t="shared" si="124"/>
        <v>0</v>
      </c>
      <c r="P406">
        <f t="shared" si="125"/>
        <v>0</v>
      </c>
      <c r="Q406">
        <f t="shared" si="126"/>
        <v>0</v>
      </c>
      <c r="X406" t="str">
        <f t="shared" si="128"/>
        <v/>
      </c>
      <c r="Y406" t="str">
        <f t="shared" si="129"/>
        <v/>
      </c>
      <c r="Z406" t="str">
        <f t="shared" si="130"/>
        <v/>
      </c>
      <c r="AA406" t="str">
        <f t="shared" si="131"/>
        <v/>
      </c>
      <c r="AB406" t="str">
        <f t="shared" si="132"/>
        <v/>
      </c>
      <c r="AC406" t="str">
        <f t="shared" si="133"/>
        <v/>
      </c>
      <c r="AD406" t="str">
        <f t="shared" si="134"/>
        <v/>
      </c>
    </row>
    <row r="407" spans="14:30" thickBot="1" x14ac:dyDescent="0.3">
      <c r="N407">
        <f t="shared" si="127"/>
        <v>0</v>
      </c>
      <c r="O407">
        <f t="shared" si="124"/>
        <v>0</v>
      </c>
      <c r="P407">
        <f t="shared" si="125"/>
        <v>0</v>
      </c>
      <c r="Q407">
        <f t="shared" si="126"/>
        <v>0</v>
      </c>
      <c r="V407">
        <v>20</v>
      </c>
      <c r="X407" t="str">
        <f t="shared" si="128"/>
        <v/>
      </c>
      <c r="Y407" t="str">
        <f t="shared" si="129"/>
        <v/>
      </c>
      <c r="Z407" t="str">
        <f t="shared" si="130"/>
        <v/>
      </c>
      <c r="AA407" t="str">
        <f t="shared" si="131"/>
        <v/>
      </c>
      <c r="AB407" t="str">
        <f t="shared" si="132"/>
        <v>,</v>
      </c>
      <c r="AC407" t="str">
        <f t="shared" si="133"/>
        <v/>
      </c>
      <c r="AD407" t="str">
        <f t="shared" si="134"/>
        <v/>
      </c>
    </row>
    <row r="408" spans="14:30" thickBot="1" x14ac:dyDescent="0.3">
      <c r="N408">
        <f t="shared" si="127"/>
        <v>0</v>
      </c>
      <c r="O408">
        <f t="shared" si="124"/>
        <v>0</v>
      </c>
      <c r="P408">
        <f t="shared" si="125"/>
        <v>0</v>
      </c>
      <c r="Q408">
        <f t="shared" si="126"/>
        <v>0</v>
      </c>
      <c r="X408" t="str">
        <f t="shared" si="128"/>
        <v/>
      </c>
      <c r="Y408" t="str">
        <f t="shared" si="129"/>
        <v/>
      </c>
      <c r="Z408" t="str">
        <f t="shared" si="130"/>
        <v/>
      </c>
      <c r="AA408" t="str">
        <f t="shared" si="131"/>
        <v/>
      </c>
      <c r="AB408" t="str">
        <f t="shared" si="132"/>
        <v/>
      </c>
      <c r="AC408" t="str">
        <f t="shared" si="133"/>
        <v/>
      </c>
      <c r="AD408" t="str">
        <f t="shared" si="134"/>
        <v/>
      </c>
    </row>
    <row r="409" spans="14:30" thickBot="1" x14ac:dyDescent="0.3">
      <c r="N409">
        <f t="shared" si="127"/>
        <v>0</v>
      </c>
      <c r="O409">
        <f t="shared" si="124"/>
        <v>0</v>
      </c>
      <c r="P409">
        <f t="shared" si="125"/>
        <v>0</v>
      </c>
      <c r="Q409">
        <f t="shared" si="126"/>
        <v>0</v>
      </c>
      <c r="X409" t="str">
        <f t="shared" si="128"/>
        <v/>
      </c>
      <c r="Y409" t="str">
        <f t="shared" si="129"/>
        <v/>
      </c>
      <c r="Z409" t="str">
        <f t="shared" si="130"/>
        <v/>
      </c>
      <c r="AA409" t="str">
        <f t="shared" si="131"/>
        <v/>
      </c>
      <c r="AB409" t="str">
        <f t="shared" si="132"/>
        <v/>
      </c>
      <c r="AC409" t="str">
        <f t="shared" si="133"/>
        <v/>
      </c>
      <c r="AD409" t="str">
        <f t="shared" si="134"/>
        <v/>
      </c>
    </row>
    <row r="410" spans="14:30" thickBot="1" x14ac:dyDescent="0.3">
      <c r="N410">
        <f t="shared" si="127"/>
        <v>0</v>
      </c>
      <c r="O410">
        <f t="shared" si="124"/>
        <v>0</v>
      </c>
      <c r="P410">
        <f t="shared" si="125"/>
        <v>0</v>
      </c>
      <c r="Q410">
        <f t="shared" si="126"/>
        <v>0</v>
      </c>
      <c r="X410" t="str">
        <f t="shared" si="128"/>
        <v/>
      </c>
      <c r="Y410" t="str">
        <f t="shared" si="129"/>
        <v/>
      </c>
      <c r="Z410" t="str">
        <f t="shared" si="130"/>
        <v/>
      </c>
      <c r="AA410" t="str">
        <f t="shared" si="131"/>
        <v/>
      </c>
      <c r="AB410" t="str">
        <f t="shared" si="132"/>
        <v/>
      </c>
      <c r="AC410" t="str">
        <f t="shared" si="133"/>
        <v/>
      </c>
      <c r="AD410" t="str">
        <f t="shared" si="134"/>
        <v/>
      </c>
    </row>
    <row r="411" spans="14:30" thickBot="1" x14ac:dyDescent="0.3">
      <c r="N411">
        <f t="shared" si="127"/>
        <v>0</v>
      </c>
      <c r="O411">
        <f t="shared" si="124"/>
        <v>0</v>
      </c>
      <c r="P411">
        <f t="shared" si="125"/>
        <v>0</v>
      </c>
      <c r="Q411">
        <f t="shared" si="126"/>
        <v>0</v>
      </c>
      <c r="X411" t="str">
        <f t="shared" si="128"/>
        <v/>
      </c>
      <c r="Y411" t="str">
        <f t="shared" si="129"/>
        <v/>
      </c>
      <c r="Z411" t="str">
        <f t="shared" si="130"/>
        <v/>
      </c>
      <c r="AA411" t="str">
        <f t="shared" si="131"/>
        <v/>
      </c>
      <c r="AB411" t="str">
        <f t="shared" si="132"/>
        <v/>
      </c>
      <c r="AC411" t="str">
        <f t="shared" si="133"/>
        <v/>
      </c>
      <c r="AD411" t="str">
        <f t="shared" si="134"/>
        <v/>
      </c>
    </row>
    <row r="412" spans="14:30" thickBot="1" x14ac:dyDescent="0.3">
      <c r="N412">
        <f t="shared" si="127"/>
        <v>0</v>
      </c>
      <c r="O412">
        <f t="shared" si="124"/>
        <v>0</v>
      </c>
      <c r="P412">
        <f t="shared" si="125"/>
        <v>0</v>
      </c>
      <c r="Q412">
        <f t="shared" si="126"/>
        <v>0</v>
      </c>
      <c r="X412" t="str">
        <f t="shared" si="128"/>
        <v/>
      </c>
      <c r="Y412" t="str">
        <f t="shared" si="129"/>
        <v/>
      </c>
      <c r="Z412" t="str">
        <f t="shared" si="130"/>
        <v/>
      </c>
      <c r="AA412" t="str">
        <f t="shared" si="131"/>
        <v/>
      </c>
      <c r="AB412" t="str">
        <f t="shared" si="132"/>
        <v/>
      </c>
      <c r="AC412" t="str">
        <f t="shared" si="133"/>
        <v/>
      </c>
      <c r="AD412" t="str">
        <f t="shared" si="134"/>
        <v/>
      </c>
    </row>
    <row r="413" spans="14:30" thickBot="1" x14ac:dyDescent="0.3">
      <c r="N413">
        <f t="shared" si="127"/>
        <v>0</v>
      </c>
      <c r="O413">
        <f t="shared" si="124"/>
        <v>0</v>
      </c>
      <c r="P413">
        <f t="shared" si="125"/>
        <v>0</v>
      </c>
      <c r="Q413">
        <f t="shared" si="126"/>
        <v>0</v>
      </c>
      <c r="X413" t="str">
        <f t="shared" si="128"/>
        <v/>
      </c>
      <c r="Y413" t="str">
        <f t="shared" si="129"/>
        <v/>
      </c>
      <c r="Z413" t="str">
        <f t="shared" si="130"/>
        <v/>
      </c>
      <c r="AA413" t="str">
        <f t="shared" si="131"/>
        <v/>
      </c>
      <c r="AB413" t="str">
        <f t="shared" si="132"/>
        <v/>
      </c>
      <c r="AC413" t="str">
        <f t="shared" si="133"/>
        <v/>
      </c>
      <c r="AD413" t="str">
        <f t="shared" si="134"/>
        <v/>
      </c>
    </row>
    <row r="414" spans="14:30" thickBot="1" x14ac:dyDescent="0.3">
      <c r="N414">
        <f t="shared" si="127"/>
        <v>0</v>
      </c>
      <c r="O414">
        <f t="shared" si="124"/>
        <v>0</v>
      </c>
      <c r="P414">
        <f t="shared" si="125"/>
        <v>0</v>
      </c>
      <c r="Q414">
        <f t="shared" si="126"/>
        <v>0</v>
      </c>
      <c r="X414" t="str">
        <f t="shared" si="128"/>
        <v/>
      </c>
      <c r="Y414" t="str">
        <f t="shared" si="129"/>
        <v/>
      </c>
      <c r="Z414" t="str">
        <f t="shared" si="130"/>
        <v/>
      </c>
      <c r="AA414" t="str">
        <f t="shared" si="131"/>
        <v/>
      </c>
      <c r="AB414" t="str">
        <f t="shared" si="132"/>
        <v/>
      </c>
      <c r="AC414" t="str">
        <f t="shared" si="133"/>
        <v/>
      </c>
      <c r="AD414" t="str">
        <f t="shared" si="134"/>
        <v/>
      </c>
    </row>
    <row r="415" spans="14:30" thickBot="1" x14ac:dyDescent="0.3">
      <c r="N415">
        <f t="shared" si="127"/>
        <v>0</v>
      </c>
      <c r="O415">
        <f t="shared" si="124"/>
        <v>0</v>
      </c>
      <c r="P415">
        <f t="shared" si="125"/>
        <v>0</v>
      </c>
      <c r="Q415">
        <f t="shared" si="126"/>
        <v>0</v>
      </c>
      <c r="X415" t="str">
        <f t="shared" si="128"/>
        <v/>
      </c>
      <c r="Y415" t="str">
        <f t="shared" si="129"/>
        <v/>
      </c>
      <c r="Z415" t="str">
        <f t="shared" si="130"/>
        <v/>
      </c>
      <c r="AA415" t="str">
        <f t="shared" si="131"/>
        <v/>
      </c>
      <c r="AB415" t="str">
        <f t="shared" si="132"/>
        <v/>
      </c>
      <c r="AC415" t="str">
        <f t="shared" si="133"/>
        <v/>
      </c>
      <c r="AD415" t="str">
        <f t="shared" si="134"/>
        <v/>
      </c>
    </row>
    <row r="416" spans="14:30" thickBot="1" x14ac:dyDescent="0.3">
      <c r="N416">
        <f t="shared" si="127"/>
        <v>0</v>
      </c>
      <c r="O416">
        <f t="shared" si="124"/>
        <v>0</v>
      </c>
      <c r="P416">
        <f t="shared" si="125"/>
        <v>0</v>
      </c>
      <c r="Q416">
        <f t="shared" si="126"/>
        <v>0</v>
      </c>
      <c r="X416" t="str">
        <f t="shared" si="128"/>
        <v/>
      </c>
      <c r="Y416" t="str">
        <f t="shared" si="129"/>
        <v/>
      </c>
      <c r="Z416" t="str">
        <f t="shared" si="130"/>
        <v/>
      </c>
      <c r="AA416" t="str">
        <f t="shared" si="131"/>
        <v/>
      </c>
      <c r="AB416" t="str">
        <f t="shared" si="132"/>
        <v/>
      </c>
      <c r="AC416" t="str">
        <f t="shared" si="133"/>
        <v/>
      </c>
      <c r="AD416" t="str">
        <f t="shared" si="134"/>
        <v/>
      </c>
    </row>
    <row r="417" spans="14:30" thickBot="1" x14ac:dyDescent="0.3">
      <c r="N417">
        <f t="shared" si="127"/>
        <v>0</v>
      </c>
      <c r="O417">
        <f t="shared" si="124"/>
        <v>0</v>
      </c>
      <c r="P417">
        <f t="shared" si="125"/>
        <v>0</v>
      </c>
      <c r="Q417">
        <f t="shared" si="126"/>
        <v>0</v>
      </c>
      <c r="X417" t="str">
        <f t="shared" si="128"/>
        <v/>
      </c>
      <c r="Y417" t="str">
        <f t="shared" si="129"/>
        <v/>
      </c>
      <c r="Z417" t="str">
        <f t="shared" si="130"/>
        <v/>
      </c>
      <c r="AA417" t="str">
        <f t="shared" si="131"/>
        <v/>
      </c>
      <c r="AB417" t="str">
        <f t="shared" si="132"/>
        <v/>
      </c>
      <c r="AC417" t="str">
        <f t="shared" si="133"/>
        <v/>
      </c>
      <c r="AD417" t="str">
        <f t="shared" si="134"/>
        <v/>
      </c>
    </row>
    <row r="418" spans="14:30" thickBot="1" x14ac:dyDescent="0.3">
      <c r="N418">
        <f t="shared" si="127"/>
        <v>0</v>
      </c>
      <c r="O418">
        <f t="shared" si="124"/>
        <v>0</v>
      </c>
      <c r="P418">
        <f t="shared" si="125"/>
        <v>0</v>
      </c>
      <c r="Q418">
        <f t="shared" si="126"/>
        <v>0</v>
      </c>
      <c r="X418" t="str">
        <f t="shared" si="128"/>
        <v/>
      </c>
      <c r="Y418" t="str">
        <f t="shared" si="129"/>
        <v/>
      </c>
      <c r="Z418" t="str">
        <f t="shared" si="130"/>
        <v/>
      </c>
      <c r="AA418" t="str">
        <f t="shared" si="131"/>
        <v/>
      </c>
      <c r="AB418" t="str">
        <f t="shared" si="132"/>
        <v/>
      </c>
      <c r="AC418" t="str">
        <f t="shared" si="133"/>
        <v/>
      </c>
      <c r="AD418" t="str">
        <f t="shared" si="134"/>
        <v/>
      </c>
    </row>
    <row r="419" spans="14:30" thickBot="1" x14ac:dyDescent="0.3">
      <c r="N419">
        <f t="shared" si="127"/>
        <v>0</v>
      </c>
      <c r="O419">
        <f t="shared" si="124"/>
        <v>0</v>
      </c>
      <c r="P419">
        <f t="shared" si="125"/>
        <v>0</v>
      </c>
      <c r="Q419">
        <f t="shared" si="126"/>
        <v>0</v>
      </c>
      <c r="X419" t="str">
        <f t="shared" si="128"/>
        <v/>
      </c>
      <c r="Y419" t="str">
        <f t="shared" si="129"/>
        <v/>
      </c>
      <c r="Z419" t="str">
        <f t="shared" si="130"/>
        <v/>
      </c>
      <c r="AA419" t="str">
        <f t="shared" si="131"/>
        <v/>
      </c>
      <c r="AB419" t="str">
        <f t="shared" si="132"/>
        <v/>
      </c>
      <c r="AC419" t="str">
        <f t="shared" si="133"/>
        <v/>
      </c>
      <c r="AD419" t="str">
        <f t="shared" si="134"/>
        <v/>
      </c>
    </row>
    <row r="420" spans="14:30" thickBot="1" x14ac:dyDescent="0.3">
      <c r="N420">
        <f t="shared" si="127"/>
        <v>0</v>
      </c>
      <c r="O420">
        <f t="shared" si="124"/>
        <v>0</v>
      </c>
      <c r="P420">
        <f t="shared" si="125"/>
        <v>0</v>
      </c>
      <c r="Q420">
        <f t="shared" si="126"/>
        <v>0</v>
      </c>
      <c r="X420" t="str">
        <f t="shared" si="128"/>
        <v/>
      </c>
      <c r="Y420" t="str">
        <f t="shared" si="129"/>
        <v/>
      </c>
      <c r="Z420" t="str">
        <f t="shared" si="130"/>
        <v/>
      </c>
      <c r="AA420" t="str">
        <f t="shared" si="131"/>
        <v/>
      </c>
      <c r="AB420" t="str">
        <f t="shared" si="132"/>
        <v/>
      </c>
      <c r="AC420" t="str">
        <f t="shared" si="133"/>
        <v/>
      </c>
      <c r="AD420" t="str">
        <f t="shared" si="134"/>
        <v/>
      </c>
    </row>
    <row r="421" spans="14:30" thickBot="1" x14ac:dyDescent="0.3">
      <c r="N421">
        <f t="shared" si="127"/>
        <v>0</v>
      </c>
      <c r="O421">
        <f t="shared" si="124"/>
        <v>0</v>
      </c>
      <c r="P421">
        <f t="shared" si="125"/>
        <v>0</v>
      </c>
      <c r="Q421">
        <f t="shared" si="126"/>
        <v>0</v>
      </c>
      <c r="X421" t="str">
        <f t="shared" si="128"/>
        <v/>
      </c>
      <c r="Y421" t="str">
        <f t="shared" si="129"/>
        <v/>
      </c>
      <c r="Z421" t="str">
        <f t="shared" si="130"/>
        <v/>
      </c>
      <c r="AA421" t="str">
        <f t="shared" si="131"/>
        <v/>
      </c>
      <c r="AB421" t="str">
        <f t="shared" si="132"/>
        <v/>
      </c>
      <c r="AC421" t="str">
        <f t="shared" si="133"/>
        <v/>
      </c>
      <c r="AD421" t="str">
        <f t="shared" si="134"/>
        <v/>
      </c>
    </row>
    <row r="422" spans="14:30" thickBot="1" x14ac:dyDescent="0.3">
      <c r="N422">
        <f t="shared" si="127"/>
        <v>0</v>
      </c>
      <c r="O422">
        <f t="shared" si="124"/>
        <v>0</v>
      </c>
      <c r="P422">
        <f t="shared" si="125"/>
        <v>0</v>
      </c>
      <c r="Q422">
        <f t="shared" si="126"/>
        <v>0</v>
      </c>
      <c r="X422" t="str">
        <f t="shared" si="128"/>
        <v/>
      </c>
      <c r="Y422" t="str">
        <f t="shared" si="129"/>
        <v/>
      </c>
      <c r="Z422" t="str">
        <f t="shared" si="130"/>
        <v/>
      </c>
      <c r="AA422" t="str">
        <f t="shared" si="131"/>
        <v/>
      </c>
      <c r="AB422" t="str">
        <f t="shared" si="132"/>
        <v/>
      </c>
      <c r="AC422" t="str">
        <f t="shared" si="133"/>
        <v/>
      </c>
      <c r="AD422" t="str">
        <f t="shared" si="134"/>
        <v/>
      </c>
    </row>
    <row r="423" spans="14:30" thickBot="1" x14ac:dyDescent="0.3">
      <c r="N423">
        <f t="shared" si="127"/>
        <v>0</v>
      </c>
      <c r="O423">
        <f t="shared" si="124"/>
        <v>0</v>
      </c>
      <c r="P423">
        <f t="shared" si="125"/>
        <v>0</v>
      </c>
      <c r="Q423">
        <f t="shared" si="126"/>
        <v>0</v>
      </c>
      <c r="X423" t="str">
        <f t="shared" si="128"/>
        <v/>
      </c>
      <c r="Y423" t="str">
        <f t="shared" si="129"/>
        <v/>
      </c>
      <c r="Z423" t="str">
        <f t="shared" si="130"/>
        <v/>
      </c>
      <c r="AA423" t="str">
        <f t="shared" si="131"/>
        <v/>
      </c>
      <c r="AB423" t="str">
        <f t="shared" si="132"/>
        <v/>
      </c>
      <c r="AC423" t="str">
        <f t="shared" si="133"/>
        <v/>
      </c>
      <c r="AD423" t="str">
        <f t="shared" si="134"/>
        <v/>
      </c>
    </row>
    <row r="424" spans="14:30" thickBot="1" x14ac:dyDescent="0.3">
      <c r="N424">
        <f t="shared" si="127"/>
        <v>0</v>
      </c>
      <c r="O424">
        <f t="shared" si="124"/>
        <v>0</v>
      </c>
      <c r="P424">
        <f t="shared" si="125"/>
        <v>0</v>
      </c>
      <c r="Q424">
        <f t="shared" si="126"/>
        <v>0</v>
      </c>
      <c r="X424" t="str">
        <f t="shared" si="128"/>
        <v/>
      </c>
      <c r="Y424" t="str">
        <f t="shared" si="129"/>
        <v/>
      </c>
      <c r="Z424" t="str">
        <f t="shared" si="130"/>
        <v/>
      </c>
      <c r="AA424" t="str">
        <f t="shared" si="131"/>
        <v/>
      </c>
      <c r="AB424" t="str">
        <f t="shared" si="132"/>
        <v/>
      </c>
      <c r="AC424" t="str">
        <f t="shared" si="133"/>
        <v/>
      </c>
      <c r="AD424" t="str">
        <f t="shared" si="134"/>
        <v/>
      </c>
    </row>
    <row r="425" spans="14:30" thickBot="1" x14ac:dyDescent="0.3">
      <c r="N425">
        <f t="shared" si="127"/>
        <v>0</v>
      </c>
      <c r="O425">
        <f t="shared" si="124"/>
        <v>0</v>
      </c>
      <c r="P425">
        <f t="shared" si="125"/>
        <v>0</v>
      </c>
      <c r="Q425">
        <f t="shared" si="126"/>
        <v>0</v>
      </c>
      <c r="X425" t="str">
        <f t="shared" si="128"/>
        <v/>
      </c>
      <c r="Y425" t="str">
        <f t="shared" si="129"/>
        <v/>
      </c>
      <c r="Z425" t="str">
        <f t="shared" si="130"/>
        <v/>
      </c>
      <c r="AA425" t="str">
        <f t="shared" si="131"/>
        <v/>
      </c>
      <c r="AB425" t="str">
        <f t="shared" si="132"/>
        <v/>
      </c>
      <c r="AC425" t="str">
        <f t="shared" si="133"/>
        <v/>
      </c>
      <c r="AD425" t="str">
        <f t="shared" si="134"/>
        <v/>
      </c>
    </row>
    <row r="426" spans="14:30" thickBot="1" x14ac:dyDescent="0.3">
      <c r="N426">
        <f t="shared" si="127"/>
        <v>0</v>
      </c>
      <c r="O426">
        <f t="shared" si="124"/>
        <v>0</v>
      </c>
      <c r="P426">
        <f t="shared" si="125"/>
        <v>0</v>
      </c>
      <c r="Q426">
        <f t="shared" si="126"/>
        <v>0</v>
      </c>
      <c r="X426" t="str">
        <f t="shared" si="128"/>
        <v/>
      </c>
      <c r="Y426" t="str">
        <f t="shared" si="129"/>
        <v/>
      </c>
      <c r="Z426" t="str">
        <f t="shared" si="130"/>
        <v/>
      </c>
      <c r="AA426" t="str">
        <f t="shared" si="131"/>
        <v/>
      </c>
      <c r="AB426" t="str">
        <f t="shared" si="132"/>
        <v/>
      </c>
      <c r="AC426" t="str">
        <f t="shared" si="133"/>
        <v/>
      </c>
      <c r="AD426" t="str">
        <f t="shared" si="134"/>
        <v/>
      </c>
    </row>
    <row r="427" spans="14:30" thickBot="1" x14ac:dyDescent="0.3">
      <c r="N427">
        <f t="shared" si="127"/>
        <v>0</v>
      </c>
      <c r="O427">
        <f t="shared" si="124"/>
        <v>0</v>
      </c>
      <c r="P427">
        <f t="shared" si="125"/>
        <v>0</v>
      </c>
      <c r="Q427">
        <f t="shared" si="126"/>
        <v>0</v>
      </c>
      <c r="V427">
        <v>21</v>
      </c>
      <c r="X427" t="str">
        <f t="shared" si="128"/>
        <v/>
      </c>
      <c r="Y427" t="str">
        <f t="shared" si="129"/>
        <v/>
      </c>
      <c r="Z427" t="str">
        <f t="shared" si="130"/>
        <v/>
      </c>
      <c r="AA427" t="str">
        <f t="shared" si="131"/>
        <v/>
      </c>
      <c r="AB427" t="str">
        <f t="shared" si="132"/>
        <v>,</v>
      </c>
      <c r="AC427" t="str">
        <f t="shared" si="133"/>
        <v/>
      </c>
      <c r="AD427" t="str">
        <f t="shared" si="134"/>
        <v/>
      </c>
    </row>
    <row r="428" spans="14:30" thickBot="1" x14ac:dyDescent="0.3">
      <c r="N428">
        <f t="shared" si="127"/>
        <v>0</v>
      </c>
      <c r="O428">
        <f t="shared" si="124"/>
        <v>0</v>
      </c>
      <c r="P428">
        <f t="shared" si="125"/>
        <v>0</v>
      </c>
      <c r="Q428">
        <f t="shared" si="126"/>
        <v>0</v>
      </c>
      <c r="X428" t="str">
        <f t="shared" si="128"/>
        <v/>
      </c>
      <c r="Y428" t="str">
        <f t="shared" si="129"/>
        <v/>
      </c>
      <c r="Z428" t="str">
        <f t="shared" si="130"/>
        <v/>
      </c>
      <c r="AA428" t="str">
        <f t="shared" si="131"/>
        <v/>
      </c>
      <c r="AB428" t="str">
        <f t="shared" si="132"/>
        <v/>
      </c>
      <c r="AC428" t="str">
        <f t="shared" si="133"/>
        <v/>
      </c>
      <c r="AD428" t="str">
        <f t="shared" si="134"/>
        <v/>
      </c>
    </row>
    <row r="429" spans="14:30" thickBot="1" x14ac:dyDescent="0.3">
      <c r="N429">
        <f t="shared" si="127"/>
        <v>0</v>
      </c>
      <c r="O429">
        <f t="shared" si="124"/>
        <v>0</v>
      </c>
      <c r="P429">
        <f t="shared" si="125"/>
        <v>0</v>
      </c>
      <c r="Q429">
        <f t="shared" si="126"/>
        <v>0</v>
      </c>
      <c r="X429" t="str">
        <f t="shared" si="128"/>
        <v/>
      </c>
      <c r="Y429" t="str">
        <f t="shared" si="129"/>
        <v/>
      </c>
      <c r="Z429" t="str">
        <f t="shared" si="130"/>
        <v/>
      </c>
      <c r="AA429" t="str">
        <f t="shared" si="131"/>
        <v/>
      </c>
      <c r="AB429" t="str">
        <f t="shared" si="132"/>
        <v/>
      </c>
      <c r="AC429" t="str">
        <f t="shared" si="133"/>
        <v/>
      </c>
      <c r="AD429" t="str">
        <f t="shared" si="134"/>
        <v/>
      </c>
    </row>
    <row r="430" spans="14:30" thickBot="1" x14ac:dyDescent="0.3">
      <c r="N430">
        <f t="shared" si="127"/>
        <v>0</v>
      </c>
      <c r="O430">
        <f t="shared" si="124"/>
        <v>0</v>
      </c>
      <c r="P430">
        <f t="shared" si="125"/>
        <v>0</v>
      </c>
      <c r="Q430">
        <f t="shared" si="126"/>
        <v>0</v>
      </c>
      <c r="X430" t="str">
        <f t="shared" si="128"/>
        <v/>
      </c>
      <c r="Y430" t="str">
        <f t="shared" si="129"/>
        <v/>
      </c>
      <c r="Z430" t="str">
        <f t="shared" si="130"/>
        <v/>
      </c>
      <c r="AA430" t="str">
        <f t="shared" si="131"/>
        <v/>
      </c>
      <c r="AB430" t="str">
        <f t="shared" si="132"/>
        <v/>
      </c>
      <c r="AC430" t="str">
        <f t="shared" si="133"/>
        <v/>
      </c>
      <c r="AD430" t="str">
        <f t="shared" si="134"/>
        <v/>
      </c>
    </row>
    <row r="431" spans="14:30" thickBot="1" x14ac:dyDescent="0.3">
      <c r="N431">
        <f t="shared" si="127"/>
        <v>0</v>
      </c>
      <c r="O431">
        <f t="shared" si="124"/>
        <v>0</v>
      </c>
      <c r="P431">
        <f t="shared" si="125"/>
        <v>0</v>
      </c>
      <c r="Q431">
        <f t="shared" si="126"/>
        <v>0</v>
      </c>
      <c r="X431" t="str">
        <f t="shared" si="128"/>
        <v/>
      </c>
      <c r="Y431" t="str">
        <f t="shared" si="129"/>
        <v/>
      </c>
      <c r="Z431" t="str">
        <f t="shared" si="130"/>
        <v/>
      </c>
      <c r="AA431" t="str">
        <f t="shared" si="131"/>
        <v/>
      </c>
      <c r="AB431" t="str">
        <f t="shared" si="132"/>
        <v/>
      </c>
      <c r="AC431" t="str">
        <f t="shared" si="133"/>
        <v/>
      </c>
      <c r="AD431" t="str">
        <f t="shared" si="134"/>
        <v/>
      </c>
    </row>
    <row r="432" spans="14:30" thickBot="1" x14ac:dyDescent="0.3">
      <c r="N432">
        <f t="shared" si="127"/>
        <v>0</v>
      </c>
      <c r="O432">
        <f t="shared" si="124"/>
        <v>0</v>
      </c>
      <c r="P432">
        <f t="shared" si="125"/>
        <v>0</v>
      </c>
      <c r="Q432">
        <f t="shared" si="126"/>
        <v>0</v>
      </c>
      <c r="X432" t="str">
        <f t="shared" si="128"/>
        <v/>
      </c>
      <c r="Y432" t="str">
        <f t="shared" si="129"/>
        <v/>
      </c>
      <c r="Z432" t="str">
        <f t="shared" si="130"/>
        <v/>
      </c>
      <c r="AA432" t="str">
        <f t="shared" si="131"/>
        <v/>
      </c>
      <c r="AB432" t="str">
        <f t="shared" si="132"/>
        <v/>
      </c>
      <c r="AC432" t="str">
        <f t="shared" si="133"/>
        <v/>
      </c>
      <c r="AD432" t="str">
        <f t="shared" si="134"/>
        <v/>
      </c>
    </row>
    <row r="433" spans="14:30" thickBot="1" x14ac:dyDescent="0.3">
      <c r="N433">
        <f t="shared" si="127"/>
        <v>0</v>
      </c>
      <c r="O433">
        <f t="shared" si="124"/>
        <v>0</v>
      </c>
      <c r="P433">
        <f t="shared" si="125"/>
        <v>0</v>
      </c>
      <c r="Q433">
        <f t="shared" si="126"/>
        <v>0</v>
      </c>
      <c r="X433" t="str">
        <f t="shared" si="128"/>
        <v/>
      </c>
      <c r="Y433" t="str">
        <f t="shared" si="129"/>
        <v/>
      </c>
      <c r="Z433" t="str">
        <f t="shared" si="130"/>
        <v/>
      </c>
      <c r="AA433" t="str">
        <f t="shared" si="131"/>
        <v/>
      </c>
      <c r="AB433" t="str">
        <f t="shared" si="132"/>
        <v/>
      </c>
      <c r="AC433" t="str">
        <f t="shared" si="133"/>
        <v/>
      </c>
      <c r="AD433" t="str">
        <f t="shared" si="134"/>
        <v/>
      </c>
    </row>
    <row r="434" spans="14:30" thickBot="1" x14ac:dyDescent="0.3">
      <c r="N434">
        <f t="shared" si="127"/>
        <v>0</v>
      </c>
      <c r="O434">
        <f t="shared" si="124"/>
        <v>0</v>
      </c>
      <c r="P434">
        <f t="shared" si="125"/>
        <v>0</v>
      </c>
      <c r="Q434">
        <f t="shared" si="126"/>
        <v>0</v>
      </c>
      <c r="X434" t="str">
        <f t="shared" si="128"/>
        <v/>
      </c>
      <c r="Y434" t="str">
        <f t="shared" si="129"/>
        <v/>
      </c>
      <c r="Z434" t="str">
        <f t="shared" si="130"/>
        <v/>
      </c>
      <c r="AA434" t="str">
        <f t="shared" si="131"/>
        <v/>
      </c>
      <c r="AB434" t="str">
        <f t="shared" si="132"/>
        <v/>
      </c>
      <c r="AC434" t="str">
        <f t="shared" si="133"/>
        <v/>
      </c>
      <c r="AD434" t="str">
        <f t="shared" si="134"/>
        <v/>
      </c>
    </row>
    <row r="435" spans="14:30" thickBot="1" x14ac:dyDescent="0.3">
      <c r="N435">
        <f t="shared" si="127"/>
        <v>0</v>
      </c>
      <c r="O435">
        <f t="shared" si="124"/>
        <v>0</v>
      </c>
      <c r="P435">
        <f t="shared" si="125"/>
        <v>0</v>
      </c>
      <c r="Q435">
        <f t="shared" si="126"/>
        <v>0</v>
      </c>
      <c r="X435" t="str">
        <f t="shared" si="128"/>
        <v/>
      </c>
      <c r="Y435" t="str">
        <f t="shared" si="129"/>
        <v/>
      </c>
      <c r="Z435" t="str">
        <f t="shared" si="130"/>
        <v/>
      </c>
      <c r="AA435" t="str">
        <f t="shared" si="131"/>
        <v/>
      </c>
      <c r="AB435" t="str">
        <f t="shared" si="132"/>
        <v/>
      </c>
      <c r="AC435" t="str">
        <f t="shared" si="133"/>
        <v/>
      </c>
      <c r="AD435" t="str">
        <f t="shared" si="134"/>
        <v/>
      </c>
    </row>
    <row r="436" spans="14:30" thickBot="1" x14ac:dyDescent="0.3">
      <c r="N436">
        <f t="shared" si="127"/>
        <v>0</v>
      </c>
      <c r="O436">
        <f t="shared" si="124"/>
        <v>0</v>
      </c>
      <c r="P436">
        <f t="shared" si="125"/>
        <v>0</v>
      </c>
      <c r="Q436">
        <f t="shared" si="126"/>
        <v>0</v>
      </c>
      <c r="X436" t="str">
        <f t="shared" si="128"/>
        <v/>
      </c>
      <c r="Y436" t="str">
        <f t="shared" si="129"/>
        <v/>
      </c>
      <c r="Z436" t="str">
        <f t="shared" si="130"/>
        <v/>
      </c>
      <c r="AA436" t="str">
        <f t="shared" si="131"/>
        <v/>
      </c>
      <c r="AB436" t="str">
        <f t="shared" si="132"/>
        <v/>
      </c>
      <c r="AC436" t="str">
        <f t="shared" si="133"/>
        <v/>
      </c>
      <c r="AD436" t="str">
        <f t="shared" si="134"/>
        <v/>
      </c>
    </row>
    <row r="437" spans="14:30" thickBot="1" x14ac:dyDescent="0.3">
      <c r="N437">
        <f t="shared" si="127"/>
        <v>0</v>
      </c>
      <c r="O437">
        <f t="shared" si="124"/>
        <v>0</v>
      </c>
      <c r="P437">
        <f t="shared" si="125"/>
        <v>0</v>
      </c>
      <c r="Q437">
        <f t="shared" si="126"/>
        <v>0</v>
      </c>
      <c r="X437" t="str">
        <f t="shared" si="128"/>
        <v/>
      </c>
      <c r="Y437" t="str">
        <f t="shared" si="129"/>
        <v/>
      </c>
      <c r="Z437" t="str">
        <f t="shared" si="130"/>
        <v/>
      </c>
      <c r="AA437" t="str">
        <f t="shared" si="131"/>
        <v/>
      </c>
      <c r="AB437" t="str">
        <f t="shared" si="132"/>
        <v/>
      </c>
      <c r="AC437" t="str">
        <f t="shared" si="133"/>
        <v/>
      </c>
      <c r="AD437" t="str">
        <f t="shared" si="134"/>
        <v/>
      </c>
    </row>
    <row r="438" spans="14:30" thickBot="1" x14ac:dyDescent="0.3">
      <c r="N438">
        <f t="shared" si="127"/>
        <v>0</v>
      </c>
      <c r="O438">
        <f t="shared" si="124"/>
        <v>0</v>
      </c>
      <c r="P438">
        <f t="shared" si="125"/>
        <v>0</v>
      </c>
      <c r="Q438">
        <f t="shared" si="126"/>
        <v>0</v>
      </c>
      <c r="X438" t="str">
        <f t="shared" si="128"/>
        <v/>
      </c>
      <c r="Y438" t="str">
        <f t="shared" si="129"/>
        <v/>
      </c>
      <c r="Z438" t="str">
        <f t="shared" si="130"/>
        <v/>
      </c>
      <c r="AA438" t="str">
        <f t="shared" si="131"/>
        <v/>
      </c>
      <c r="AB438" t="str">
        <f t="shared" si="132"/>
        <v/>
      </c>
      <c r="AC438" t="str">
        <f t="shared" si="133"/>
        <v/>
      </c>
      <c r="AD438" t="str">
        <f t="shared" si="134"/>
        <v/>
      </c>
    </row>
    <row r="439" spans="14:30" thickBot="1" x14ac:dyDescent="0.3">
      <c r="N439">
        <f t="shared" si="127"/>
        <v>0</v>
      </c>
      <c r="O439">
        <f t="shared" si="124"/>
        <v>0</v>
      </c>
      <c r="P439">
        <f t="shared" si="125"/>
        <v>0</v>
      </c>
      <c r="Q439">
        <f t="shared" si="126"/>
        <v>0</v>
      </c>
      <c r="X439" t="str">
        <f t="shared" si="128"/>
        <v/>
      </c>
      <c r="Y439" t="str">
        <f t="shared" si="129"/>
        <v/>
      </c>
      <c r="Z439" t="str">
        <f t="shared" si="130"/>
        <v/>
      </c>
      <c r="AA439" t="str">
        <f t="shared" si="131"/>
        <v/>
      </c>
      <c r="AB439" t="str">
        <f t="shared" si="132"/>
        <v/>
      </c>
      <c r="AC439" t="str">
        <f t="shared" si="133"/>
        <v/>
      </c>
      <c r="AD439" t="str">
        <f t="shared" si="134"/>
        <v/>
      </c>
    </row>
    <row r="440" spans="14:30" thickBot="1" x14ac:dyDescent="0.3">
      <c r="N440">
        <f t="shared" si="127"/>
        <v>0</v>
      </c>
      <c r="O440">
        <f t="shared" si="124"/>
        <v>0</v>
      </c>
      <c r="P440">
        <f t="shared" si="125"/>
        <v>0</v>
      </c>
      <c r="Q440">
        <f t="shared" si="126"/>
        <v>0</v>
      </c>
      <c r="X440" t="str">
        <f t="shared" si="128"/>
        <v/>
      </c>
      <c r="Y440" t="str">
        <f t="shared" si="129"/>
        <v/>
      </c>
      <c r="Z440" t="str">
        <f t="shared" si="130"/>
        <v/>
      </c>
      <c r="AA440" t="str">
        <f t="shared" si="131"/>
        <v/>
      </c>
      <c r="AB440" t="str">
        <f t="shared" si="132"/>
        <v/>
      </c>
      <c r="AC440" t="str">
        <f t="shared" si="133"/>
        <v/>
      </c>
      <c r="AD440" t="str">
        <f t="shared" si="134"/>
        <v/>
      </c>
    </row>
    <row r="441" spans="14:30" thickBot="1" x14ac:dyDescent="0.3">
      <c r="N441">
        <f t="shared" si="127"/>
        <v>0</v>
      </c>
      <c r="O441">
        <f t="shared" si="124"/>
        <v>0</v>
      </c>
      <c r="P441">
        <f t="shared" si="125"/>
        <v>0</v>
      </c>
      <c r="Q441">
        <f t="shared" si="126"/>
        <v>0</v>
      </c>
      <c r="X441" t="str">
        <f t="shared" si="128"/>
        <v/>
      </c>
      <c r="Y441" t="str">
        <f t="shared" si="129"/>
        <v/>
      </c>
      <c r="Z441" t="str">
        <f t="shared" si="130"/>
        <v/>
      </c>
      <c r="AA441" t="str">
        <f t="shared" si="131"/>
        <v/>
      </c>
      <c r="AB441" t="str">
        <f t="shared" si="132"/>
        <v/>
      </c>
      <c r="AC441" t="str">
        <f t="shared" si="133"/>
        <v/>
      </c>
      <c r="AD441" t="str">
        <f t="shared" si="134"/>
        <v/>
      </c>
    </row>
    <row r="442" spans="14:30" thickBot="1" x14ac:dyDescent="0.3">
      <c r="N442">
        <f t="shared" si="127"/>
        <v>0</v>
      </c>
      <c r="O442">
        <f t="shared" si="124"/>
        <v>0</v>
      </c>
      <c r="P442">
        <f t="shared" si="125"/>
        <v>0</v>
      </c>
      <c r="Q442">
        <f t="shared" si="126"/>
        <v>0</v>
      </c>
      <c r="X442" t="str">
        <f t="shared" si="128"/>
        <v/>
      </c>
      <c r="Y442" t="str">
        <f t="shared" si="129"/>
        <v/>
      </c>
      <c r="Z442" t="str">
        <f t="shared" si="130"/>
        <v/>
      </c>
      <c r="AA442" t="str">
        <f t="shared" si="131"/>
        <v/>
      </c>
      <c r="AB442" t="str">
        <f t="shared" si="132"/>
        <v/>
      </c>
      <c r="AC442" t="str">
        <f t="shared" si="133"/>
        <v/>
      </c>
      <c r="AD442" t="str">
        <f t="shared" si="134"/>
        <v/>
      </c>
    </row>
    <row r="443" spans="14:30" thickBot="1" x14ac:dyDescent="0.3">
      <c r="N443">
        <f t="shared" si="127"/>
        <v>0</v>
      </c>
      <c r="O443">
        <f t="shared" si="124"/>
        <v>0</v>
      </c>
      <c r="P443">
        <f t="shared" si="125"/>
        <v>0</v>
      </c>
      <c r="Q443">
        <f t="shared" si="126"/>
        <v>0</v>
      </c>
      <c r="X443" t="str">
        <f t="shared" si="128"/>
        <v/>
      </c>
      <c r="Y443" t="str">
        <f t="shared" si="129"/>
        <v/>
      </c>
      <c r="Z443" t="str">
        <f t="shared" si="130"/>
        <v/>
      </c>
      <c r="AA443" t="str">
        <f t="shared" si="131"/>
        <v/>
      </c>
      <c r="AB443" t="str">
        <f t="shared" si="132"/>
        <v/>
      </c>
      <c r="AC443" t="str">
        <f t="shared" si="133"/>
        <v/>
      </c>
      <c r="AD443" t="str">
        <f t="shared" si="134"/>
        <v/>
      </c>
    </row>
    <row r="444" spans="14:30" thickBot="1" x14ac:dyDescent="0.3">
      <c r="N444">
        <f t="shared" si="127"/>
        <v>0</v>
      </c>
      <c r="O444">
        <f t="shared" si="124"/>
        <v>0</v>
      </c>
      <c r="P444">
        <f t="shared" si="125"/>
        <v>0</v>
      </c>
      <c r="Q444">
        <f t="shared" si="126"/>
        <v>0</v>
      </c>
      <c r="X444" t="str">
        <f t="shared" si="128"/>
        <v/>
      </c>
      <c r="Y444" t="str">
        <f t="shared" si="129"/>
        <v/>
      </c>
      <c r="Z444" t="str">
        <f t="shared" si="130"/>
        <v/>
      </c>
      <c r="AA444" t="str">
        <f t="shared" si="131"/>
        <v/>
      </c>
      <c r="AB444" t="str">
        <f t="shared" si="132"/>
        <v/>
      </c>
      <c r="AC444" t="str">
        <f t="shared" si="133"/>
        <v/>
      </c>
      <c r="AD444" t="str">
        <f t="shared" si="134"/>
        <v/>
      </c>
    </row>
    <row r="445" spans="14:30" thickBot="1" x14ac:dyDescent="0.3">
      <c r="N445">
        <f t="shared" si="127"/>
        <v>0</v>
      </c>
      <c r="O445">
        <f t="shared" si="124"/>
        <v>0</v>
      </c>
      <c r="P445">
        <f t="shared" si="125"/>
        <v>0</v>
      </c>
      <c r="Q445">
        <f t="shared" si="126"/>
        <v>0</v>
      </c>
      <c r="X445" t="str">
        <f t="shared" si="128"/>
        <v/>
      </c>
      <c r="Y445" t="str">
        <f t="shared" si="129"/>
        <v/>
      </c>
      <c r="Z445" t="str">
        <f t="shared" si="130"/>
        <v/>
      </c>
      <c r="AA445" t="str">
        <f t="shared" si="131"/>
        <v/>
      </c>
      <c r="AB445" t="str">
        <f t="shared" si="132"/>
        <v/>
      </c>
      <c r="AC445" t="str">
        <f t="shared" si="133"/>
        <v/>
      </c>
      <c r="AD445" t="str">
        <f t="shared" si="134"/>
        <v/>
      </c>
    </row>
    <row r="446" spans="14:30" thickBot="1" x14ac:dyDescent="0.3">
      <c r="N446">
        <f t="shared" si="127"/>
        <v>0</v>
      </c>
      <c r="O446">
        <f t="shared" si="124"/>
        <v>0</v>
      </c>
      <c r="P446">
        <f t="shared" si="125"/>
        <v>0</v>
      </c>
      <c r="Q446">
        <f t="shared" si="126"/>
        <v>0</v>
      </c>
      <c r="X446" t="str">
        <f t="shared" si="128"/>
        <v/>
      </c>
      <c r="Y446" t="str">
        <f t="shared" si="129"/>
        <v/>
      </c>
      <c r="Z446" t="str">
        <f t="shared" si="130"/>
        <v/>
      </c>
      <c r="AA446" t="str">
        <f t="shared" si="131"/>
        <v/>
      </c>
      <c r="AB446" t="str">
        <f t="shared" si="132"/>
        <v/>
      </c>
      <c r="AC446" t="str">
        <f t="shared" si="133"/>
        <v/>
      </c>
      <c r="AD446" t="str">
        <f t="shared" si="134"/>
        <v/>
      </c>
    </row>
    <row r="447" spans="14:30" thickBot="1" x14ac:dyDescent="0.3">
      <c r="N447">
        <f t="shared" si="127"/>
        <v>0</v>
      </c>
      <c r="O447">
        <f t="shared" si="124"/>
        <v>0</v>
      </c>
      <c r="P447">
        <f t="shared" si="125"/>
        <v>0</v>
      </c>
      <c r="Q447">
        <f t="shared" si="126"/>
        <v>0</v>
      </c>
      <c r="V447">
        <v>22</v>
      </c>
      <c r="X447" t="str">
        <f t="shared" si="128"/>
        <v/>
      </c>
      <c r="Y447" t="str">
        <f t="shared" si="129"/>
        <v/>
      </c>
      <c r="Z447" t="str">
        <f t="shared" si="130"/>
        <v/>
      </c>
      <c r="AA447" t="str">
        <f t="shared" si="131"/>
        <v/>
      </c>
      <c r="AB447" t="str">
        <f t="shared" si="132"/>
        <v>,</v>
      </c>
      <c r="AC447" t="str">
        <f t="shared" si="133"/>
        <v/>
      </c>
      <c r="AD447" t="str">
        <f t="shared" si="134"/>
        <v/>
      </c>
    </row>
    <row r="448" spans="14:30" thickBot="1" x14ac:dyDescent="0.3">
      <c r="N448">
        <f t="shared" si="127"/>
        <v>0</v>
      </c>
      <c r="O448">
        <f t="shared" si="124"/>
        <v>0</v>
      </c>
      <c r="P448">
        <f t="shared" si="125"/>
        <v>0</v>
      </c>
      <c r="Q448">
        <f t="shared" si="126"/>
        <v>0</v>
      </c>
      <c r="X448" t="str">
        <f t="shared" si="128"/>
        <v/>
      </c>
      <c r="Y448" t="str">
        <f t="shared" si="129"/>
        <v/>
      </c>
      <c r="Z448" t="str">
        <f t="shared" si="130"/>
        <v/>
      </c>
      <c r="AA448" t="str">
        <f t="shared" si="131"/>
        <v/>
      </c>
      <c r="AB448" t="str">
        <f t="shared" si="132"/>
        <v/>
      </c>
      <c r="AC448" t="str">
        <f t="shared" si="133"/>
        <v/>
      </c>
      <c r="AD448" t="str">
        <f t="shared" si="134"/>
        <v/>
      </c>
    </row>
    <row r="449" spans="14:30" thickBot="1" x14ac:dyDescent="0.3">
      <c r="N449">
        <f t="shared" si="127"/>
        <v>0</v>
      </c>
      <c r="O449">
        <f t="shared" ref="O449:O512" si="135">B449</f>
        <v>0</v>
      </c>
      <c r="P449">
        <f t="shared" ref="P449:P512" si="136">C449</f>
        <v>0</v>
      </c>
      <c r="Q449">
        <f t="shared" ref="Q449:Q512" si="137">D449</f>
        <v>0</v>
      </c>
      <c r="X449" t="str">
        <f t="shared" si="128"/>
        <v/>
      </c>
      <c r="Y449" t="str">
        <f t="shared" si="129"/>
        <v/>
      </c>
      <c r="Z449" t="str">
        <f t="shared" si="130"/>
        <v/>
      </c>
      <c r="AA449" t="str">
        <f t="shared" si="131"/>
        <v/>
      </c>
      <c r="AB449" t="str">
        <f t="shared" si="132"/>
        <v/>
      </c>
      <c r="AC449" t="str">
        <f t="shared" si="133"/>
        <v/>
      </c>
      <c r="AD449" t="str">
        <f t="shared" si="134"/>
        <v/>
      </c>
    </row>
    <row r="450" spans="14:30" thickBot="1" x14ac:dyDescent="0.3">
      <c r="N450">
        <f t="shared" ref="N450:N513" si="138">A450</f>
        <v>0</v>
      </c>
      <c r="O450">
        <f t="shared" si="135"/>
        <v>0</v>
      </c>
      <c r="P450">
        <f t="shared" si="136"/>
        <v>0</v>
      </c>
      <c r="Q450">
        <f t="shared" si="137"/>
        <v>0</v>
      </c>
      <c r="X450" t="str">
        <f t="shared" si="128"/>
        <v/>
      </c>
      <c r="Y450" t="str">
        <f t="shared" si="129"/>
        <v/>
      </c>
      <c r="Z450" t="str">
        <f t="shared" si="130"/>
        <v/>
      </c>
      <c r="AA450" t="str">
        <f t="shared" si="131"/>
        <v/>
      </c>
      <c r="AB450" t="str">
        <f t="shared" si="132"/>
        <v/>
      </c>
      <c r="AC450" t="str">
        <f t="shared" si="133"/>
        <v/>
      </c>
      <c r="AD450" t="str">
        <f t="shared" si="134"/>
        <v/>
      </c>
    </row>
    <row r="451" spans="14:30" thickBot="1" x14ac:dyDescent="0.3">
      <c r="N451">
        <f t="shared" si="138"/>
        <v>0</v>
      </c>
      <c r="O451">
        <f t="shared" si="135"/>
        <v>0</v>
      </c>
      <c r="P451">
        <f t="shared" si="136"/>
        <v>0</v>
      </c>
      <c r="Q451">
        <f t="shared" si="137"/>
        <v>0</v>
      </c>
      <c r="X451" t="str">
        <f t="shared" si="128"/>
        <v/>
      </c>
      <c r="Y451" t="str">
        <f t="shared" si="129"/>
        <v/>
      </c>
      <c r="Z451" t="str">
        <f t="shared" si="130"/>
        <v/>
      </c>
      <c r="AA451" t="str">
        <f t="shared" si="131"/>
        <v/>
      </c>
      <c r="AB451" t="str">
        <f t="shared" si="132"/>
        <v/>
      </c>
      <c r="AC451" t="str">
        <f t="shared" si="133"/>
        <v/>
      </c>
      <c r="AD451" t="str">
        <f t="shared" si="134"/>
        <v/>
      </c>
    </row>
    <row r="452" spans="14:30" thickBot="1" x14ac:dyDescent="0.3">
      <c r="N452">
        <f t="shared" si="138"/>
        <v>0</v>
      </c>
      <c r="O452">
        <f t="shared" si="135"/>
        <v>0</v>
      </c>
      <c r="P452">
        <f t="shared" si="136"/>
        <v>0</v>
      </c>
      <c r="Q452">
        <f t="shared" si="137"/>
        <v>0</v>
      </c>
      <c r="X452" t="str">
        <f t="shared" si="128"/>
        <v/>
      </c>
      <c r="Y452" t="str">
        <f t="shared" si="129"/>
        <v/>
      </c>
      <c r="Z452" t="str">
        <f t="shared" si="130"/>
        <v/>
      </c>
      <c r="AA452" t="str">
        <f t="shared" si="131"/>
        <v/>
      </c>
      <c r="AB452" t="str">
        <f t="shared" si="132"/>
        <v/>
      </c>
      <c r="AC452" t="str">
        <f t="shared" si="133"/>
        <v/>
      </c>
      <c r="AD452" t="str">
        <f t="shared" si="134"/>
        <v/>
      </c>
    </row>
    <row r="453" spans="14:30" thickBot="1" x14ac:dyDescent="0.3">
      <c r="N453">
        <f t="shared" si="138"/>
        <v>0</v>
      </c>
      <c r="O453">
        <f t="shared" si="135"/>
        <v>0</v>
      </c>
      <c r="P453">
        <f t="shared" si="136"/>
        <v>0</v>
      </c>
      <c r="Q453">
        <f t="shared" si="137"/>
        <v>0</v>
      </c>
      <c r="X453" t="str">
        <f t="shared" si="128"/>
        <v/>
      </c>
      <c r="Y453" t="str">
        <f t="shared" si="129"/>
        <v/>
      </c>
      <c r="Z453" t="str">
        <f t="shared" si="130"/>
        <v/>
      </c>
      <c r="AA453" t="str">
        <f t="shared" si="131"/>
        <v/>
      </c>
      <c r="AB453" t="str">
        <f t="shared" si="132"/>
        <v/>
      </c>
      <c r="AC453" t="str">
        <f t="shared" si="133"/>
        <v/>
      </c>
      <c r="AD453" t="str">
        <f t="shared" si="134"/>
        <v/>
      </c>
    </row>
    <row r="454" spans="14:30" thickBot="1" x14ac:dyDescent="0.3">
      <c r="N454">
        <f t="shared" si="138"/>
        <v>0</v>
      </c>
      <c r="O454">
        <f t="shared" si="135"/>
        <v>0</v>
      </c>
      <c r="P454">
        <f t="shared" si="136"/>
        <v>0</v>
      </c>
      <c r="Q454">
        <f t="shared" si="137"/>
        <v>0</v>
      </c>
      <c r="X454" t="str">
        <f t="shared" si="128"/>
        <v/>
      </c>
      <c r="Y454" t="str">
        <f t="shared" si="129"/>
        <v/>
      </c>
      <c r="Z454" t="str">
        <f t="shared" si="130"/>
        <v/>
      </c>
      <c r="AA454" t="str">
        <f t="shared" si="131"/>
        <v/>
      </c>
      <c r="AB454" t="str">
        <f t="shared" si="132"/>
        <v/>
      </c>
      <c r="AC454" t="str">
        <f t="shared" si="133"/>
        <v/>
      </c>
      <c r="AD454" t="str">
        <f t="shared" si="134"/>
        <v/>
      </c>
    </row>
    <row r="455" spans="14:30" thickBot="1" x14ac:dyDescent="0.3">
      <c r="N455">
        <f t="shared" si="138"/>
        <v>0</v>
      </c>
      <c r="O455">
        <f t="shared" si="135"/>
        <v>0</v>
      </c>
      <c r="P455">
        <f t="shared" si="136"/>
        <v>0</v>
      </c>
      <c r="Q455">
        <f t="shared" si="137"/>
        <v>0</v>
      </c>
      <c r="X455" t="str">
        <f t="shared" si="128"/>
        <v/>
      </c>
      <c r="Y455" t="str">
        <f t="shared" si="129"/>
        <v/>
      </c>
      <c r="Z455" t="str">
        <f t="shared" si="130"/>
        <v/>
      </c>
      <c r="AA455" t="str">
        <f t="shared" si="131"/>
        <v/>
      </c>
      <c r="AB455" t="str">
        <f t="shared" si="132"/>
        <v/>
      </c>
      <c r="AC455" t="str">
        <f t="shared" si="133"/>
        <v/>
      </c>
      <c r="AD455" t="str">
        <f t="shared" si="134"/>
        <v/>
      </c>
    </row>
    <row r="456" spans="14:30" thickBot="1" x14ac:dyDescent="0.3">
      <c r="N456">
        <f t="shared" si="138"/>
        <v>0</v>
      </c>
      <c r="O456">
        <f t="shared" si="135"/>
        <v>0</v>
      </c>
      <c r="P456">
        <f t="shared" si="136"/>
        <v>0</v>
      </c>
      <c r="Q456">
        <f t="shared" si="137"/>
        <v>0</v>
      </c>
      <c r="X456" t="str">
        <f t="shared" ref="X456:X519" si="139">IF(R456="","",",")</f>
        <v/>
      </c>
      <c r="Y456" t="str">
        <f t="shared" ref="Y456:Y519" si="140">IF(S456="","",",")</f>
        <v/>
      </c>
      <c r="Z456" t="str">
        <f t="shared" ref="Z456:Z519" si="141">IF(T456="","",",")</f>
        <v/>
      </c>
      <c r="AA456" t="str">
        <f t="shared" ref="AA456:AA519" si="142">IF(U456="","",",")</f>
        <v/>
      </c>
      <c r="AB456" t="str">
        <f t="shared" ref="AB456:AB519" si="143">IF(V456="","",",")</f>
        <v/>
      </c>
      <c r="AC456" t="str">
        <f t="shared" ref="AC456:AC519" si="144">IF(W456="","",",")</f>
        <v/>
      </c>
      <c r="AD456" t="str">
        <f t="shared" ref="AD456:AD519" si="145">IF(X456="","",",")</f>
        <v/>
      </c>
    </row>
    <row r="457" spans="14:30" thickBot="1" x14ac:dyDescent="0.3">
      <c r="N457">
        <f t="shared" si="138"/>
        <v>0</v>
      </c>
      <c r="O457">
        <f t="shared" si="135"/>
        <v>0</v>
      </c>
      <c r="P457">
        <f t="shared" si="136"/>
        <v>0</v>
      </c>
      <c r="Q457">
        <f t="shared" si="137"/>
        <v>0</v>
      </c>
      <c r="X457" t="str">
        <f t="shared" si="139"/>
        <v/>
      </c>
      <c r="Y457" t="str">
        <f t="shared" si="140"/>
        <v/>
      </c>
      <c r="Z457" t="str">
        <f t="shared" si="141"/>
        <v/>
      </c>
      <c r="AA457" t="str">
        <f t="shared" si="142"/>
        <v/>
      </c>
      <c r="AB457" t="str">
        <f t="shared" si="143"/>
        <v/>
      </c>
      <c r="AC457" t="str">
        <f t="shared" si="144"/>
        <v/>
      </c>
      <c r="AD457" t="str">
        <f t="shared" si="145"/>
        <v/>
      </c>
    </row>
    <row r="458" spans="14:30" thickBot="1" x14ac:dyDescent="0.3">
      <c r="N458">
        <f t="shared" si="138"/>
        <v>0</v>
      </c>
      <c r="O458">
        <f t="shared" si="135"/>
        <v>0</v>
      </c>
      <c r="P458">
        <f t="shared" si="136"/>
        <v>0</v>
      </c>
      <c r="Q458">
        <f t="shared" si="137"/>
        <v>0</v>
      </c>
      <c r="X458" t="str">
        <f t="shared" si="139"/>
        <v/>
      </c>
      <c r="Y458" t="str">
        <f t="shared" si="140"/>
        <v/>
      </c>
      <c r="Z458" t="str">
        <f t="shared" si="141"/>
        <v/>
      </c>
      <c r="AA458" t="str">
        <f t="shared" si="142"/>
        <v/>
      </c>
      <c r="AB458" t="str">
        <f t="shared" si="143"/>
        <v/>
      </c>
      <c r="AC458" t="str">
        <f t="shared" si="144"/>
        <v/>
      </c>
      <c r="AD458" t="str">
        <f t="shared" si="145"/>
        <v/>
      </c>
    </row>
    <row r="459" spans="14:30" thickBot="1" x14ac:dyDescent="0.3">
      <c r="N459">
        <f t="shared" si="138"/>
        <v>0</v>
      </c>
      <c r="O459">
        <f t="shared" si="135"/>
        <v>0</v>
      </c>
      <c r="P459">
        <f t="shared" si="136"/>
        <v>0</v>
      </c>
      <c r="Q459">
        <f t="shared" si="137"/>
        <v>0</v>
      </c>
      <c r="X459" t="str">
        <f t="shared" si="139"/>
        <v/>
      </c>
      <c r="Y459" t="str">
        <f t="shared" si="140"/>
        <v/>
      </c>
      <c r="Z459" t="str">
        <f t="shared" si="141"/>
        <v/>
      </c>
      <c r="AA459" t="str">
        <f t="shared" si="142"/>
        <v/>
      </c>
      <c r="AB459" t="str">
        <f t="shared" si="143"/>
        <v/>
      </c>
      <c r="AC459" t="str">
        <f t="shared" si="144"/>
        <v/>
      </c>
      <c r="AD459" t="str">
        <f t="shared" si="145"/>
        <v/>
      </c>
    </row>
    <row r="460" spans="14:30" thickBot="1" x14ac:dyDescent="0.3">
      <c r="N460">
        <f t="shared" si="138"/>
        <v>0</v>
      </c>
      <c r="O460">
        <f t="shared" si="135"/>
        <v>0</v>
      </c>
      <c r="P460">
        <f t="shared" si="136"/>
        <v>0</v>
      </c>
      <c r="Q460">
        <f t="shared" si="137"/>
        <v>0</v>
      </c>
      <c r="X460" t="str">
        <f t="shared" si="139"/>
        <v/>
      </c>
      <c r="Y460" t="str">
        <f t="shared" si="140"/>
        <v/>
      </c>
      <c r="Z460" t="str">
        <f t="shared" si="141"/>
        <v/>
      </c>
      <c r="AA460" t="str">
        <f t="shared" si="142"/>
        <v/>
      </c>
      <c r="AB460" t="str">
        <f t="shared" si="143"/>
        <v/>
      </c>
      <c r="AC460" t="str">
        <f t="shared" si="144"/>
        <v/>
      </c>
      <c r="AD460" t="str">
        <f t="shared" si="145"/>
        <v/>
      </c>
    </row>
    <row r="461" spans="14:30" thickBot="1" x14ac:dyDescent="0.3">
      <c r="N461">
        <f t="shared" si="138"/>
        <v>0</v>
      </c>
      <c r="O461">
        <f t="shared" si="135"/>
        <v>0</v>
      </c>
      <c r="P461">
        <f t="shared" si="136"/>
        <v>0</v>
      </c>
      <c r="Q461">
        <f t="shared" si="137"/>
        <v>0</v>
      </c>
      <c r="X461" t="str">
        <f t="shared" si="139"/>
        <v/>
      </c>
      <c r="Y461" t="str">
        <f t="shared" si="140"/>
        <v/>
      </c>
      <c r="Z461" t="str">
        <f t="shared" si="141"/>
        <v/>
      </c>
      <c r="AA461" t="str">
        <f t="shared" si="142"/>
        <v/>
      </c>
      <c r="AB461" t="str">
        <f t="shared" si="143"/>
        <v/>
      </c>
      <c r="AC461" t="str">
        <f t="shared" si="144"/>
        <v/>
      </c>
      <c r="AD461" t="str">
        <f t="shared" si="145"/>
        <v/>
      </c>
    </row>
    <row r="462" spans="14:30" thickBot="1" x14ac:dyDescent="0.3">
      <c r="N462">
        <f t="shared" si="138"/>
        <v>0</v>
      </c>
      <c r="O462">
        <f t="shared" si="135"/>
        <v>0</v>
      </c>
      <c r="P462">
        <f t="shared" si="136"/>
        <v>0</v>
      </c>
      <c r="Q462">
        <f t="shared" si="137"/>
        <v>0</v>
      </c>
      <c r="X462" t="str">
        <f t="shared" si="139"/>
        <v/>
      </c>
      <c r="Y462" t="str">
        <f t="shared" si="140"/>
        <v/>
      </c>
      <c r="Z462" t="str">
        <f t="shared" si="141"/>
        <v/>
      </c>
      <c r="AA462" t="str">
        <f t="shared" si="142"/>
        <v/>
      </c>
      <c r="AB462" t="str">
        <f t="shared" si="143"/>
        <v/>
      </c>
      <c r="AC462" t="str">
        <f t="shared" si="144"/>
        <v/>
      </c>
      <c r="AD462" t="str">
        <f t="shared" si="145"/>
        <v/>
      </c>
    </row>
    <row r="463" spans="14:30" thickBot="1" x14ac:dyDescent="0.3">
      <c r="N463">
        <f t="shared" si="138"/>
        <v>0</v>
      </c>
      <c r="O463">
        <f t="shared" si="135"/>
        <v>0</v>
      </c>
      <c r="P463">
        <f t="shared" si="136"/>
        <v>0</v>
      </c>
      <c r="Q463">
        <f t="shared" si="137"/>
        <v>0</v>
      </c>
      <c r="X463" t="str">
        <f t="shared" si="139"/>
        <v/>
      </c>
      <c r="Y463" t="str">
        <f t="shared" si="140"/>
        <v/>
      </c>
      <c r="Z463" t="str">
        <f t="shared" si="141"/>
        <v/>
      </c>
      <c r="AA463" t="str">
        <f t="shared" si="142"/>
        <v/>
      </c>
      <c r="AB463" t="str">
        <f t="shared" si="143"/>
        <v/>
      </c>
      <c r="AC463" t="str">
        <f t="shared" si="144"/>
        <v/>
      </c>
      <c r="AD463" t="str">
        <f t="shared" si="145"/>
        <v/>
      </c>
    </row>
    <row r="464" spans="14:30" thickBot="1" x14ac:dyDescent="0.3">
      <c r="N464">
        <f t="shared" si="138"/>
        <v>0</v>
      </c>
      <c r="O464">
        <f t="shared" si="135"/>
        <v>0</v>
      </c>
      <c r="P464">
        <f t="shared" si="136"/>
        <v>0</v>
      </c>
      <c r="Q464">
        <f t="shared" si="137"/>
        <v>0</v>
      </c>
      <c r="X464" t="str">
        <f t="shared" si="139"/>
        <v/>
      </c>
      <c r="Y464" t="str">
        <f t="shared" si="140"/>
        <v/>
      </c>
      <c r="Z464" t="str">
        <f t="shared" si="141"/>
        <v/>
      </c>
      <c r="AA464" t="str">
        <f t="shared" si="142"/>
        <v/>
      </c>
      <c r="AB464" t="str">
        <f t="shared" si="143"/>
        <v/>
      </c>
      <c r="AC464" t="str">
        <f t="shared" si="144"/>
        <v/>
      </c>
      <c r="AD464" t="str">
        <f t="shared" si="145"/>
        <v/>
      </c>
    </row>
    <row r="465" spans="14:30" thickBot="1" x14ac:dyDescent="0.3">
      <c r="N465">
        <f t="shared" si="138"/>
        <v>0</v>
      </c>
      <c r="O465">
        <f t="shared" si="135"/>
        <v>0</v>
      </c>
      <c r="P465">
        <f t="shared" si="136"/>
        <v>0</v>
      </c>
      <c r="Q465">
        <f t="shared" si="137"/>
        <v>0</v>
      </c>
      <c r="X465" t="str">
        <f t="shared" si="139"/>
        <v/>
      </c>
      <c r="Y465" t="str">
        <f t="shared" si="140"/>
        <v/>
      </c>
      <c r="Z465" t="str">
        <f t="shared" si="141"/>
        <v/>
      </c>
      <c r="AA465" t="str">
        <f t="shared" si="142"/>
        <v/>
      </c>
      <c r="AB465" t="str">
        <f t="shared" si="143"/>
        <v/>
      </c>
      <c r="AC465" t="str">
        <f t="shared" si="144"/>
        <v/>
      </c>
      <c r="AD465" t="str">
        <f t="shared" si="145"/>
        <v/>
      </c>
    </row>
    <row r="466" spans="14:30" thickBot="1" x14ac:dyDescent="0.3">
      <c r="N466">
        <f t="shared" si="138"/>
        <v>0</v>
      </c>
      <c r="O466">
        <f t="shared" si="135"/>
        <v>0</v>
      </c>
      <c r="P466">
        <f t="shared" si="136"/>
        <v>0</v>
      </c>
      <c r="Q466">
        <f t="shared" si="137"/>
        <v>0</v>
      </c>
      <c r="X466" t="str">
        <f t="shared" si="139"/>
        <v/>
      </c>
      <c r="Y466" t="str">
        <f t="shared" si="140"/>
        <v/>
      </c>
      <c r="Z466" t="str">
        <f t="shared" si="141"/>
        <v/>
      </c>
      <c r="AA466" t="str">
        <f t="shared" si="142"/>
        <v/>
      </c>
      <c r="AB466" t="str">
        <f t="shared" si="143"/>
        <v/>
      </c>
      <c r="AC466" t="str">
        <f t="shared" si="144"/>
        <v/>
      </c>
      <c r="AD466" t="str">
        <f t="shared" si="145"/>
        <v/>
      </c>
    </row>
    <row r="467" spans="14:30" thickBot="1" x14ac:dyDescent="0.3">
      <c r="N467">
        <f t="shared" si="138"/>
        <v>0</v>
      </c>
      <c r="O467">
        <f t="shared" si="135"/>
        <v>0</v>
      </c>
      <c r="P467">
        <f t="shared" si="136"/>
        <v>0</v>
      </c>
      <c r="Q467">
        <f t="shared" si="137"/>
        <v>0</v>
      </c>
      <c r="V467">
        <v>23</v>
      </c>
      <c r="X467" t="str">
        <f t="shared" si="139"/>
        <v/>
      </c>
      <c r="Y467" t="str">
        <f t="shared" si="140"/>
        <v/>
      </c>
      <c r="Z467" t="str">
        <f t="shared" si="141"/>
        <v/>
      </c>
      <c r="AA467" t="str">
        <f t="shared" si="142"/>
        <v/>
      </c>
      <c r="AB467" t="str">
        <f t="shared" si="143"/>
        <v>,</v>
      </c>
      <c r="AC467" t="str">
        <f t="shared" si="144"/>
        <v/>
      </c>
      <c r="AD467" t="str">
        <f t="shared" si="145"/>
        <v/>
      </c>
    </row>
    <row r="468" spans="14:30" thickBot="1" x14ac:dyDescent="0.3">
      <c r="N468">
        <f t="shared" si="138"/>
        <v>0</v>
      </c>
      <c r="O468">
        <f t="shared" si="135"/>
        <v>0</v>
      </c>
      <c r="P468">
        <f t="shared" si="136"/>
        <v>0</v>
      </c>
      <c r="Q468">
        <f t="shared" si="137"/>
        <v>0</v>
      </c>
      <c r="X468" t="str">
        <f t="shared" si="139"/>
        <v/>
      </c>
      <c r="Y468" t="str">
        <f t="shared" si="140"/>
        <v/>
      </c>
      <c r="Z468" t="str">
        <f t="shared" si="141"/>
        <v/>
      </c>
      <c r="AA468" t="str">
        <f t="shared" si="142"/>
        <v/>
      </c>
      <c r="AB468" t="str">
        <f t="shared" si="143"/>
        <v/>
      </c>
      <c r="AC468" t="str">
        <f t="shared" si="144"/>
        <v/>
      </c>
      <c r="AD468" t="str">
        <f t="shared" si="145"/>
        <v/>
      </c>
    </row>
    <row r="469" spans="14:30" thickBot="1" x14ac:dyDescent="0.3">
      <c r="N469">
        <f t="shared" si="138"/>
        <v>0</v>
      </c>
      <c r="O469">
        <f t="shared" si="135"/>
        <v>0</v>
      </c>
      <c r="P469">
        <f t="shared" si="136"/>
        <v>0</v>
      </c>
      <c r="Q469">
        <f t="shared" si="137"/>
        <v>0</v>
      </c>
      <c r="X469" t="str">
        <f t="shared" si="139"/>
        <v/>
      </c>
      <c r="Y469" t="str">
        <f t="shared" si="140"/>
        <v/>
      </c>
      <c r="Z469" t="str">
        <f t="shared" si="141"/>
        <v/>
      </c>
      <c r="AA469" t="str">
        <f t="shared" si="142"/>
        <v/>
      </c>
      <c r="AB469" t="str">
        <f t="shared" si="143"/>
        <v/>
      </c>
      <c r="AC469" t="str">
        <f t="shared" si="144"/>
        <v/>
      </c>
      <c r="AD469" t="str">
        <f t="shared" si="145"/>
        <v/>
      </c>
    </row>
    <row r="470" spans="14:30" thickBot="1" x14ac:dyDescent="0.3">
      <c r="N470">
        <f t="shared" si="138"/>
        <v>0</v>
      </c>
      <c r="O470">
        <f t="shared" si="135"/>
        <v>0</v>
      </c>
      <c r="P470">
        <f t="shared" si="136"/>
        <v>0</v>
      </c>
      <c r="Q470">
        <f t="shared" si="137"/>
        <v>0</v>
      </c>
      <c r="X470" t="str">
        <f t="shared" si="139"/>
        <v/>
      </c>
      <c r="Y470" t="str">
        <f t="shared" si="140"/>
        <v/>
      </c>
      <c r="Z470" t="str">
        <f t="shared" si="141"/>
        <v/>
      </c>
      <c r="AA470" t="str">
        <f t="shared" si="142"/>
        <v/>
      </c>
      <c r="AB470" t="str">
        <f t="shared" si="143"/>
        <v/>
      </c>
      <c r="AC470" t="str">
        <f t="shared" si="144"/>
        <v/>
      </c>
      <c r="AD470" t="str">
        <f t="shared" si="145"/>
        <v/>
      </c>
    </row>
    <row r="471" spans="14:30" thickBot="1" x14ac:dyDescent="0.3">
      <c r="N471">
        <f t="shared" si="138"/>
        <v>0</v>
      </c>
      <c r="O471">
        <f t="shared" si="135"/>
        <v>0</v>
      </c>
      <c r="P471">
        <f t="shared" si="136"/>
        <v>0</v>
      </c>
      <c r="Q471">
        <f t="shared" si="137"/>
        <v>0</v>
      </c>
      <c r="X471" t="str">
        <f t="shared" si="139"/>
        <v/>
      </c>
      <c r="Y471" t="str">
        <f t="shared" si="140"/>
        <v/>
      </c>
      <c r="Z471" t="str">
        <f t="shared" si="141"/>
        <v/>
      </c>
      <c r="AA471" t="str">
        <f t="shared" si="142"/>
        <v/>
      </c>
      <c r="AB471" t="str">
        <f t="shared" si="143"/>
        <v/>
      </c>
      <c r="AC471" t="str">
        <f t="shared" si="144"/>
        <v/>
      </c>
      <c r="AD471" t="str">
        <f t="shared" si="145"/>
        <v/>
      </c>
    </row>
    <row r="472" spans="14:30" thickBot="1" x14ac:dyDescent="0.3">
      <c r="N472">
        <f t="shared" si="138"/>
        <v>0</v>
      </c>
      <c r="O472">
        <f t="shared" si="135"/>
        <v>0</v>
      </c>
      <c r="P472">
        <f t="shared" si="136"/>
        <v>0</v>
      </c>
      <c r="Q472">
        <f t="shared" si="137"/>
        <v>0</v>
      </c>
      <c r="X472" t="str">
        <f t="shared" si="139"/>
        <v/>
      </c>
      <c r="Y472" t="str">
        <f t="shared" si="140"/>
        <v/>
      </c>
      <c r="Z472" t="str">
        <f t="shared" si="141"/>
        <v/>
      </c>
      <c r="AA472" t="str">
        <f t="shared" si="142"/>
        <v/>
      </c>
      <c r="AB472" t="str">
        <f t="shared" si="143"/>
        <v/>
      </c>
      <c r="AC472" t="str">
        <f t="shared" si="144"/>
        <v/>
      </c>
      <c r="AD472" t="str">
        <f t="shared" si="145"/>
        <v/>
      </c>
    </row>
    <row r="473" spans="14:30" thickBot="1" x14ac:dyDescent="0.3">
      <c r="N473">
        <f t="shared" si="138"/>
        <v>0</v>
      </c>
      <c r="O473">
        <f t="shared" si="135"/>
        <v>0</v>
      </c>
      <c r="P473">
        <f t="shared" si="136"/>
        <v>0</v>
      </c>
      <c r="Q473">
        <f t="shared" si="137"/>
        <v>0</v>
      </c>
      <c r="X473" t="str">
        <f t="shared" si="139"/>
        <v/>
      </c>
      <c r="Y473" t="str">
        <f t="shared" si="140"/>
        <v/>
      </c>
      <c r="Z473" t="str">
        <f t="shared" si="141"/>
        <v/>
      </c>
      <c r="AA473" t="str">
        <f t="shared" si="142"/>
        <v/>
      </c>
      <c r="AB473" t="str">
        <f t="shared" si="143"/>
        <v/>
      </c>
      <c r="AC473" t="str">
        <f t="shared" si="144"/>
        <v/>
      </c>
      <c r="AD473" t="str">
        <f t="shared" si="145"/>
        <v/>
      </c>
    </row>
    <row r="474" spans="14:30" thickBot="1" x14ac:dyDescent="0.3">
      <c r="N474">
        <f t="shared" si="138"/>
        <v>0</v>
      </c>
      <c r="O474">
        <f t="shared" si="135"/>
        <v>0</v>
      </c>
      <c r="P474">
        <f t="shared" si="136"/>
        <v>0</v>
      </c>
      <c r="Q474">
        <f t="shared" si="137"/>
        <v>0</v>
      </c>
      <c r="X474" t="str">
        <f t="shared" si="139"/>
        <v/>
      </c>
      <c r="Y474" t="str">
        <f t="shared" si="140"/>
        <v/>
      </c>
      <c r="Z474" t="str">
        <f t="shared" si="141"/>
        <v/>
      </c>
      <c r="AA474" t="str">
        <f t="shared" si="142"/>
        <v/>
      </c>
      <c r="AB474" t="str">
        <f t="shared" si="143"/>
        <v/>
      </c>
      <c r="AC474" t="str">
        <f t="shared" si="144"/>
        <v/>
      </c>
      <c r="AD474" t="str">
        <f t="shared" si="145"/>
        <v/>
      </c>
    </row>
    <row r="475" spans="14:30" thickBot="1" x14ac:dyDescent="0.3">
      <c r="N475">
        <f t="shared" si="138"/>
        <v>0</v>
      </c>
      <c r="O475">
        <f t="shared" si="135"/>
        <v>0</v>
      </c>
      <c r="P475">
        <f t="shared" si="136"/>
        <v>0</v>
      </c>
      <c r="Q475">
        <f t="shared" si="137"/>
        <v>0</v>
      </c>
      <c r="X475" t="str">
        <f t="shared" si="139"/>
        <v/>
      </c>
      <c r="Y475" t="str">
        <f t="shared" si="140"/>
        <v/>
      </c>
      <c r="Z475" t="str">
        <f t="shared" si="141"/>
        <v/>
      </c>
      <c r="AA475" t="str">
        <f t="shared" si="142"/>
        <v/>
      </c>
      <c r="AB475" t="str">
        <f t="shared" si="143"/>
        <v/>
      </c>
      <c r="AC475" t="str">
        <f t="shared" si="144"/>
        <v/>
      </c>
      <c r="AD475" t="str">
        <f t="shared" si="145"/>
        <v/>
      </c>
    </row>
    <row r="476" spans="14:30" thickBot="1" x14ac:dyDescent="0.3">
      <c r="N476">
        <f t="shared" si="138"/>
        <v>0</v>
      </c>
      <c r="O476">
        <f t="shared" si="135"/>
        <v>0</v>
      </c>
      <c r="P476">
        <f t="shared" si="136"/>
        <v>0</v>
      </c>
      <c r="Q476">
        <f t="shared" si="137"/>
        <v>0</v>
      </c>
      <c r="X476" t="str">
        <f t="shared" si="139"/>
        <v/>
      </c>
      <c r="Y476" t="str">
        <f t="shared" si="140"/>
        <v/>
      </c>
      <c r="Z476" t="str">
        <f t="shared" si="141"/>
        <v/>
      </c>
      <c r="AA476" t="str">
        <f t="shared" si="142"/>
        <v/>
      </c>
      <c r="AB476" t="str">
        <f t="shared" si="143"/>
        <v/>
      </c>
      <c r="AC476" t="str">
        <f t="shared" si="144"/>
        <v/>
      </c>
      <c r="AD476" t="str">
        <f t="shared" si="145"/>
        <v/>
      </c>
    </row>
    <row r="477" spans="14:30" thickBot="1" x14ac:dyDescent="0.3">
      <c r="N477">
        <f t="shared" si="138"/>
        <v>0</v>
      </c>
      <c r="O477">
        <f t="shared" si="135"/>
        <v>0</v>
      </c>
      <c r="P477">
        <f t="shared" si="136"/>
        <v>0</v>
      </c>
      <c r="Q477">
        <f t="shared" si="137"/>
        <v>0</v>
      </c>
      <c r="X477" t="str">
        <f t="shared" si="139"/>
        <v/>
      </c>
      <c r="Y477" t="str">
        <f t="shared" si="140"/>
        <v/>
      </c>
      <c r="Z477" t="str">
        <f t="shared" si="141"/>
        <v/>
      </c>
      <c r="AA477" t="str">
        <f t="shared" si="142"/>
        <v/>
      </c>
      <c r="AB477" t="str">
        <f t="shared" si="143"/>
        <v/>
      </c>
      <c r="AC477" t="str">
        <f t="shared" si="144"/>
        <v/>
      </c>
      <c r="AD477" t="str">
        <f t="shared" si="145"/>
        <v/>
      </c>
    </row>
    <row r="478" spans="14:30" thickBot="1" x14ac:dyDescent="0.3">
      <c r="N478">
        <f t="shared" si="138"/>
        <v>0</v>
      </c>
      <c r="O478">
        <f t="shared" si="135"/>
        <v>0</v>
      </c>
      <c r="P478">
        <f t="shared" si="136"/>
        <v>0</v>
      </c>
      <c r="Q478">
        <f t="shared" si="137"/>
        <v>0</v>
      </c>
      <c r="X478" t="str">
        <f t="shared" si="139"/>
        <v/>
      </c>
      <c r="Y478" t="str">
        <f t="shared" si="140"/>
        <v/>
      </c>
      <c r="Z478" t="str">
        <f t="shared" si="141"/>
        <v/>
      </c>
      <c r="AA478" t="str">
        <f t="shared" si="142"/>
        <v/>
      </c>
      <c r="AB478" t="str">
        <f t="shared" si="143"/>
        <v/>
      </c>
      <c r="AC478" t="str">
        <f t="shared" si="144"/>
        <v/>
      </c>
      <c r="AD478" t="str">
        <f t="shared" si="145"/>
        <v/>
      </c>
    </row>
    <row r="479" spans="14:30" thickBot="1" x14ac:dyDescent="0.3">
      <c r="N479">
        <f t="shared" si="138"/>
        <v>0</v>
      </c>
      <c r="O479">
        <f t="shared" si="135"/>
        <v>0</v>
      </c>
      <c r="P479">
        <f t="shared" si="136"/>
        <v>0</v>
      </c>
      <c r="Q479">
        <f t="shared" si="137"/>
        <v>0</v>
      </c>
      <c r="X479" t="str">
        <f t="shared" si="139"/>
        <v/>
      </c>
      <c r="Y479" t="str">
        <f t="shared" si="140"/>
        <v/>
      </c>
      <c r="Z479" t="str">
        <f t="shared" si="141"/>
        <v/>
      </c>
      <c r="AA479" t="str">
        <f t="shared" si="142"/>
        <v/>
      </c>
      <c r="AB479" t="str">
        <f t="shared" si="143"/>
        <v/>
      </c>
      <c r="AC479" t="str">
        <f t="shared" si="144"/>
        <v/>
      </c>
      <c r="AD479" t="str">
        <f t="shared" si="145"/>
        <v/>
      </c>
    </row>
    <row r="480" spans="14:30" thickBot="1" x14ac:dyDescent="0.3">
      <c r="N480">
        <f t="shared" si="138"/>
        <v>0</v>
      </c>
      <c r="O480">
        <f t="shared" si="135"/>
        <v>0</v>
      </c>
      <c r="P480">
        <f t="shared" si="136"/>
        <v>0</v>
      </c>
      <c r="Q480">
        <f t="shared" si="137"/>
        <v>0</v>
      </c>
      <c r="X480" t="str">
        <f t="shared" si="139"/>
        <v/>
      </c>
      <c r="Y480" t="str">
        <f t="shared" si="140"/>
        <v/>
      </c>
      <c r="Z480" t="str">
        <f t="shared" si="141"/>
        <v/>
      </c>
      <c r="AA480" t="str">
        <f t="shared" si="142"/>
        <v/>
      </c>
      <c r="AB480" t="str">
        <f t="shared" si="143"/>
        <v/>
      </c>
      <c r="AC480" t="str">
        <f t="shared" si="144"/>
        <v/>
      </c>
      <c r="AD480" t="str">
        <f t="shared" si="145"/>
        <v/>
      </c>
    </row>
    <row r="481" spans="14:30" thickBot="1" x14ac:dyDescent="0.3">
      <c r="N481">
        <f t="shared" si="138"/>
        <v>0</v>
      </c>
      <c r="O481">
        <f t="shared" si="135"/>
        <v>0</v>
      </c>
      <c r="P481">
        <f t="shared" si="136"/>
        <v>0</v>
      </c>
      <c r="Q481">
        <f t="shared" si="137"/>
        <v>0</v>
      </c>
      <c r="X481" t="str">
        <f t="shared" si="139"/>
        <v/>
      </c>
      <c r="Y481" t="str">
        <f t="shared" si="140"/>
        <v/>
      </c>
      <c r="Z481" t="str">
        <f t="shared" si="141"/>
        <v/>
      </c>
      <c r="AA481" t="str">
        <f t="shared" si="142"/>
        <v/>
      </c>
      <c r="AB481" t="str">
        <f t="shared" si="143"/>
        <v/>
      </c>
      <c r="AC481" t="str">
        <f t="shared" si="144"/>
        <v/>
      </c>
      <c r="AD481" t="str">
        <f t="shared" si="145"/>
        <v/>
      </c>
    </row>
    <row r="482" spans="14:30" thickBot="1" x14ac:dyDescent="0.3">
      <c r="N482">
        <f t="shared" si="138"/>
        <v>0</v>
      </c>
      <c r="O482">
        <f t="shared" si="135"/>
        <v>0</v>
      </c>
      <c r="P482">
        <f t="shared" si="136"/>
        <v>0</v>
      </c>
      <c r="Q482">
        <f t="shared" si="137"/>
        <v>0</v>
      </c>
      <c r="X482" t="str">
        <f t="shared" si="139"/>
        <v/>
      </c>
      <c r="Y482" t="str">
        <f t="shared" si="140"/>
        <v/>
      </c>
      <c r="Z482" t="str">
        <f t="shared" si="141"/>
        <v/>
      </c>
      <c r="AA482" t="str">
        <f t="shared" si="142"/>
        <v/>
      </c>
      <c r="AB482" t="str">
        <f t="shared" si="143"/>
        <v/>
      </c>
      <c r="AC482" t="str">
        <f t="shared" si="144"/>
        <v/>
      </c>
      <c r="AD482" t="str">
        <f t="shared" si="145"/>
        <v/>
      </c>
    </row>
    <row r="483" spans="14:30" thickBot="1" x14ac:dyDescent="0.3">
      <c r="N483">
        <f t="shared" si="138"/>
        <v>0</v>
      </c>
      <c r="O483">
        <f t="shared" si="135"/>
        <v>0</v>
      </c>
      <c r="P483">
        <f t="shared" si="136"/>
        <v>0</v>
      </c>
      <c r="Q483">
        <f t="shared" si="137"/>
        <v>0</v>
      </c>
      <c r="X483" t="str">
        <f t="shared" si="139"/>
        <v/>
      </c>
      <c r="Y483" t="str">
        <f t="shared" si="140"/>
        <v/>
      </c>
      <c r="Z483" t="str">
        <f t="shared" si="141"/>
        <v/>
      </c>
      <c r="AA483" t="str">
        <f t="shared" si="142"/>
        <v/>
      </c>
      <c r="AB483" t="str">
        <f t="shared" si="143"/>
        <v/>
      </c>
      <c r="AC483" t="str">
        <f t="shared" si="144"/>
        <v/>
      </c>
      <c r="AD483" t="str">
        <f t="shared" si="145"/>
        <v/>
      </c>
    </row>
    <row r="484" spans="14:30" thickBot="1" x14ac:dyDescent="0.3">
      <c r="N484">
        <f t="shared" si="138"/>
        <v>0</v>
      </c>
      <c r="O484">
        <f t="shared" si="135"/>
        <v>0</v>
      </c>
      <c r="P484">
        <f t="shared" si="136"/>
        <v>0</v>
      </c>
      <c r="Q484">
        <f t="shared" si="137"/>
        <v>0</v>
      </c>
      <c r="X484" t="str">
        <f t="shared" si="139"/>
        <v/>
      </c>
      <c r="Y484" t="str">
        <f t="shared" si="140"/>
        <v/>
      </c>
      <c r="Z484" t="str">
        <f t="shared" si="141"/>
        <v/>
      </c>
      <c r="AA484" t="str">
        <f t="shared" si="142"/>
        <v/>
      </c>
      <c r="AB484" t="str">
        <f t="shared" si="143"/>
        <v/>
      </c>
      <c r="AC484" t="str">
        <f t="shared" si="144"/>
        <v/>
      </c>
      <c r="AD484" t="str">
        <f t="shared" si="145"/>
        <v/>
      </c>
    </row>
    <row r="485" spans="14:30" thickBot="1" x14ac:dyDescent="0.3">
      <c r="N485">
        <f t="shared" si="138"/>
        <v>0</v>
      </c>
      <c r="O485">
        <f t="shared" si="135"/>
        <v>0</v>
      </c>
      <c r="P485">
        <f t="shared" si="136"/>
        <v>0</v>
      </c>
      <c r="Q485">
        <f t="shared" si="137"/>
        <v>0</v>
      </c>
      <c r="X485" t="str">
        <f t="shared" si="139"/>
        <v/>
      </c>
      <c r="Y485" t="str">
        <f t="shared" si="140"/>
        <v/>
      </c>
      <c r="Z485" t="str">
        <f t="shared" si="141"/>
        <v/>
      </c>
      <c r="AA485" t="str">
        <f t="shared" si="142"/>
        <v/>
      </c>
      <c r="AB485" t="str">
        <f t="shared" si="143"/>
        <v/>
      </c>
      <c r="AC485" t="str">
        <f t="shared" si="144"/>
        <v/>
      </c>
      <c r="AD485" t="str">
        <f t="shared" si="145"/>
        <v/>
      </c>
    </row>
    <row r="486" spans="14:30" thickBot="1" x14ac:dyDescent="0.3">
      <c r="N486">
        <f t="shared" si="138"/>
        <v>0</v>
      </c>
      <c r="O486">
        <f t="shared" si="135"/>
        <v>0</v>
      </c>
      <c r="P486">
        <f t="shared" si="136"/>
        <v>0</v>
      </c>
      <c r="Q486">
        <f t="shared" si="137"/>
        <v>0</v>
      </c>
      <c r="X486" t="str">
        <f t="shared" si="139"/>
        <v/>
      </c>
      <c r="Y486" t="str">
        <f t="shared" si="140"/>
        <v/>
      </c>
      <c r="Z486" t="str">
        <f t="shared" si="141"/>
        <v/>
      </c>
      <c r="AA486" t="str">
        <f t="shared" si="142"/>
        <v/>
      </c>
      <c r="AB486" t="str">
        <f t="shared" si="143"/>
        <v/>
      </c>
      <c r="AC486" t="str">
        <f t="shared" si="144"/>
        <v/>
      </c>
      <c r="AD486" t="str">
        <f t="shared" si="145"/>
        <v/>
      </c>
    </row>
    <row r="487" spans="14:30" thickBot="1" x14ac:dyDescent="0.3">
      <c r="N487">
        <f t="shared" si="138"/>
        <v>0</v>
      </c>
      <c r="O487">
        <f t="shared" si="135"/>
        <v>0</v>
      </c>
      <c r="P487">
        <f t="shared" si="136"/>
        <v>0</v>
      </c>
      <c r="Q487">
        <f t="shared" si="137"/>
        <v>0</v>
      </c>
      <c r="V487">
        <v>24</v>
      </c>
      <c r="X487" t="str">
        <f t="shared" si="139"/>
        <v/>
      </c>
      <c r="Y487" t="str">
        <f t="shared" si="140"/>
        <v/>
      </c>
      <c r="Z487" t="str">
        <f t="shared" si="141"/>
        <v/>
      </c>
      <c r="AA487" t="str">
        <f t="shared" si="142"/>
        <v/>
      </c>
      <c r="AB487" t="str">
        <f t="shared" si="143"/>
        <v>,</v>
      </c>
      <c r="AC487" t="str">
        <f t="shared" si="144"/>
        <v/>
      </c>
      <c r="AD487" t="str">
        <f t="shared" si="145"/>
        <v/>
      </c>
    </row>
    <row r="488" spans="14:30" thickBot="1" x14ac:dyDescent="0.3">
      <c r="N488">
        <f t="shared" si="138"/>
        <v>0</v>
      </c>
      <c r="O488">
        <f t="shared" si="135"/>
        <v>0</v>
      </c>
      <c r="P488">
        <f t="shared" si="136"/>
        <v>0</v>
      </c>
      <c r="Q488">
        <f t="shared" si="137"/>
        <v>0</v>
      </c>
      <c r="X488" t="str">
        <f t="shared" si="139"/>
        <v/>
      </c>
      <c r="Y488" t="str">
        <f t="shared" si="140"/>
        <v/>
      </c>
      <c r="Z488" t="str">
        <f t="shared" si="141"/>
        <v/>
      </c>
      <c r="AA488" t="str">
        <f t="shared" si="142"/>
        <v/>
      </c>
      <c r="AB488" t="str">
        <f t="shared" si="143"/>
        <v/>
      </c>
      <c r="AC488" t="str">
        <f t="shared" si="144"/>
        <v/>
      </c>
      <c r="AD488" t="str">
        <f t="shared" si="145"/>
        <v/>
      </c>
    </row>
    <row r="489" spans="14:30" thickBot="1" x14ac:dyDescent="0.3">
      <c r="N489">
        <f t="shared" si="138"/>
        <v>0</v>
      </c>
      <c r="O489">
        <f t="shared" si="135"/>
        <v>0</v>
      </c>
      <c r="P489">
        <f t="shared" si="136"/>
        <v>0</v>
      </c>
      <c r="Q489">
        <f t="shared" si="137"/>
        <v>0</v>
      </c>
      <c r="X489" t="str">
        <f t="shared" si="139"/>
        <v/>
      </c>
      <c r="Y489" t="str">
        <f t="shared" si="140"/>
        <v/>
      </c>
      <c r="Z489" t="str">
        <f t="shared" si="141"/>
        <v/>
      </c>
      <c r="AA489" t="str">
        <f t="shared" si="142"/>
        <v/>
      </c>
      <c r="AB489" t="str">
        <f t="shared" si="143"/>
        <v/>
      </c>
      <c r="AC489" t="str">
        <f t="shared" si="144"/>
        <v/>
      </c>
      <c r="AD489" t="str">
        <f t="shared" si="145"/>
        <v/>
      </c>
    </row>
    <row r="490" spans="14:30" thickBot="1" x14ac:dyDescent="0.3">
      <c r="N490">
        <f t="shared" si="138"/>
        <v>0</v>
      </c>
      <c r="O490">
        <f t="shared" si="135"/>
        <v>0</v>
      </c>
      <c r="P490">
        <f t="shared" si="136"/>
        <v>0</v>
      </c>
      <c r="Q490">
        <f t="shared" si="137"/>
        <v>0</v>
      </c>
      <c r="X490" t="str">
        <f t="shared" si="139"/>
        <v/>
      </c>
      <c r="Y490" t="str">
        <f t="shared" si="140"/>
        <v/>
      </c>
      <c r="Z490" t="str">
        <f t="shared" si="141"/>
        <v/>
      </c>
      <c r="AA490" t="str">
        <f t="shared" si="142"/>
        <v/>
      </c>
      <c r="AB490" t="str">
        <f t="shared" si="143"/>
        <v/>
      </c>
      <c r="AC490" t="str">
        <f t="shared" si="144"/>
        <v/>
      </c>
      <c r="AD490" t="str">
        <f t="shared" si="145"/>
        <v/>
      </c>
    </row>
    <row r="491" spans="14:30" thickBot="1" x14ac:dyDescent="0.3">
      <c r="N491">
        <f t="shared" si="138"/>
        <v>0</v>
      </c>
      <c r="O491">
        <f t="shared" si="135"/>
        <v>0</v>
      </c>
      <c r="P491">
        <f t="shared" si="136"/>
        <v>0</v>
      </c>
      <c r="Q491">
        <f t="shared" si="137"/>
        <v>0</v>
      </c>
      <c r="X491" t="str">
        <f t="shared" si="139"/>
        <v/>
      </c>
      <c r="Y491" t="str">
        <f t="shared" si="140"/>
        <v/>
      </c>
      <c r="Z491" t="str">
        <f t="shared" si="141"/>
        <v/>
      </c>
      <c r="AA491" t="str">
        <f t="shared" si="142"/>
        <v/>
      </c>
      <c r="AB491" t="str">
        <f t="shared" si="143"/>
        <v/>
      </c>
      <c r="AC491" t="str">
        <f t="shared" si="144"/>
        <v/>
      </c>
      <c r="AD491" t="str">
        <f t="shared" si="145"/>
        <v/>
      </c>
    </row>
    <row r="492" spans="14:30" thickBot="1" x14ac:dyDescent="0.3">
      <c r="N492">
        <f t="shared" si="138"/>
        <v>0</v>
      </c>
      <c r="O492">
        <f t="shared" si="135"/>
        <v>0</v>
      </c>
      <c r="P492">
        <f t="shared" si="136"/>
        <v>0</v>
      </c>
      <c r="Q492">
        <f t="shared" si="137"/>
        <v>0</v>
      </c>
      <c r="X492" t="str">
        <f t="shared" si="139"/>
        <v/>
      </c>
      <c r="Y492" t="str">
        <f t="shared" si="140"/>
        <v/>
      </c>
      <c r="Z492" t="str">
        <f t="shared" si="141"/>
        <v/>
      </c>
      <c r="AA492" t="str">
        <f t="shared" si="142"/>
        <v/>
      </c>
      <c r="AB492" t="str">
        <f t="shared" si="143"/>
        <v/>
      </c>
      <c r="AC492" t="str">
        <f t="shared" si="144"/>
        <v/>
      </c>
      <c r="AD492" t="str">
        <f t="shared" si="145"/>
        <v/>
      </c>
    </row>
    <row r="493" spans="14:30" thickBot="1" x14ac:dyDescent="0.3">
      <c r="N493">
        <f t="shared" si="138"/>
        <v>0</v>
      </c>
      <c r="O493">
        <f t="shared" si="135"/>
        <v>0</v>
      </c>
      <c r="P493">
        <f t="shared" si="136"/>
        <v>0</v>
      </c>
      <c r="Q493">
        <f t="shared" si="137"/>
        <v>0</v>
      </c>
      <c r="X493" t="str">
        <f t="shared" si="139"/>
        <v/>
      </c>
      <c r="Y493" t="str">
        <f t="shared" si="140"/>
        <v/>
      </c>
      <c r="Z493" t="str">
        <f t="shared" si="141"/>
        <v/>
      </c>
      <c r="AA493" t="str">
        <f t="shared" si="142"/>
        <v/>
      </c>
      <c r="AB493" t="str">
        <f t="shared" si="143"/>
        <v/>
      </c>
      <c r="AC493" t="str">
        <f t="shared" si="144"/>
        <v/>
      </c>
      <c r="AD493" t="str">
        <f t="shared" si="145"/>
        <v/>
      </c>
    </row>
    <row r="494" spans="14:30" thickBot="1" x14ac:dyDescent="0.3">
      <c r="N494">
        <f t="shared" si="138"/>
        <v>0</v>
      </c>
      <c r="O494">
        <f t="shared" si="135"/>
        <v>0</v>
      </c>
      <c r="P494">
        <f t="shared" si="136"/>
        <v>0</v>
      </c>
      <c r="Q494">
        <f t="shared" si="137"/>
        <v>0</v>
      </c>
      <c r="X494" t="str">
        <f t="shared" si="139"/>
        <v/>
      </c>
      <c r="Y494" t="str">
        <f t="shared" si="140"/>
        <v/>
      </c>
      <c r="Z494" t="str">
        <f t="shared" si="141"/>
        <v/>
      </c>
      <c r="AA494" t="str">
        <f t="shared" si="142"/>
        <v/>
      </c>
      <c r="AB494" t="str">
        <f t="shared" si="143"/>
        <v/>
      </c>
      <c r="AC494" t="str">
        <f t="shared" si="144"/>
        <v/>
      </c>
      <c r="AD494" t="str">
        <f t="shared" si="145"/>
        <v/>
      </c>
    </row>
    <row r="495" spans="14:30" thickBot="1" x14ac:dyDescent="0.3">
      <c r="N495">
        <f t="shared" si="138"/>
        <v>0</v>
      </c>
      <c r="O495">
        <f t="shared" si="135"/>
        <v>0</v>
      </c>
      <c r="P495">
        <f t="shared" si="136"/>
        <v>0</v>
      </c>
      <c r="Q495">
        <f t="shared" si="137"/>
        <v>0</v>
      </c>
      <c r="X495" t="str">
        <f t="shared" si="139"/>
        <v/>
      </c>
      <c r="Y495" t="str">
        <f t="shared" si="140"/>
        <v/>
      </c>
      <c r="Z495" t="str">
        <f t="shared" si="141"/>
        <v/>
      </c>
      <c r="AA495" t="str">
        <f t="shared" si="142"/>
        <v/>
      </c>
      <c r="AB495" t="str">
        <f t="shared" si="143"/>
        <v/>
      </c>
      <c r="AC495" t="str">
        <f t="shared" si="144"/>
        <v/>
      </c>
      <c r="AD495" t="str">
        <f t="shared" si="145"/>
        <v/>
      </c>
    </row>
    <row r="496" spans="14:30" thickBot="1" x14ac:dyDescent="0.3">
      <c r="N496">
        <f t="shared" si="138"/>
        <v>0</v>
      </c>
      <c r="O496">
        <f t="shared" si="135"/>
        <v>0</v>
      </c>
      <c r="P496">
        <f t="shared" si="136"/>
        <v>0</v>
      </c>
      <c r="Q496">
        <f t="shared" si="137"/>
        <v>0</v>
      </c>
      <c r="X496" t="str">
        <f t="shared" si="139"/>
        <v/>
      </c>
      <c r="Y496" t="str">
        <f t="shared" si="140"/>
        <v/>
      </c>
      <c r="Z496" t="str">
        <f t="shared" si="141"/>
        <v/>
      </c>
      <c r="AA496" t="str">
        <f t="shared" si="142"/>
        <v/>
      </c>
      <c r="AB496" t="str">
        <f t="shared" si="143"/>
        <v/>
      </c>
      <c r="AC496" t="str">
        <f t="shared" si="144"/>
        <v/>
      </c>
      <c r="AD496" t="str">
        <f t="shared" si="145"/>
        <v/>
      </c>
    </row>
    <row r="497" spans="14:30" thickBot="1" x14ac:dyDescent="0.3">
      <c r="N497">
        <f t="shared" si="138"/>
        <v>0</v>
      </c>
      <c r="O497">
        <f t="shared" si="135"/>
        <v>0</v>
      </c>
      <c r="P497">
        <f t="shared" si="136"/>
        <v>0</v>
      </c>
      <c r="Q497">
        <f t="shared" si="137"/>
        <v>0</v>
      </c>
      <c r="X497" t="str">
        <f t="shared" si="139"/>
        <v/>
      </c>
      <c r="Y497" t="str">
        <f t="shared" si="140"/>
        <v/>
      </c>
      <c r="Z497" t="str">
        <f t="shared" si="141"/>
        <v/>
      </c>
      <c r="AA497" t="str">
        <f t="shared" si="142"/>
        <v/>
      </c>
      <c r="AB497" t="str">
        <f t="shared" si="143"/>
        <v/>
      </c>
      <c r="AC497" t="str">
        <f t="shared" si="144"/>
        <v/>
      </c>
      <c r="AD497" t="str">
        <f t="shared" si="145"/>
        <v/>
      </c>
    </row>
    <row r="498" spans="14:30" thickBot="1" x14ac:dyDescent="0.3">
      <c r="N498">
        <f t="shared" si="138"/>
        <v>0</v>
      </c>
      <c r="O498">
        <f t="shared" si="135"/>
        <v>0</v>
      </c>
      <c r="P498">
        <f t="shared" si="136"/>
        <v>0</v>
      </c>
      <c r="Q498">
        <f t="shared" si="137"/>
        <v>0</v>
      </c>
      <c r="X498" t="str">
        <f t="shared" si="139"/>
        <v/>
      </c>
      <c r="Y498" t="str">
        <f t="shared" si="140"/>
        <v/>
      </c>
      <c r="Z498" t="str">
        <f t="shared" si="141"/>
        <v/>
      </c>
      <c r="AA498" t="str">
        <f t="shared" si="142"/>
        <v/>
      </c>
      <c r="AB498" t="str">
        <f t="shared" si="143"/>
        <v/>
      </c>
      <c r="AC498" t="str">
        <f t="shared" si="144"/>
        <v/>
      </c>
      <c r="AD498" t="str">
        <f t="shared" si="145"/>
        <v/>
      </c>
    </row>
    <row r="499" spans="14:30" thickBot="1" x14ac:dyDescent="0.3">
      <c r="N499">
        <f t="shared" si="138"/>
        <v>0</v>
      </c>
      <c r="O499">
        <f t="shared" si="135"/>
        <v>0</v>
      </c>
      <c r="P499">
        <f t="shared" si="136"/>
        <v>0</v>
      </c>
      <c r="Q499">
        <f t="shared" si="137"/>
        <v>0</v>
      </c>
      <c r="X499" t="str">
        <f t="shared" si="139"/>
        <v/>
      </c>
      <c r="Y499" t="str">
        <f t="shared" si="140"/>
        <v/>
      </c>
      <c r="Z499" t="str">
        <f t="shared" si="141"/>
        <v/>
      </c>
      <c r="AA499" t="str">
        <f t="shared" si="142"/>
        <v/>
      </c>
      <c r="AB499" t="str">
        <f t="shared" si="143"/>
        <v/>
      </c>
      <c r="AC499" t="str">
        <f t="shared" si="144"/>
        <v/>
      </c>
      <c r="AD499" t="str">
        <f t="shared" si="145"/>
        <v/>
      </c>
    </row>
    <row r="500" spans="14:30" thickBot="1" x14ac:dyDescent="0.3">
      <c r="N500">
        <f t="shared" si="138"/>
        <v>0</v>
      </c>
      <c r="O500">
        <f t="shared" si="135"/>
        <v>0</v>
      </c>
      <c r="P500">
        <f t="shared" si="136"/>
        <v>0</v>
      </c>
      <c r="Q500">
        <f t="shared" si="137"/>
        <v>0</v>
      </c>
      <c r="X500" t="str">
        <f t="shared" si="139"/>
        <v/>
      </c>
      <c r="Y500" t="str">
        <f t="shared" si="140"/>
        <v/>
      </c>
      <c r="Z500" t="str">
        <f t="shared" si="141"/>
        <v/>
      </c>
      <c r="AA500" t="str">
        <f t="shared" si="142"/>
        <v/>
      </c>
      <c r="AB500" t="str">
        <f t="shared" si="143"/>
        <v/>
      </c>
      <c r="AC500" t="str">
        <f t="shared" si="144"/>
        <v/>
      </c>
      <c r="AD500" t="str">
        <f t="shared" si="145"/>
        <v/>
      </c>
    </row>
    <row r="501" spans="14:30" thickBot="1" x14ac:dyDescent="0.3">
      <c r="N501">
        <f t="shared" si="138"/>
        <v>0</v>
      </c>
      <c r="O501">
        <f t="shared" si="135"/>
        <v>0</v>
      </c>
      <c r="P501">
        <f t="shared" si="136"/>
        <v>0</v>
      </c>
      <c r="Q501">
        <f t="shared" si="137"/>
        <v>0</v>
      </c>
      <c r="X501" t="str">
        <f t="shared" si="139"/>
        <v/>
      </c>
      <c r="Y501" t="str">
        <f t="shared" si="140"/>
        <v/>
      </c>
      <c r="Z501" t="str">
        <f t="shared" si="141"/>
        <v/>
      </c>
      <c r="AA501" t="str">
        <f t="shared" si="142"/>
        <v/>
      </c>
      <c r="AB501" t="str">
        <f t="shared" si="143"/>
        <v/>
      </c>
      <c r="AC501" t="str">
        <f t="shared" si="144"/>
        <v/>
      </c>
      <c r="AD501" t="str">
        <f t="shared" si="145"/>
        <v/>
      </c>
    </row>
    <row r="502" spans="14:30" thickBot="1" x14ac:dyDescent="0.3">
      <c r="N502">
        <f t="shared" si="138"/>
        <v>0</v>
      </c>
      <c r="O502">
        <f t="shared" si="135"/>
        <v>0</v>
      </c>
      <c r="P502">
        <f t="shared" si="136"/>
        <v>0</v>
      </c>
      <c r="Q502">
        <f t="shared" si="137"/>
        <v>0</v>
      </c>
      <c r="X502" t="str">
        <f t="shared" si="139"/>
        <v/>
      </c>
      <c r="Y502" t="str">
        <f t="shared" si="140"/>
        <v/>
      </c>
      <c r="Z502" t="str">
        <f t="shared" si="141"/>
        <v/>
      </c>
      <c r="AA502" t="str">
        <f t="shared" si="142"/>
        <v/>
      </c>
      <c r="AB502" t="str">
        <f t="shared" si="143"/>
        <v/>
      </c>
      <c r="AC502" t="str">
        <f t="shared" si="144"/>
        <v/>
      </c>
      <c r="AD502" t="str">
        <f t="shared" si="145"/>
        <v/>
      </c>
    </row>
    <row r="503" spans="14:30" thickBot="1" x14ac:dyDescent="0.3">
      <c r="N503">
        <f t="shared" si="138"/>
        <v>0</v>
      </c>
      <c r="O503">
        <f t="shared" si="135"/>
        <v>0</v>
      </c>
      <c r="P503">
        <f t="shared" si="136"/>
        <v>0</v>
      </c>
      <c r="Q503">
        <f t="shared" si="137"/>
        <v>0</v>
      </c>
      <c r="X503" t="str">
        <f t="shared" si="139"/>
        <v/>
      </c>
      <c r="Y503" t="str">
        <f t="shared" si="140"/>
        <v/>
      </c>
      <c r="Z503" t="str">
        <f t="shared" si="141"/>
        <v/>
      </c>
      <c r="AA503" t="str">
        <f t="shared" si="142"/>
        <v/>
      </c>
      <c r="AB503" t="str">
        <f t="shared" si="143"/>
        <v/>
      </c>
      <c r="AC503" t="str">
        <f t="shared" si="144"/>
        <v/>
      </c>
      <c r="AD503" t="str">
        <f t="shared" si="145"/>
        <v/>
      </c>
    </row>
    <row r="504" spans="14:30" thickBot="1" x14ac:dyDescent="0.3">
      <c r="N504">
        <f t="shared" si="138"/>
        <v>0</v>
      </c>
      <c r="O504">
        <f t="shared" si="135"/>
        <v>0</v>
      </c>
      <c r="P504">
        <f t="shared" si="136"/>
        <v>0</v>
      </c>
      <c r="Q504">
        <f t="shared" si="137"/>
        <v>0</v>
      </c>
      <c r="X504" t="str">
        <f t="shared" si="139"/>
        <v/>
      </c>
      <c r="Y504" t="str">
        <f t="shared" si="140"/>
        <v/>
      </c>
      <c r="Z504" t="str">
        <f t="shared" si="141"/>
        <v/>
      </c>
      <c r="AA504" t="str">
        <f t="shared" si="142"/>
        <v/>
      </c>
      <c r="AB504" t="str">
        <f t="shared" si="143"/>
        <v/>
      </c>
      <c r="AC504" t="str">
        <f t="shared" si="144"/>
        <v/>
      </c>
      <c r="AD504" t="str">
        <f t="shared" si="145"/>
        <v/>
      </c>
    </row>
    <row r="505" spans="14:30" thickBot="1" x14ac:dyDescent="0.3">
      <c r="N505">
        <f t="shared" si="138"/>
        <v>0</v>
      </c>
      <c r="O505">
        <f t="shared" si="135"/>
        <v>0</v>
      </c>
      <c r="P505">
        <f t="shared" si="136"/>
        <v>0</v>
      </c>
      <c r="Q505">
        <f t="shared" si="137"/>
        <v>0</v>
      </c>
      <c r="X505" t="str">
        <f t="shared" si="139"/>
        <v/>
      </c>
      <c r="Y505" t="str">
        <f t="shared" si="140"/>
        <v/>
      </c>
      <c r="Z505" t="str">
        <f t="shared" si="141"/>
        <v/>
      </c>
      <c r="AA505" t="str">
        <f t="shared" si="142"/>
        <v/>
      </c>
      <c r="AB505" t="str">
        <f t="shared" si="143"/>
        <v/>
      </c>
      <c r="AC505" t="str">
        <f t="shared" si="144"/>
        <v/>
      </c>
      <c r="AD505" t="str">
        <f t="shared" si="145"/>
        <v/>
      </c>
    </row>
    <row r="506" spans="14:30" thickBot="1" x14ac:dyDescent="0.3">
      <c r="N506">
        <f t="shared" si="138"/>
        <v>0</v>
      </c>
      <c r="O506">
        <f t="shared" si="135"/>
        <v>0</v>
      </c>
      <c r="P506">
        <f t="shared" si="136"/>
        <v>0</v>
      </c>
      <c r="Q506">
        <f t="shared" si="137"/>
        <v>0</v>
      </c>
      <c r="X506" t="str">
        <f t="shared" si="139"/>
        <v/>
      </c>
      <c r="Y506" t="str">
        <f t="shared" si="140"/>
        <v/>
      </c>
      <c r="Z506" t="str">
        <f t="shared" si="141"/>
        <v/>
      </c>
      <c r="AA506" t="str">
        <f t="shared" si="142"/>
        <v/>
      </c>
      <c r="AB506" t="str">
        <f t="shared" si="143"/>
        <v/>
      </c>
      <c r="AC506" t="str">
        <f t="shared" si="144"/>
        <v/>
      </c>
      <c r="AD506" t="str">
        <f t="shared" si="145"/>
        <v/>
      </c>
    </row>
    <row r="507" spans="14:30" thickBot="1" x14ac:dyDescent="0.3">
      <c r="N507">
        <f t="shared" si="138"/>
        <v>0</v>
      </c>
      <c r="O507">
        <f t="shared" si="135"/>
        <v>0</v>
      </c>
      <c r="P507">
        <f t="shared" si="136"/>
        <v>0</v>
      </c>
      <c r="Q507">
        <f t="shared" si="137"/>
        <v>0</v>
      </c>
      <c r="V507">
        <v>25</v>
      </c>
      <c r="X507" t="str">
        <f t="shared" si="139"/>
        <v/>
      </c>
      <c r="Y507" t="str">
        <f t="shared" si="140"/>
        <v/>
      </c>
      <c r="Z507" t="str">
        <f t="shared" si="141"/>
        <v/>
      </c>
      <c r="AA507" t="str">
        <f t="shared" si="142"/>
        <v/>
      </c>
      <c r="AB507" t="str">
        <f t="shared" si="143"/>
        <v>,</v>
      </c>
      <c r="AC507" t="str">
        <f t="shared" si="144"/>
        <v/>
      </c>
      <c r="AD507" t="str">
        <f t="shared" si="145"/>
        <v/>
      </c>
    </row>
    <row r="508" spans="14:30" thickBot="1" x14ac:dyDescent="0.3">
      <c r="N508">
        <f t="shared" si="138"/>
        <v>0</v>
      </c>
      <c r="O508">
        <f t="shared" si="135"/>
        <v>0</v>
      </c>
      <c r="P508">
        <f t="shared" si="136"/>
        <v>0</v>
      </c>
      <c r="Q508">
        <f t="shared" si="137"/>
        <v>0</v>
      </c>
      <c r="X508" t="str">
        <f t="shared" si="139"/>
        <v/>
      </c>
      <c r="Y508" t="str">
        <f t="shared" si="140"/>
        <v/>
      </c>
      <c r="Z508" t="str">
        <f t="shared" si="141"/>
        <v/>
      </c>
      <c r="AA508" t="str">
        <f t="shared" si="142"/>
        <v/>
      </c>
      <c r="AB508" t="str">
        <f t="shared" si="143"/>
        <v/>
      </c>
      <c r="AC508" t="str">
        <f t="shared" si="144"/>
        <v/>
      </c>
      <c r="AD508" t="str">
        <f t="shared" si="145"/>
        <v/>
      </c>
    </row>
    <row r="509" spans="14:30" thickBot="1" x14ac:dyDescent="0.3">
      <c r="N509">
        <f t="shared" si="138"/>
        <v>0</v>
      </c>
      <c r="O509">
        <f t="shared" si="135"/>
        <v>0</v>
      </c>
      <c r="P509">
        <f t="shared" si="136"/>
        <v>0</v>
      </c>
      <c r="Q509">
        <f t="shared" si="137"/>
        <v>0</v>
      </c>
      <c r="X509" t="str">
        <f t="shared" si="139"/>
        <v/>
      </c>
      <c r="Y509" t="str">
        <f t="shared" si="140"/>
        <v/>
      </c>
      <c r="Z509" t="str">
        <f t="shared" si="141"/>
        <v/>
      </c>
      <c r="AA509" t="str">
        <f t="shared" si="142"/>
        <v/>
      </c>
      <c r="AB509" t="str">
        <f t="shared" si="143"/>
        <v/>
      </c>
      <c r="AC509" t="str">
        <f t="shared" si="144"/>
        <v/>
      </c>
      <c r="AD509" t="str">
        <f t="shared" si="145"/>
        <v/>
      </c>
    </row>
    <row r="510" spans="14:30" thickBot="1" x14ac:dyDescent="0.3">
      <c r="N510">
        <f t="shared" si="138"/>
        <v>0</v>
      </c>
      <c r="O510">
        <f t="shared" si="135"/>
        <v>0</v>
      </c>
      <c r="P510">
        <f t="shared" si="136"/>
        <v>0</v>
      </c>
      <c r="Q510">
        <f t="shared" si="137"/>
        <v>0</v>
      </c>
      <c r="X510" t="str">
        <f t="shared" si="139"/>
        <v/>
      </c>
      <c r="Y510" t="str">
        <f t="shared" si="140"/>
        <v/>
      </c>
      <c r="Z510" t="str">
        <f t="shared" si="141"/>
        <v/>
      </c>
      <c r="AA510" t="str">
        <f t="shared" si="142"/>
        <v/>
      </c>
      <c r="AB510" t="str">
        <f t="shared" si="143"/>
        <v/>
      </c>
      <c r="AC510" t="str">
        <f t="shared" si="144"/>
        <v/>
      </c>
      <c r="AD510" t="str">
        <f t="shared" si="145"/>
        <v/>
      </c>
    </row>
    <row r="511" spans="14:30" thickBot="1" x14ac:dyDescent="0.3">
      <c r="N511">
        <f t="shared" si="138"/>
        <v>0</v>
      </c>
      <c r="O511">
        <f t="shared" si="135"/>
        <v>0</v>
      </c>
      <c r="P511">
        <f t="shared" si="136"/>
        <v>0</v>
      </c>
      <c r="Q511">
        <f t="shared" si="137"/>
        <v>0</v>
      </c>
      <c r="X511" t="str">
        <f t="shared" si="139"/>
        <v/>
      </c>
      <c r="Y511" t="str">
        <f t="shared" si="140"/>
        <v/>
      </c>
      <c r="Z511" t="str">
        <f t="shared" si="141"/>
        <v/>
      </c>
      <c r="AA511" t="str">
        <f t="shared" si="142"/>
        <v/>
      </c>
      <c r="AB511" t="str">
        <f t="shared" si="143"/>
        <v/>
      </c>
      <c r="AC511" t="str">
        <f t="shared" si="144"/>
        <v/>
      </c>
      <c r="AD511" t="str">
        <f t="shared" si="145"/>
        <v/>
      </c>
    </row>
    <row r="512" spans="14:30" thickBot="1" x14ac:dyDescent="0.3">
      <c r="N512">
        <f t="shared" si="138"/>
        <v>0</v>
      </c>
      <c r="O512">
        <f t="shared" si="135"/>
        <v>0</v>
      </c>
      <c r="P512">
        <f t="shared" si="136"/>
        <v>0</v>
      </c>
      <c r="Q512">
        <f t="shared" si="137"/>
        <v>0</v>
      </c>
      <c r="X512" t="str">
        <f t="shared" si="139"/>
        <v/>
      </c>
      <c r="Y512" t="str">
        <f t="shared" si="140"/>
        <v/>
      </c>
      <c r="Z512" t="str">
        <f t="shared" si="141"/>
        <v/>
      </c>
      <c r="AA512" t="str">
        <f t="shared" si="142"/>
        <v/>
      </c>
      <c r="AB512" t="str">
        <f t="shared" si="143"/>
        <v/>
      </c>
      <c r="AC512" t="str">
        <f t="shared" si="144"/>
        <v/>
      </c>
      <c r="AD512" t="str">
        <f t="shared" si="145"/>
        <v/>
      </c>
    </row>
    <row r="513" spans="14:30" thickBot="1" x14ac:dyDescent="0.3">
      <c r="N513">
        <f t="shared" si="138"/>
        <v>0</v>
      </c>
      <c r="O513">
        <f t="shared" ref="O513:O576" si="146">B513</f>
        <v>0</v>
      </c>
      <c r="P513">
        <f t="shared" ref="P513:P576" si="147">C513</f>
        <v>0</v>
      </c>
      <c r="Q513">
        <f t="shared" ref="Q513:Q576" si="148">D513</f>
        <v>0</v>
      </c>
      <c r="X513" t="str">
        <f t="shared" si="139"/>
        <v/>
      </c>
      <c r="Y513" t="str">
        <f t="shared" si="140"/>
        <v/>
      </c>
      <c r="Z513" t="str">
        <f t="shared" si="141"/>
        <v/>
      </c>
      <c r="AA513" t="str">
        <f t="shared" si="142"/>
        <v/>
      </c>
      <c r="AB513" t="str">
        <f t="shared" si="143"/>
        <v/>
      </c>
      <c r="AC513" t="str">
        <f t="shared" si="144"/>
        <v/>
      </c>
      <c r="AD513" t="str">
        <f t="shared" si="145"/>
        <v/>
      </c>
    </row>
    <row r="514" spans="14:30" thickBot="1" x14ac:dyDescent="0.3">
      <c r="N514">
        <f t="shared" ref="N514:N577" si="149">A514</f>
        <v>0</v>
      </c>
      <c r="O514">
        <f t="shared" si="146"/>
        <v>0</v>
      </c>
      <c r="P514">
        <f t="shared" si="147"/>
        <v>0</v>
      </c>
      <c r="Q514">
        <f t="shared" si="148"/>
        <v>0</v>
      </c>
      <c r="X514" t="str">
        <f t="shared" si="139"/>
        <v/>
      </c>
      <c r="Y514" t="str">
        <f t="shared" si="140"/>
        <v/>
      </c>
      <c r="Z514" t="str">
        <f t="shared" si="141"/>
        <v/>
      </c>
      <c r="AA514" t="str">
        <f t="shared" si="142"/>
        <v/>
      </c>
      <c r="AB514" t="str">
        <f t="shared" si="143"/>
        <v/>
      </c>
      <c r="AC514" t="str">
        <f t="shared" si="144"/>
        <v/>
      </c>
      <c r="AD514" t="str">
        <f t="shared" si="145"/>
        <v/>
      </c>
    </row>
    <row r="515" spans="14:30" thickBot="1" x14ac:dyDescent="0.3">
      <c r="N515">
        <f t="shared" si="149"/>
        <v>0</v>
      </c>
      <c r="O515">
        <f t="shared" si="146"/>
        <v>0</v>
      </c>
      <c r="P515">
        <f t="shared" si="147"/>
        <v>0</v>
      </c>
      <c r="Q515">
        <f t="shared" si="148"/>
        <v>0</v>
      </c>
      <c r="X515" t="str">
        <f t="shared" si="139"/>
        <v/>
      </c>
      <c r="Y515" t="str">
        <f t="shared" si="140"/>
        <v/>
      </c>
      <c r="Z515" t="str">
        <f t="shared" si="141"/>
        <v/>
      </c>
      <c r="AA515" t="str">
        <f t="shared" si="142"/>
        <v/>
      </c>
      <c r="AB515" t="str">
        <f t="shared" si="143"/>
        <v/>
      </c>
      <c r="AC515" t="str">
        <f t="shared" si="144"/>
        <v/>
      </c>
      <c r="AD515" t="str">
        <f t="shared" si="145"/>
        <v/>
      </c>
    </row>
    <row r="516" spans="14:30" thickBot="1" x14ac:dyDescent="0.3">
      <c r="N516">
        <f t="shared" si="149"/>
        <v>0</v>
      </c>
      <c r="O516">
        <f t="shared" si="146"/>
        <v>0</v>
      </c>
      <c r="P516">
        <f t="shared" si="147"/>
        <v>0</v>
      </c>
      <c r="Q516">
        <f t="shared" si="148"/>
        <v>0</v>
      </c>
      <c r="X516" t="str">
        <f t="shared" si="139"/>
        <v/>
      </c>
      <c r="Y516" t="str">
        <f t="shared" si="140"/>
        <v/>
      </c>
      <c r="Z516" t="str">
        <f t="shared" si="141"/>
        <v/>
      </c>
      <c r="AA516" t="str">
        <f t="shared" si="142"/>
        <v/>
      </c>
      <c r="AB516" t="str">
        <f t="shared" si="143"/>
        <v/>
      </c>
      <c r="AC516" t="str">
        <f t="shared" si="144"/>
        <v/>
      </c>
      <c r="AD516" t="str">
        <f t="shared" si="145"/>
        <v/>
      </c>
    </row>
    <row r="517" spans="14:30" thickBot="1" x14ac:dyDescent="0.3">
      <c r="N517">
        <f t="shared" si="149"/>
        <v>0</v>
      </c>
      <c r="O517">
        <f t="shared" si="146"/>
        <v>0</v>
      </c>
      <c r="P517">
        <f t="shared" si="147"/>
        <v>0</v>
      </c>
      <c r="Q517">
        <f t="shared" si="148"/>
        <v>0</v>
      </c>
      <c r="X517" t="str">
        <f t="shared" si="139"/>
        <v/>
      </c>
      <c r="Y517" t="str">
        <f t="shared" si="140"/>
        <v/>
      </c>
      <c r="Z517" t="str">
        <f t="shared" si="141"/>
        <v/>
      </c>
      <c r="AA517" t="str">
        <f t="shared" si="142"/>
        <v/>
      </c>
      <c r="AB517" t="str">
        <f t="shared" si="143"/>
        <v/>
      </c>
      <c r="AC517" t="str">
        <f t="shared" si="144"/>
        <v/>
      </c>
      <c r="AD517" t="str">
        <f t="shared" si="145"/>
        <v/>
      </c>
    </row>
    <row r="518" spans="14:30" thickBot="1" x14ac:dyDescent="0.3">
      <c r="N518">
        <f t="shared" si="149"/>
        <v>0</v>
      </c>
      <c r="O518">
        <f t="shared" si="146"/>
        <v>0</v>
      </c>
      <c r="P518">
        <f t="shared" si="147"/>
        <v>0</v>
      </c>
      <c r="Q518">
        <f t="shared" si="148"/>
        <v>0</v>
      </c>
      <c r="X518" t="str">
        <f t="shared" si="139"/>
        <v/>
      </c>
      <c r="Y518" t="str">
        <f t="shared" si="140"/>
        <v/>
      </c>
      <c r="Z518" t="str">
        <f t="shared" si="141"/>
        <v/>
      </c>
      <c r="AA518" t="str">
        <f t="shared" si="142"/>
        <v/>
      </c>
      <c r="AB518" t="str">
        <f t="shared" si="143"/>
        <v/>
      </c>
      <c r="AC518" t="str">
        <f t="shared" si="144"/>
        <v/>
      </c>
      <c r="AD518" t="str">
        <f t="shared" si="145"/>
        <v/>
      </c>
    </row>
    <row r="519" spans="14:30" thickBot="1" x14ac:dyDescent="0.3">
      <c r="N519">
        <f t="shared" si="149"/>
        <v>0</v>
      </c>
      <c r="O519">
        <f t="shared" si="146"/>
        <v>0</v>
      </c>
      <c r="P519">
        <f t="shared" si="147"/>
        <v>0</v>
      </c>
      <c r="Q519">
        <f t="shared" si="148"/>
        <v>0</v>
      </c>
      <c r="X519" t="str">
        <f t="shared" si="139"/>
        <v/>
      </c>
      <c r="Y519" t="str">
        <f t="shared" si="140"/>
        <v/>
      </c>
      <c r="Z519" t="str">
        <f t="shared" si="141"/>
        <v/>
      </c>
      <c r="AA519" t="str">
        <f t="shared" si="142"/>
        <v/>
      </c>
      <c r="AB519" t="str">
        <f t="shared" si="143"/>
        <v/>
      </c>
      <c r="AC519" t="str">
        <f t="shared" si="144"/>
        <v/>
      </c>
      <c r="AD519" t="str">
        <f t="shared" si="145"/>
        <v/>
      </c>
    </row>
    <row r="520" spans="14:30" thickBot="1" x14ac:dyDescent="0.3">
      <c r="N520">
        <f t="shared" si="149"/>
        <v>0</v>
      </c>
      <c r="O520">
        <f t="shared" si="146"/>
        <v>0</v>
      </c>
      <c r="P520">
        <f t="shared" si="147"/>
        <v>0</v>
      </c>
      <c r="Q520">
        <f t="shared" si="148"/>
        <v>0</v>
      </c>
      <c r="X520" t="str">
        <f t="shared" ref="X520:X583" si="150">IF(R520="","",",")</f>
        <v/>
      </c>
      <c r="Y520" t="str">
        <f t="shared" ref="Y520:Y583" si="151">IF(S520="","",",")</f>
        <v/>
      </c>
      <c r="Z520" t="str">
        <f t="shared" ref="Z520:Z583" si="152">IF(T520="","",",")</f>
        <v/>
      </c>
      <c r="AA520" t="str">
        <f t="shared" ref="AA520:AA583" si="153">IF(U520="","",",")</f>
        <v/>
      </c>
      <c r="AB520" t="str">
        <f t="shared" ref="AB520:AB583" si="154">IF(V520="","",",")</f>
        <v/>
      </c>
      <c r="AC520" t="str">
        <f t="shared" ref="AC520:AC583" si="155">IF(W520="","",",")</f>
        <v/>
      </c>
      <c r="AD520" t="str">
        <f t="shared" ref="AD520:AD583" si="156">IF(X520="","",",")</f>
        <v/>
      </c>
    </row>
    <row r="521" spans="14:30" thickBot="1" x14ac:dyDescent="0.3">
      <c r="N521">
        <f t="shared" si="149"/>
        <v>0</v>
      </c>
      <c r="O521">
        <f t="shared" si="146"/>
        <v>0</v>
      </c>
      <c r="P521">
        <f t="shared" si="147"/>
        <v>0</v>
      </c>
      <c r="Q521">
        <f t="shared" si="148"/>
        <v>0</v>
      </c>
      <c r="X521" t="str">
        <f t="shared" si="150"/>
        <v/>
      </c>
      <c r="Y521" t="str">
        <f t="shared" si="151"/>
        <v/>
      </c>
      <c r="Z521" t="str">
        <f t="shared" si="152"/>
        <v/>
      </c>
      <c r="AA521" t="str">
        <f t="shared" si="153"/>
        <v/>
      </c>
      <c r="AB521" t="str">
        <f t="shared" si="154"/>
        <v/>
      </c>
      <c r="AC521" t="str">
        <f t="shared" si="155"/>
        <v/>
      </c>
      <c r="AD521" t="str">
        <f t="shared" si="156"/>
        <v/>
      </c>
    </row>
    <row r="522" spans="14:30" thickBot="1" x14ac:dyDescent="0.3">
      <c r="N522">
        <f t="shared" si="149"/>
        <v>0</v>
      </c>
      <c r="O522">
        <f t="shared" si="146"/>
        <v>0</v>
      </c>
      <c r="P522">
        <f t="shared" si="147"/>
        <v>0</v>
      </c>
      <c r="Q522">
        <f t="shared" si="148"/>
        <v>0</v>
      </c>
      <c r="X522" t="str">
        <f t="shared" si="150"/>
        <v/>
      </c>
      <c r="Y522" t="str">
        <f t="shared" si="151"/>
        <v/>
      </c>
      <c r="Z522" t="str">
        <f t="shared" si="152"/>
        <v/>
      </c>
      <c r="AA522" t="str">
        <f t="shared" si="153"/>
        <v/>
      </c>
      <c r="AB522" t="str">
        <f t="shared" si="154"/>
        <v/>
      </c>
      <c r="AC522" t="str">
        <f t="shared" si="155"/>
        <v/>
      </c>
      <c r="AD522" t="str">
        <f t="shared" si="156"/>
        <v/>
      </c>
    </row>
    <row r="523" spans="14:30" thickBot="1" x14ac:dyDescent="0.3">
      <c r="N523">
        <f t="shared" si="149"/>
        <v>0</v>
      </c>
      <c r="O523">
        <f t="shared" si="146"/>
        <v>0</v>
      </c>
      <c r="P523">
        <f t="shared" si="147"/>
        <v>0</v>
      </c>
      <c r="Q523">
        <f t="shared" si="148"/>
        <v>0</v>
      </c>
      <c r="X523" t="str">
        <f t="shared" si="150"/>
        <v/>
      </c>
      <c r="Y523" t="str">
        <f t="shared" si="151"/>
        <v/>
      </c>
      <c r="Z523" t="str">
        <f t="shared" si="152"/>
        <v/>
      </c>
      <c r="AA523" t="str">
        <f t="shared" si="153"/>
        <v/>
      </c>
      <c r="AB523" t="str">
        <f t="shared" si="154"/>
        <v/>
      </c>
      <c r="AC523" t="str">
        <f t="shared" si="155"/>
        <v/>
      </c>
      <c r="AD523" t="str">
        <f t="shared" si="156"/>
        <v/>
      </c>
    </row>
    <row r="524" spans="14:30" thickBot="1" x14ac:dyDescent="0.3">
      <c r="N524">
        <f t="shared" si="149"/>
        <v>0</v>
      </c>
      <c r="O524">
        <f t="shared" si="146"/>
        <v>0</v>
      </c>
      <c r="P524">
        <f t="shared" si="147"/>
        <v>0</v>
      </c>
      <c r="Q524">
        <f t="shared" si="148"/>
        <v>0</v>
      </c>
      <c r="X524" t="str">
        <f t="shared" si="150"/>
        <v/>
      </c>
      <c r="Y524" t="str">
        <f t="shared" si="151"/>
        <v/>
      </c>
      <c r="Z524" t="str">
        <f t="shared" si="152"/>
        <v/>
      </c>
      <c r="AA524" t="str">
        <f t="shared" si="153"/>
        <v/>
      </c>
      <c r="AB524" t="str">
        <f t="shared" si="154"/>
        <v/>
      </c>
      <c r="AC524" t="str">
        <f t="shared" si="155"/>
        <v/>
      </c>
      <c r="AD524" t="str">
        <f t="shared" si="156"/>
        <v/>
      </c>
    </row>
    <row r="525" spans="14:30" thickBot="1" x14ac:dyDescent="0.3">
      <c r="N525">
        <f t="shared" si="149"/>
        <v>0</v>
      </c>
      <c r="O525">
        <f t="shared" si="146"/>
        <v>0</v>
      </c>
      <c r="P525">
        <f t="shared" si="147"/>
        <v>0</v>
      </c>
      <c r="Q525">
        <f t="shared" si="148"/>
        <v>0</v>
      </c>
      <c r="X525" t="str">
        <f t="shared" si="150"/>
        <v/>
      </c>
      <c r="Y525" t="str">
        <f t="shared" si="151"/>
        <v/>
      </c>
      <c r="Z525" t="str">
        <f t="shared" si="152"/>
        <v/>
      </c>
      <c r="AA525" t="str">
        <f t="shared" si="153"/>
        <v/>
      </c>
      <c r="AB525" t="str">
        <f t="shared" si="154"/>
        <v/>
      </c>
      <c r="AC525" t="str">
        <f t="shared" si="155"/>
        <v/>
      </c>
      <c r="AD525" t="str">
        <f t="shared" si="156"/>
        <v/>
      </c>
    </row>
    <row r="526" spans="14:30" thickBot="1" x14ac:dyDescent="0.3">
      <c r="N526">
        <f t="shared" si="149"/>
        <v>0</v>
      </c>
      <c r="O526">
        <f t="shared" si="146"/>
        <v>0</v>
      </c>
      <c r="P526">
        <f t="shared" si="147"/>
        <v>0</v>
      </c>
      <c r="Q526">
        <f t="shared" si="148"/>
        <v>0</v>
      </c>
      <c r="X526" t="str">
        <f t="shared" si="150"/>
        <v/>
      </c>
      <c r="Y526" t="str">
        <f t="shared" si="151"/>
        <v/>
      </c>
      <c r="Z526" t="str">
        <f t="shared" si="152"/>
        <v/>
      </c>
      <c r="AA526" t="str">
        <f t="shared" si="153"/>
        <v/>
      </c>
      <c r="AB526" t="str">
        <f t="shared" si="154"/>
        <v/>
      </c>
      <c r="AC526" t="str">
        <f t="shared" si="155"/>
        <v/>
      </c>
      <c r="AD526" t="str">
        <f t="shared" si="156"/>
        <v/>
      </c>
    </row>
    <row r="527" spans="14:30" thickBot="1" x14ac:dyDescent="0.3">
      <c r="N527">
        <f t="shared" si="149"/>
        <v>0</v>
      </c>
      <c r="O527">
        <f t="shared" si="146"/>
        <v>0</v>
      </c>
      <c r="P527">
        <f t="shared" si="147"/>
        <v>0</v>
      </c>
      <c r="Q527">
        <f t="shared" si="148"/>
        <v>0</v>
      </c>
      <c r="V527">
        <v>26</v>
      </c>
      <c r="X527" t="str">
        <f t="shared" si="150"/>
        <v/>
      </c>
      <c r="Y527" t="str">
        <f t="shared" si="151"/>
        <v/>
      </c>
      <c r="Z527" t="str">
        <f t="shared" si="152"/>
        <v/>
      </c>
      <c r="AA527" t="str">
        <f t="shared" si="153"/>
        <v/>
      </c>
      <c r="AB527" t="str">
        <f t="shared" si="154"/>
        <v>,</v>
      </c>
      <c r="AC527" t="str">
        <f t="shared" si="155"/>
        <v/>
      </c>
      <c r="AD527" t="str">
        <f t="shared" si="156"/>
        <v/>
      </c>
    </row>
    <row r="528" spans="14:30" thickBot="1" x14ac:dyDescent="0.3">
      <c r="N528">
        <f t="shared" si="149"/>
        <v>0</v>
      </c>
      <c r="O528">
        <f t="shared" si="146"/>
        <v>0</v>
      </c>
      <c r="P528">
        <f t="shared" si="147"/>
        <v>0</v>
      </c>
      <c r="Q528">
        <f t="shared" si="148"/>
        <v>0</v>
      </c>
      <c r="X528" t="str">
        <f t="shared" si="150"/>
        <v/>
      </c>
      <c r="Y528" t="str">
        <f t="shared" si="151"/>
        <v/>
      </c>
      <c r="Z528" t="str">
        <f t="shared" si="152"/>
        <v/>
      </c>
      <c r="AA528" t="str">
        <f t="shared" si="153"/>
        <v/>
      </c>
      <c r="AB528" t="str">
        <f t="shared" si="154"/>
        <v/>
      </c>
      <c r="AC528" t="str">
        <f t="shared" si="155"/>
        <v/>
      </c>
      <c r="AD528" t="str">
        <f t="shared" si="156"/>
        <v/>
      </c>
    </row>
    <row r="529" spans="14:30" thickBot="1" x14ac:dyDescent="0.3">
      <c r="N529">
        <f t="shared" si="149"/>
        <v>0</v>
      </c>
      <c r="O529">
        <f t="shared" si="146"/>
        <v>0</v>
      </c>
      <c r="P529">
        <f t="shared" si="147"/>
        <v>0</v>
      </c>
      <c r="Q529">
        <f t="shared" si="148"/>
        <v>0</v>
      </c>
      <c r="X529" t="str">
        <f t="shared" si="150"/>
        <v/>
      </c>
      <c r="Y529" t="str">
        <f t="shared" si="151"/>
        <v/>
      </c>
      <c r="Z529" t="str">
        <f t="shared" si="152"/>
        <v/>
      </c>
      <c r="AA529" t="str">
        <f t="shared" si="153"/>
        <v/>
      </c>
      <c r="AB529" t="str">
        <f t="shared" si="154"/>
        <v/>
      </c>
      <c r="AC529" t="str">
        <f t="shared" si="155"/>
        <v/>
      </c>
      <c r="AD529" t="str">
        <f t="shared" si="156"/>
        <v/>
      </c>
    </row>
    <row r="530" spans="14:30" thickBot="1" x14ac:dyDescent="0.3">
      <c r="N530">
        <f t="shared" si="149"/>
        <v>0</v>
      </c>
      <c r="O530">
        <f t="shared" si="146"/>
        <v>0</v>
      </c>
      <c r="P530">
        <f t="shared" si="147"/>
        <v>0</v>
      </c>
      <c r="Q530">
        <f t="shared" si="148"/>
        <v>0</v>
      </c>
      <c r="X530" t="str">
        <f t="shared" si="150"/>
        <v/>
      </c>
      <c r="Y530" t="str">
        <f t="shared" si="151"/>
        <v/>
      </c>
      <c r="Z530" t="str">
        <f t="shared" si="152"/>
        <v/>
      </c>
      <c r="AA530" t="str">
        <f t="shared" si="153"/>
        <v/>
      </c>
      <c r="AB530" t="str">
        <f t="shared" si="154"/>
        <v/>
      </c>
      <c r="AC530" t="str">
        <f t="shared" si="155"/>
        <v/>
      </c>
      <c r="AD530" t="str">
        <f t="shared" si="156"/>
        <v/>
      </c>
    </row>
    <row r="531" spans="14:30" thickBot="1" x14ac:dyDescent="0.3">
      <c r="N531">
        <f t="shared" si="149"/>
        <v>0</v>
      </c>
      <c r="O531">
        <f t="shared" si="146"/>
        <v>0</v>
      </c>
      <c r="P531">
        <f t="shared" si="147"/>
        <v>0</v>
      </c>
      <c r="Q531">
        <f t="shared" si="148"/>
        <v>0</v>
      </c>
      <c r="X531" t="str">
        <f t="shared" si="150"/>
        <v/>
      </c>
      <c r="Y531" t="str">
        <f t="shared" si="151"/>
        <v/>
      </c>
      <c r="Z531" t="str">
        <f t="shared" si="152"/>
        <v/>
      </c>
      <c r="AA531" t="str">
        <f t="shared" si="153"/>
        <v/>
      </c>
      <c r="AB531" t="str">
        <f t="shared" si="154"/>
        <v/>
      </c>
      <c r="AC531" t="str">
        <f t="shared" si="155"/>
        <v/>
      </c>
      <c r="AD531" t="str">
        <f t="shared" si="156"/>
        <v/>
      </c>
    </row>
    <row r="532" spans="14:30" thickBot="1" x14ac:dyDescent="0.3">
      <c r="N532">
        <f t="shared" si="149"/>
        <v>0</v>
      </c>
      <c r="O532">
        <f t="shared" si="146"/>
        <v>0</v>
      </c>
      <c r="P532">
        <f t="shared" si="147"/>
        <v>0</v>
      </c>
      <c r="Q532">
        <f t="shared" si="148"/>
        <v>0</v>
      </c>
      <c r="X532" t="str">
        <f t="shared" si="150"/>
        <v/>
      </c>
      <c r="Y532" t="str">
        <f t="shared" si="151"/>
        <v/>
      </c>
      <c r="Z532" t="str">
        <f t="shared" si="152"/>
        <v/>
      </c>
      <c r="AA532" t="str">
        <f t="shared" si="153"/>
        <v/>
      </c>
      <c r="AB532" t="str">
        <f t="shared" si="154"/>
        <v/>
      </c>
      <c r="AC532" t="str">
        <f t="shared" si="155"/>
        <v/>
      </c>
      <c r="AD532" t="str">
        <f t="shared" si="156"/>
        <v/>
      </c>
    </row>
    <row r="533" spans="14:30" thickBot="1" x14ac:dyDescent="0.3">
      <c r="N533">
        <f t="shared" si="149"/>
        <v>0</v>
      </c>
      <c r="O533">
        <f t="shared" si="146"/>
        <v>0</v>
      </c>
      <c r="P533">
        <f t="shared" si="147"/>
        <v>0</v>
      </c>
      <c r="Q533">
        <f t="shared" si="148"/>
        <v>0</v>
      </c>
      <c r="X533" t="str">
        <f t="shared" si="150"/>
        <v/>
      </c>
      <c r="Y533" t="str">
        <f t="shared" si="151"/>
        <v/>
      </c>
      <c r="Z533" t="str">
        <f t="shared" si="152"/>
        <v/>
      </c>
      <c r="AA533" t="str">
        <f t="shared" si="153"/>
        <v/>
      </c>
      <c r="AB533" t="str">
        <f t="shared" si="154"/>
        <v/>
      </c>
      <c r="AC533" t="str">
        <f t="shared" si="155"/>
        <v/>
      </c>
      <c r="AD533" t="str">
        <f t="shared" si="156"/>
        <v/>
      </c>
    </row>
    <row r="534" spans="14:30" thickBot="1" x14ac:dyDescent="0.3">
      <c r="N534">
        <f t="shared" si="149"/>
        <v>0</v>
      </c>
      <c r="O534">
        <f t="shared" si="146"/>
        <v>0</v>
      </c>
      <c r="P534">
        <f t="shared" si="147"/>
        <v>0</v>
      </c>
      <c r="Q534">
        <f t="shared" si="148"/>
        <v>0</v>
      </c>
      <c r="X534" t="str">
        <f t="shared" si="150"/>
        <v/>
      </c>
      <c r="Y534" t="str">
        <f t="shared" si="151"/>
        <v/>
      </c>
      <c r="Z534" t="str">
        <f t="shared" si="152"/>
        <v/>
      </c>
      <c r="AA534" t="str">
        <f t="shared" si="153"/>
        <v/>
      </c>
      <c r="AB534" t="str">
        <f t="shared" si="154"/>
        <v/>
      </c>
      <c r="AC534" t="str">
        <f t="shared" si="155"/>
        <v/>
      </c>
      <c r="AD534" t="str">
        <f t="shared" si="156"/>
        <v/>
      </c>
    </row>
    <row r="535" spans="14:30" thickBot="1" x14ac:dyDescent="0.3">
      <c r="N535">
        <f t="shared" si="149"/>
        <v>0</v>
      </c>
      <c r="O535">
        <f t="shared" si="146"/>
        <v>0</v>
      </c>
      <c r="P535">
        <f t="shared" si="147"/>
        <v>0</v>
      </c>
      <c r="Q535">
        <f t="shared" si="148"/>
        <v>0</v>
      </c>
      <c r="X535" t="str">
        <f t="shared" si="150"/>
        <v/>
      </c>
      <c r="Y535" t="str">
        <f t="shared" si="151"/>
        <v/>
      </c>
      <c r="Z535" t="str">
        <f t="shared" si="152"/>
        <v/>
      </c>
      <c r="AA535" t="str">
        <f t="shared" si="153"/>
        <v/>
      </c>
      <c r="AB535" t="str">
        <f t="shared" si="154"/>
        <v/>
      </c>
      <c r="AC535" t="str">
        <f t="shared" si="155"/>
        <v/>
      </c>
      <c r="AD535" t="str">
        <f t="shared" si="156"/>
        <v/>
      </c>
    </row>
    <row r="536" spans="14:30" thickBot="1" x14ac:dyDescent="0.3">
      <c r="N536">
        <f t="shared" si="149"/>
        <v>0</v>
      </c>
      <c r="O536">
        <f t="shared" si="146"/>
        <v>0</v>
      </c>
      <c r="P536">
        <f t="shared" si="147"/>
        <v>0</v>
      </c>
      <c r="Q536">
        <f t="shared" si="148"/>
        <v>0</v>
      </c>
      <c r="X536" t="str">
        <f t="shared" si="150"/>
        <v/>
      </c>
      <c r="Y536" t="str">
        <f t="shared" si="151"/>
        <v/>
      </c>
      <c r="Z536" t="str">
        <f t="shared" si="152"/>
        <v/>
      </c>
      <c r="AA536" t="str">
        <f t="shared" si="153"/>
        <v/>
      </c>
      <c r="AB536" t="str">
        <f t="shared" si="154"/>
        <v/>
      </c>
      <c r="AC536" t="str">
        <f t="shared" si="155"/>
        <v/>
      </c>
      <c r="AD536" t="str">
        <f t="shared" si="156"/>
        <v/>
      </c>
    </row>
    <row r="537" spans="14:30" thickBot="1" x14ac:dyDescent="0.3">
      <c r="N537">
        <f t="shared" si="149"/>
        <v>0</v>
      </c>
      <c r="O537">
        <f t="shared" si="146"/>
        <v>0</v>
      </c>
      <c r="P537">
        <f t="shared" si="147"/>
        <v>0</v>
      </c>
      <c r="Q537">
        <f t="shared" si="148"/>
        <v>0</v>
      </c>
      <c r="X537" t="str">
        <f t="shared" si="150"/>
        <v/>
      </c>
      <c r="Y537" t="str">
        <f t="shared" si="151"/>
        <v/>
      </c>
      <c r="Z537" t="str">
        <f t="shared" si="152"/>
        <v/>
      </c>
      <c r="AA537" t="str">
        <f t="shared" si="153"/>
        <v/>
      </c>
      <c r="AB537" t="str">
        <f t="shared" si="154"/>
        <v/>
      </c>
      <c r="AC537" t="str">
        <f t="shared" si="155"/>
        <v/>
      </c>
      <c r="AD537" t="str">
        <f t="shared" si="156"/>
        <v/>
      </c>
    </row>
    <row r="538" spans="14:30" thickBot="1" x14ac:dyDescent="0.3">
      <c r="N538">
        <f t="shared" si="149"/>
        <v>0</v>
      </c>
      <c r="O538">
        <f t="shared" si="146"/>
        <v>0</v>
      </c>
      <c r="P538">
        <f t="shared" si="147"/>
        <v>0</v>
      </c>
      <c r="Q538">
        <f t="shared" si="148"/>
        <v>0</v>
      </c>
      <c r="X538" t="str">
        <f t="shared" si="150"/>
        <v/>
      </c>
      <c r="Y538" t="str">
        <f t="shared" si="151"/>
        <v/>
      </c>
      <c r="Z538" t="str">
        <f t="shared" si="152"/>
        <v/>
      </c>
      <c r="AA538" t="str">
        <f t="shared" si="153"/>
        <v/>
      </c>
      <c r="AB538" t="str">
        <f t="shared" si="154"/>
        <v/>
      </c>
      <c r="AC538" t="str">
        <f t="shared" si="155"/>
        <v/>
      </c>
      <c r="AD538" t="str">
        <f t="shared" si="156"/>
        <v/>
      </c>
    </row>
    <row r="539" spans="14:30" thickBot="1" x14ac:dyDescent="0.3">
      <c r="N539">
        <f t="shared" si="149"/>
        <v>0</v>
      </c>
      <c r="O539">
        <f t="shared" si="146"/>
        <v>0</v>
      </c>
      <c r="P539">
        <f t="shared" si="147"/>
        <v>0</v>
      </c>
      <c r="Q539">
        <f t="shared" si="148"/>
        <v>0</v>
      </c>
      <c r="X539" t="str">
        <f t="shared" si="150"/>
        <v/>
      </c>
      <c r="Y539" t="str">
        <f t="shared" si="151"/>
        <v/>
      </c>
      <c r="Z539" t="str">
        <f t="shared" si="152"/>
        <v/>
      </c>
      <c r="AA539" t="str">
        <f t="shared" si="153"/>
        <v/>
      </c>
      <c r="AB539" t="str">
        <f t="shared" si="154"/>
        <v/>
      </c>
      <c r="AC539" t="str">
        <f t="shared" si="155"/>
        <v/>
      </c>
      <c r="AD539" t="str">
        <f t="shared" si="156"/>
        <v/>
      </c>
    </row>
    <row r="540" spans="14:30" thickBot="1" x14ac:dyDescent="0.3">
      <c r="N540">
        <f t="shared" si="149"/>
        <v>0</v>
      </c>
      <c r="O540">
        <f t="shared" si="146"/>
        <v>0</v>
      </c>
      <c r="P540">
        <f t="shared" si="147"/>
        <v>0</v>
      </c>
      <c r="Q540">
        <f t="shared" si="148"/>
        <v>0</v>
      </c>
      <c r="X540" t="str">
        <f t="shared" si="150"/>
        <v/>
      </c>
      <c r="Y540" t="str">
        <f t="shared" si="151"/>
        <v/>
      </c>
      <c r="Z540" t="str">
        <f t="shared" si="152"/>
        <v/>
      </c>
      <c r="AA540" t="str">
        <f t="shared" si="153"/>
        <v/>
      </c>
      <c r="AB540" t="str">
        <f t="shared" si="154"/>
        <v/>
      </c>
      <c r="AC540" t="str">
        <f t="shared" si="155"/>
        <v/>
      </c>
      <c r="AD540" t="str">
        <f t="shared" si="156"/>
        <v/>
      </c>
    </row>
    <row r="541" spans="14:30" thickBot="1" x14ac:dyDescent="0.3">
      <c r="N541">
        <f t="shared" si="149"/>
        <v>0</v>
      </c>
      <c r="O541">
        <f t="shared" si="146"/>
        <v>0</v>
      </c>
      <c r="P541">
        <f t="shared" si="147"/>
        <v>0</v>
      </c>
      <c r="Q541">
        <f t="shared" si="148"/>
        <v>0</v>
      </c>
      <c r="X541" t="str">
        <f t="shared" si="150"/>
        <v/>
      </c>
      <c r="Y541" t="str">
        <f t="shared" si="151"/>
        <v/>
      </c>
      <c r="Z541" t="str">
        <f t="shared" si="152"/>
        <v/>
      </c>
      <c r="AA541" t="str">
        <f t="shared" si="153"/>
        <v/>
      </c>
      <c r="AB541" t="str">
        <f t="shared" si="154"/>
        <v/>
      </c>
      <c r="AC541" t="str">
        <f t="shared" si="155"/>
        <v/>
      </c>
      <c r="AD541" t="str">
        <f t="shared" si="156"/>
        <v/>
      </c>
    </row>
    <row r="542" spans="14:30" thickBot="1" x14ac:dyDescent="0.3">
      <c r="N542">
        <f t="shared" si="149"/>
        <v>0</v>
      </c>
      <c r="O542">
        <f t="shared" si="146"/>
        <v>0</v>
      </c>
      <c r="P542">
        <f t="shared" si="147"/>
        <v>0</v>
      </c>
      <c r="Q542">
        <f t="shared" si="148"/>
        <v>0</v>
      </c>
      <c r="X542" t="str">
        <f t="shared" si="150"/>
        <v/>
      </c>
      <c r="Y542" t="str">
        <f t="shared" si="151"/>
        <v/>
      </c>
      <c r="Z542" t="str">
        <f t="shared" si="152"/>
        <v/>
      </c>
      <c r="AA542" t="str">
        <f t="shared" si="153"/>
        <v/>
      </c>
      <c r="AB542" t="str">
        <f t="shared" si="154"/>
        <v/>
      </c>
      <c r="AC542" t="str">
        <f t="shared" si="155"/>
        <v/>
      </c>
      <c r="AD542" t="str">
        <f t="shared" si="156"/>
        <v/>
      </c>
    </row>
    <row r="543" spans="14:30" thickBot="1" x14ac:dyDescent="0.3">
      <c r="N543">
        <f t="shared" si="149"/>
        <v>0</v>
      </c>
      <c r="O543">
        <f t="shared" si="146"/>
        <v>0</v>
      </c>
      <c r="P543">
        <f t="shared" si="147"/>
        <v>0</v>
      </c>
      <c r="Q543">
        <f t="shared" si="148"/>
        <v>0</v>
      </c>
      <c r="X543" t="str">
        <f t="shared" si="150"/>
        <v/>
      </c>
      <c r="Y543" t="str">
        <f t="shared" si="151"/>
        <v/>
      </c>
      <c r="Z543" t="str">
        <f t="shared" si="152"/>
        <v/>
      </c>
      <c r="AA543" t="str">
        <f t="shared" si="153"/>
        <v/>
      </c>
      <c r="AB543" t="str">
        <f t="shared" si="154"/>
        <v/>
      </c>
      <c r="AC543" t="str">
        <f t="shared" si="155"/>
        <v/>
      </c>
      <c r="AD543" t="str">
        <f t="shared" si="156"/>
        <v/>
      </c>
    </row>
    <row r="544" spans="14:30" thickBot="1" x14ac:dyDescent="0.3">
      <c r="N544">
        <f t="shared" si="149"/>
        <v>0</v>
      </c>
      <c r="O544">
        <f t="shared" si="146"/>
        <v>0</v>
      </c>
      <c r="P544">
        <f t="shared" si="147"/>
        <v>0</v>
      </c>
      <c r="Q544">
        <f t="shared" si="148"/>
        <v>0</v>
      </c>
      <c r="X544" t="str">
        <f t="shared" si="150"/>
        <v/>
      </c>
      <c r="Y544" t="str">
        <f t="shared" si="151"/>
        <v/>
      </c>
      <c r="Z544" t="str">
        <f t="shared" si="152"/>
        <v/>
      </c>
      <c r="AA544" t="str">
        <f t="shared" si="153"/>
        <v/>
      </c>
      <c r="AB544" t="str">
        <f t="shared" si="154"/>
        <v/>
      </c>
      <c r="AC544" t="str">
        <f t="shared" si="155"/>
        <v/>
      </c>
      <c r="AD544" t="str">
        <f t="shared" si="156"/>
        <v/>
      </c>
    </row>
    <row r="545" spans="14:30" thickBot="1" x14ac:dyDescent="0.3">
      <c r="N545">
        <f t="shared" si="149"/>
        <v>0</v>
      </c>
      <c r="O545">
        <f t="shared" si="146"/>
        <v>0</v>
      </c>
      <c r="P545">
        <f t="shared" si="147"/>
        <v>0</v>
      </c>
      <c r="Q545">
        <f t="shared" si="148"/>
        <v>0</v>
      </c>
      <c r="X545" t="str">
        <f t="shared" si="150"/>
        <v/>
      </c>
      <c r="Y545" t="str">
        <f t="shared" si="151"/>
        <v/>
      </c>
      <c r="Z545" t="str">
        <f t="shared" si="152"/>
        <v/>
      </c>
      <c r="AA545" t="str">
        <f t="shared" si="153"/>
        <v/>
      </c>
      <c r="AB545" t="str">
        <f t="shared" si="154"/>
        <v/>
      </c>
      <c r="AC545" t="str">
        <f t="shared" si="155"/>
        <v/>
      </c>
      <c r="AD545" t="str">
        <f t="shared" si="156"/>
        <v/>
      </c>
    </row>
    <row r="546" spans="14:30" thickBot="1" x14ac:dyDescent="0.3">
      <c r="N546">
        <f t="shared" si="149"/>
        <v>0</v>
      </c>
      <c r="O546">
        <f t="shared" si="146"/>
        <v>0</v>
      </c>
      <c r="P546">
        <f t="shared" si="147"/>
        <v>0</v>
      </c>
      <c r="Q546">
        <f t="shared" si="148"/>
        <v>0</v>
      </c>
      <c r="X546" t="str">
        <f t="shared" si="150"/>
        <v/>
      </c>
      <c r="Y546" t="str">
        <f t="shared" si="151"/>
        <v/>
      </c>
      <c r="Z546" t="str">
        <f t="shared" si="152"/>
        <v/>
      </c>
      <c r="AA546" t="str">
        <f t="shared" si="153"/>
        <v/>
      </c>
      <c r="AB546" t="str">
        <f t="shared" si="154"/>
        <v/>
      </c>
      <c r="AC546" t="str">
        <f t="shared" si="155"/>
        <v/>
      </c>
      <c r="AD546" t="str">
        <f t="shared" si="156"/>
        <v/>
      </c>
    </row>
    <row r="547" spans="14:30" thickBot="1" x14ac:dyDescent="0.3">
      <c r="N547">
        <f t="shared" si="149"/>
        <v>0</v>
      </c>
      <c r="O547">
        <f t="shared" si="146"/>
        <v>0</v>
      </c>
      <c r="P547">
        <f t="shared" si="147"/>
        <v>0</v>
      </c>
      <c r="Q547">
        <f t="shared" si="148"/>
        <v>0</v>
      </c>
      <c r="V547">
        <v>27</v>
      </c>
      <c r="X547" t="str">
        <f t="shared" si="150"/>
        <v/>
      </c>
      <c r="Y547" t="str">
        <f t="shared" si="151"/>
        <v/>
      </c>
      <c r="Z547" t="str">
        <f t="shared" si="152"/>
        <v/>
      </c>
      <c r="AA547" t="str">
        <f t="shared" si="153"/>
        <v/>
      </c>
      <c r="AB547" t="str">
        <f t="shared" si="154"/>
        <v>,</v>
      </c>
      <c r="AC547" t="str">
        <f t="shared" si="155"/>
        <v/>
      </c>
      <c r="AD547" t="str">
        <f t="shared" si="156"/>
        <v/>
      </c>
    </row>
    <row r="548" spans="14:30" thickBot="1" x14ac:dyDescent="0.3">
      <c r="N548">
        <f t="shared" si="149"/>
        <v>0</v>
      </c>
      <c r="O548">
        <f t="shared" si="146"/>
        <v>0</v>
      </c>
      <c r="P548">
        <f t="shared" si="147"/>
        <v>0</v>
      </c>
      <c r="Q548">
        <f t="shared" si="148"/>
        <v>0</v>
      </c>
      <c r="X548" t="str">
        <f t="shared" si="150"/>
        <v/>
      </c>
      <c r="Y548" t="str">
        <f t="shared" si="151"/>
        <v/>
      </c>
      <c r="Z548" t="str">
        <f t="shared" si="152"/>
        <v/>
      </c>
      <c r="AA548" t="str">
        <f t="shared" si="153"/>
        <v/>
      </c>
      <c r="AB548" t="str">
        <f t="shared" si="154"/>
        <v/>
      </c>
      <c r="AC548" t="str">
        <f t="shared" si="155"/>
        <v/>
      </c>
      <c r="AD548" t="str">
        <f t="shared" si="156"/>
        <v/>
      </c>
    </row>
    <row r="549" spans="14:30" thickBot="1" x14ac:dyDescent="0.3">
      <c r="N549">
        <f t="shared" si="149"/>
        <v>0</v>
      </c>
      <c r="O549">
        <f t="shared" si="146"/>
        <v>0</v>
      </c>
      <c r="P549">
        <f t="shared" si="147"/>
        <v>0</v>
      </c>
      <c r="Q549">
        <f t="shared" si="148"/>
        <v>0</v>
      </c>
      <c r="X549" t="str">
        <f t="shared" si="150"/>
        <v/>
      </c>
      <c r="Y549" t="str">
        <f t="shared" si="151"/>
        <v/>
      </c>
      <c r="Z549" t="str">
        <f t="shared" si="152"/>
        <v/>
      </c>
      <c r="AA549" t="str">
        <f t="shared" si="153"/>
        <v/>
      </c>
      <c r="AB549" t="str">
        <f t="shared" si="154"/>
        <v/>
      </c>
      <c r="AC549" t="str">
        <f t="shared" si="155"/>
        <v/>
      </c>
      <c r="AD549" t="str">
        <f t="shared" si="156"/>
        <v/>
      </c>
    </row>
    <row r="550" spans="14:30" thickBot="1" x14ac:dyDescent="0.3">
      <c r="N550">
        <f t="shared" si="149"/>
        <v>0</v>
      </c>
      <c r="O550">
        <f t="shared" si="146"/>
        <v>0</v>
      </c>
      <c r="P550">
        <f t="shared" si="147"/>
        <v>0</v>
      </c>
      <c r="Q550">
        <f t="shared" si="148"/>
        <v>0</v>
      </c>
      <c r="X550" t="str">
        <f t="shared" si="150"/>
        <v/>
      </c>
      <c r="Y550" t="str">
        <f t="shared" si="151"/>
        <v/>
      </c>
      <c r="Z550" t="str">
        <f t="shared" si="152"/>
        <v/>
      </c>
      <c r="AA550" t="str">
        <f t="shared" si="153"/>
        <v/>
      </c>
      <c r="AB550" t="str">
        <f t="shared" si="154"/>
        <v/>
      </c>
      <c r="AC550" t="str">
        <f t="shared" si="155"/>
        <v/>
      </c>
      <c r="AD550" t="str">
        <f t="shared" si="156"/>
        <v/>
      </c>
    </row>
    <row r="551" spans="14:30" thickBot="1" x14ac:dyDescent="0.3">
      <c r="N551">
        <f t="shared" si="149"/>
        <v>0</v>
      </c>
      <c r="O551">
        <f t="shared" si="146"/>
        <v>0</v>
      </c>
      <c r="P551">
        <f t="shared" si="147"/>
        <v>0</v>
      </c>
      <c r="Q551">
        <f t="shared" si="148"/>
        <v>0</v>
      </c>
      <c r="X551" t="str">
        <f t="shared" si="150"/>
        <v/>
      </c>
      <c r="Y551" t="str">
        <f t="shared" si="151"/>
        <v/>
      </c>
      <c r="Z551" t="str">
        <f t="shared" si="152"/>
        <v/>
      </c>
      <c r="AA551" t="str">
        <f t="shared" si="153"/>
        <v/>
      </c>
      <c r="AB551" t="str">
        <f t="shared" si="154"/>
        <v/>
      </c>
      <c r="AC551" t="str">
        <f t="shared" si="155"/>
        <v/>
      </c>
      <c r="AD551" t="str">
        <f t="shared" si="156"/>
        <v/>
      </c>
    </row>
    <row r="552" spans="14:30" thickBot="1" x14ac:dyDescent="0.3">
      <c r="N552">
        <f t="shared" si="149"/>
        <v>0</v>
      </c>
      <c r="O552">
        <f t="shared" si="146"/>
        <v>0</v>
      </c>
      <c r="P552">
        <f t="shared" si="147"/>
        <v>0</v>
      </c>
      <c r="Q552">
        <f t="shared" si="148"/>
        <v>0</v>
      </c>
      <c r="X552" t="str">
        <f t="shared" si="150"/>
        <v/>
      </c>
      <c r="Y552" t="str">
        <f t="shared" si="151"/>
        <v/>
      </c>
      <c r="Z552" t="str">
        <f t="shared" si="152"/>
        <v/>
      </c>
      <c r="AA552" t="str">
        <f t="shared" si="153"/>
        <v/>
      </c>
      <c r="AB552" t="str">
        <f t="shared" si="154"/>
        <v/>
      </c>
      <c r="AC552" t="str">
        <f t="shared" si="155"/>
        <v/>
      </c>
      <c r="AD552" t="str">
        <f t="shared" si="156"/>
        <v/>
      </c>
    </row>
    <row r="553" spans="14:30" thickBot="1" x14ac:dyDescent="0.3">
      <c r="N553">
        <f t="shared" si="149"/>
        <v>0</v>
      </c>
      <c r="O553">
        <f t="shared" si="146"/>
        <v>0</v>
      </c>
      <c r="P553">
        <f t="shared" si="147"/>
        <v>0</v>
      </c>
      <c r="Q553">
        <f t="shared" si="148"/>
        <v>0</v>
      </c>
      <c r="X553" t="str">
        <f t="shared" si="150"/>
        <v/>
      </c>
      <c r="Y553" t="str">
        <f t="shared" si="151"/>
        <v/>
      </c>
      <c r="Z553" t="str">
        <f t="shared" si="152"/>
        <v/>
      </c>
      <c r="AA553" t="str">
        <f t="shared" si="153"/>
        <v/>
      </c>
      <c r="AB553" t="str">
        <f t="shared" si="154"/>
        <v/>
      </c>
      <c r="AC553" t="str">
        <f t="shared" si="155"/>
        <v/>
      </c>
      <c r="AD553" t="str">
        <f t="shared" si="156"/>
        <v/>
      </c>
    </row>
    <row r="554" spans="14:30" thickBot="1" x14ac:dyDescent="0.3">
      <c r="N554">
        <f t="shared" si="149"/>
        <v>0</v>
      </c>
      <c r="O554">
        <f t="shared" si="146"/>
        <v>0</v>
      </c>
      <c r="P554">
        <f t="shared" si="147"/>
        <v>0</v>
      </c>
      <c r="Q554">
        <f t="shared" si="148"/>
        <v>0</v>
      </c>
      <c r="X554" t="str">
        <f t="shared" si="150"/>
        <v/>
      </c>
      <c r="Y554" t="str">
        <f t="shared" si="151"/>
        <v/>
      </c>
      <c r="Z554" t="str">
        <f t="shared" si="152"/>
        <v/>
      </c>
      <c r="AA554" t="str">
        <f t="shared" si="153"/>
        <v/>
      </c>
      <c r="AB554" t="str">
        <f t="shared" si="154"/>
        <v/>
      </c>
      <c r="AC554" t="str">
        <f t="shared" si="155"/>
        <v/>
      </c>
      <c r="AD554" t="str">
        <f t="shared" si="156"/>
        <v/>
      </c>
    </row>
    <row r="555" spans="14:30" thickBot="1" x14ac:dyDescent="0.3">
      <c r="N555">
        <f t="shared" si="149"/>
        <v>0</v>
      </c>
      <c r="O555">
        <f t="shared" si="146"/>
        <v>0</v>
      </c>
      <c r="P555">
        <f t="shared" si="147"/>
        <v>0</v>
      </c>
      <c r="Q555">
        <f t="shared" si="148"/>
        <v>0</v>
      </c>
      <c r="X555" t="str">
        <f t="shared" si="150"/>
        <v/>
      </c>
      <c r="Y555" t="str">
        <f t="shared" si="151"/>
        <v/>
      </c>
      <c r="Z555" t="str">
        <f t="shared" si="152"/>
        <v/>
      </c>
      <c r="AA555" t="str">
        <f t="shared" si="153"/>
        <v/>
      </c>
      <c r="AB555" t="str">
        <f t="shared" si="154"/>
        <v/>
      </c>
      <c r="AC555" t="str">
        <f t="shared" si="155"/>
        <v/>
      </c>
      <c r="AD555" t="str">
        <f t="shared" si="156"/>
        <v/>
      </c>
    </row>
    <row r="556" spans="14:30" thickBot="1" x14ac:dyDescent="0.3">
      <c r="N556">
        <f t="shared" si="149"/>
        <v>0</v>
      </c>
      <c r="O556">
        <f t="shared" si="146"/>
        <v>0</v>
      </c>
      <c r="P556">
        <f t="shared" si="147"/>
        <v>0</v>
      </c>
      <c r="Q556">
        <f t="shared" si="148"/>
        <v>0</v>
      </c>
      <c r="X556" t="str">
        <f t="shared" si="150"/>
        <v/>
      </c>
      <c r="Y556" t="str">
        <f t="shared" si="151"/>
        <v/>
      </c>
      <c r="Z556" t="str">
        <f t="shared" si="152"/>
        <v/>
      </c>
      <c r="AA556" t="str">
        <f t="shared" si="153"/>
        <v/>
      </c>
      <c r="AB556" t="str">
        <f t="shared" si="154"/>
        <v/>
      </c>
      <c r="AC556" t="str">
        <f t="shared" si="155"/>
        <v/>
      </c>
      <c r="AD556" t="str">
        <f t="shared" si="156"/>
        <v/>
      </c>
    </row>
    <row r="557" spans="14:30" thickBot="1" x14ac:dyDescent="0.3">
      <c r="N557">
        <f t="shared" si="149"/>
        <v>0</v>
      </c>
      <c r="O557">
        <f t="shared" si="146"/>
        <v>0</v>
      </c>
      <c r="P557">
        <f t="shared" si="147"/>
        <v>0</v>
      </c>
      <c r="Q557">
        <f t="shared" si="148"/>
        <v>0</v>
      </c>
      <c r="X557" t="str">
        <f t="shared" si="150"/>
        <v/>
      </c>
      <c r="Y557" t="str">
        <f t="shared" si="151"/>
        <v/>
      </c>
      <c r="Z557" t="str">
        <f t="shared" si="152"/>
        <v/>
      </c>
      <c r="AA557" t="str">
        <f t="shared" si="153"/>
        <v/>
      </c>
      <c r="AB557" t="str">
        <f t="shared" si="154"/>
        <v/>
      </c>
      <c r="AC557" t="str">
        <f t="shared" si="155"/>
        <v/>
      </c>
      <c r="AD557" t="str">
        <f t="shared" si="156"/>
        <v/>
      </c>
    </row>
    <row r="558" spans="14:30" thickBot="1" x14ac:dyDescent="0.3">
      <c r="N558">
        <f t="shared" si="149"/>
        <v>0</v>
      </c>
      <c r="O558">
        <f t="shared" si="146"/>
        <v>0</v>
      </c>
      <c r="P558">
        <f t="shared" si="147"/>
        <v>0</v>
      </c>
      <c r="Q558">
        <f t="shared" si="148"/>
        <v>0</v>
      </c>
      <c r="X558" t="str">
        <f t="shared" si="150"/>
        <v/>
      </c>
      <c r="Y558" t="str">
        <f t="shared" si="151"/>
        <v/>
      </c>
      <c r="Z558" t="str">
        <f t="shared" si="152"/>
        <v/>
      </c>
      <c r="AA558" t="str">
        <f t="shared" si="153"/>
        <v/>
      </c>
      <c r="AB558" t="str">
        <f t="shared" si="154"/>
        <v/>
      </c>
      <c r="AC558" t="str">
        <f t="shared" si="155"/>
        <v/>
      </c>
      <c r="AD558" t="str">
        <f t="shared" si="156"/>
        <v/>
      </c>
    </row>
    <row r="559" spans="14:30" thickBot="1" x14ac:dyDescent="0.3">
      <c r="N559">
        <f t="shared" si="149"/>
        <v>0</v>
      </c>
      <c r="O559">
        <f t="shared" si="146"/>
        <v>0</v>
      </c>
      <c r="P559">
        <f t="shared" si="147"/>
        <v>0</v>
      </c>
      <c r="Q559">
        <f t="shared" si="148"/>
        <v>0</v>
      </c>
      <c r="X559" t="str">
        <f t="shared" si="150"/>
        <v/>
      </c>
      <c r="Y559" t="str">
        <f t="shared" si="151"/>
        <v/>
      </c>
      <c r="Z559" t="str">
        <f t="shared" si="152"/>
        <v/>
      </c>
      <c r="AA559" t="str">
        <f t="shared" si="153"/>
        <v/>
      </c>
      <c r="AB559" t="str">
        <f t="shared" si="154"/>
        <v/>
      </c>
      <c r="AC559" t="str">
        <f t="shared" si="155"/>
        <v/>
      </c>
      <c r="AD559" t="str">
        <f t="shared" si="156"/>
        <v/>
      </c>
    </row>
    <row r="560" spans="14:30" thickBot="1" x14ac:dyDescent="0.3">
      <c r="N560">
        <f t="shared" si="149"/>
        <v>0</v>
      </c>
      <c r="O560">
        <f t="shared" si="146"/>
        <v>0</v>
      </c>
      <c r="P560">
        <f t="shared" si="147"/>
        <v>0</v>
      </c>
      <c r="Q560">
        <f t="shared" si="148"/>
        <v>0</v>
      </c>
      <c r="X560" t="str">
        <f t="shared" si="150"/>
        <v/>
      </c>
      <c r="Y560" t="str">
        <f t="shared" si="151"/>
        <v/>
      </c>
      <c r="Z560" t="str">
        <f t="shared" si="152"/>
        <v/>
      </c>
      <c r="AA560" t="str">
        <f t="shared" si="153"/>
        <v/>
      </c>
      <c r="AB560" t="str">
        <f t="shared" si="154"/>
        <v/>
      </c>
      <c r="AC560" t="str">
        <f t="shared" si="155"/>
        <v/>
      </c>
      <c r="AD560" t="str">
        <f t="shared" si="156"/>
        <v/>
      </c>
    </row>
    <row r="561" spans="14:30" thickBot="1" x14ac:dyDescent="0.3">
      <c r="N561">
        <f t="shared" si="149"/>
        <v>0</v>
      </c>
      <c r="O561">
        <f t="shared" si="146"/>
        <v>0</v>
      </c>
      <c r="P561">
        <f t="shared" si="147"/>
        <v>0</v>
      </c>
      <c r="Q561">
        <f t="shared" si="148"/>
        <v>0</v>
      </c>
      <c r="X561" t="str">
        <f t="shared" si="150"/>
        <v/>
      </c>
      <c r="Y561" t="str">
        <f t="shared" si="151"/>
        <v/>
      </c>
      <c r="Z561" t="str">
        <f t="shared" si="152"/>
        <v/>
      </c>
      <c r="AA561" t="str">
        <f t="shared" si="153"/>
        <v/>
      </c>
      <c r="AB561" t="str">
        <f t="shared" si="154"/>
        <v/>
      </c>
      <c r="AC561" t="str">
        <f t="shared" si="155"/>
        <v/>
      </c>
      <c r="AD561" t="str">
        <f t="shared" si="156"/>
        <v/>
      </c>
    </row>
    <row r="562" spans="14:30" thickBot="1" x14ac:dyDescent="0.3">
      <c r="N562">
        <f t="shared" si="149"/>
        <v>0</v>
      </c>
      <c r="O562">
        <f t="shared" si="146"/>
        <v>0</v>
      </c>
      <c r="P562">
        <f t="shared" si="147"/>
        <v>0</v>
      </c>
      <c r="Q562">
        <f t="shared" si="148"/>
        <v>0</v>
      </c>
      <c r="X562" t="str">
        <f t="shared" si="150"/>
        <v/>
      </c>
      <c r="Y562" t="str">
        <f t="shared" si="151"/>
        <v/>
      </c>
      <c r="Z562" t="str">
        <f t="shared" si="152"/>
        <v/>
      </c>
      <c r="AA562" t="str">
        <f t="shared" si="153"/>
        <v/>
      </c>
      <c r="AB562" t="str">
        <f t="shared" si="154"/>
        <v/>
      </c>
      <c r="AC562" t="str">
        <f t="shared" si="155"/>
        <v/>
      </c>
      <c r="AD562" t="str">
        <f t="shared" si="156"/>
        <v/>
      </c>
    </row>
    <row r="563" spans="14:30" thickBot="1" x14ac:dyDescent="0.3">
      <c r="N563">
        <f t="shared" si="149"/>
        <v>0</v>
      </c>
      <c r="O563">
        <f t="shared" si="146"/>
        <v>0</v>
      </c>
      <c r="P563">
        <f t="shared" si="147"/>
        <v>0</v>
      </c>
      <c r="Q563">
        <f t="shared" si="148"/>
        <v>0</v>
      </c>
      <c r="X563" t="str">
        <f t="shared" si="150"/>
        <v/>
      </c>
      <c r="Y563" t="str">
        <f t="shared" si="151"/>
        <v/>
      </c>
      <c r="Z563" t="str">
        <f t="shared" si="152"/>
        <v/>
      </c>
      <c r="AA563" t="str">
        <f t="shared" si="153"/>
        <v/>
      </c>
      <c r="AB563" t="str">
        <f t="shared" si="154"/>
        <v/>
      </c>
      <c r="AC563" t="str">
        <f t="shared" si="155"/>
        <v/>
      </c>
      <c r="AD563" t="str">
        <f t="shared" si="156"/>
        <v/>
      </c>
    </row>
    <row r="564" spans="14:30" thickBot="1" x14ac:dyDescent="0.3">
      <c r="N564">
        <f t="shared" si="149"/>
        <v>0</v>
      </c>
      <c r="O564">
        <f t="shared" si="146"/>
        <v>0</v>
      </c>
      <c r="P564">
        <f t="shared" si="147"/>
        <v>0</v>
      </c>
      <c r="Q564">
        <f t="shared" si="148"/>
        <v>0</v>
      </c>
      <c r="X564" t="str">
        <f t="shared" si="150"/>
        <v/>
      </c>
      <c r="Y564" t="str">
        <f t="shared" si="151"/>
        <v/>
      </c>
      <c r="Z564" t="str">
        <f t="shared" si="152"/>
        <v/>
      </c>
      <c r="AA564" t="str">
        <f t="shared" si="153"/>
        <v/>
      </c>
      <c r="AB564" t="str">
        <f t="shared" si="154"/>
        <v/>
      </c>
      <c r="AC564" t="str">
        <f t="shared" si="155"/>
        <v/>
      </c>
      <c r="AD564" t="str">
        <f t="shared" si="156"/>
        <v/>
      </c>
    </row>
    <row r="565" spans="14:30" thickBot="1" x14ac:dyDescent="0.3">
      <c r="N565">
        <f t="shared" si="149"/>
        <v>0</v>
      </c>
      <c r="O565">
        <f t="shared" si="146"/>
        <v>0</v>
      </c>
      <c r="P565">
        <f t="shared" si="147"/>
        <v>0</v>
      </c>
      <c r="Q565">
        <f t="shared" si="148"/>
        <v>0</v>
      </c>
      <c r="X565" t="str">
        <f t="shared" si="150"/>
        <v/>
      </c>
      <c r="Y565" t="str">
        <f t="shared" si="151"/>
        <v/>
      </c>
      <c r="Z565" t="str">
        <f t="shared" si="152"/>
        <v/>
      </c>
      <c r="AA565" t="str">
        <f t="shared" si="153"/>
        <v/>
      </c>
      <c r="AB565" t="str">
        <f t="shared" si="154"/>
        <v/>
      </c>
      <c r="AC565" t="str">
        <f t="shared" si="155"/>
        <v/>
      </c>
      <c r="AD565" t="str">
        <f t="shared" si="156"/>
        <v/>
      </c>
    </row>
    <row r="566" spans="14:30" thickBot="1" x14ac:dyDescent="0.3">
      <c r="N566">
        <f t="shared" si="149"/>
        <v>0</v>
      </c>
      <c r="O566">
        <f t="shared" si="146"/>
        <v>0</v>
      </c>
      <c r="P566">
        <f t="shared" si="147"/>
        <v>0</v>
      </c>
      <c r="Q566">
        <f t="shared" si="148"/>
        <v>0</v>
      </c>
      <c r="X566" t="str">
        <f t="shared" si="150"/>
        <v/>
      </c>
      <c r="Y566" t="str">
        <f t="shared" si="151"/>
        <v/>
      </c>
      <c r="Z566" t="str">
        <f t="shared" si="152"/>
        <v/>
      </c>
      <c r="AA566" t="str">
        <f t="shared" si="153"/>
        <v/>
      </c>
      <c r="AB566" t="str">
        <f t="shared" si="154"/>
        <v/>
      </c>
      <c r="AC566" t="str">
        <f t="shared" si="155"/>
        <v/>
      </c>
      <c r="AD566" t="str">
        <f t="shared" si="156"/>
        <v/>
      </c>
    </row>
    <row r="567" spans="14:30" thickBot="1" x14ac:dyDescent="0.3">
      <c r="N567">
        <f t="shared" si="149"/>
        <v>0</v>
      </c>
      <c r="O567">
        <f t="shared" si="146"/>
        <v>0</v>
      </c>
      <c r="P567">
        <f t="shared" si="147"/>
        <v>0</v>
      </c>
      <c r="Q567">
        <f t="shared" si="148"/>
        <v>0</v>
      </c>
      <c r="V567">
        <v>28</v>
      </c>
      <c r="X567" t="str">
        <f t="shared" si="150"/>
        <v/>
      </c>
      <c r="Y567" t="str">
        <f t="shared" si="151"/>
        <v/>
      </c>
      <c r="Z567" t="str">
        <f t="shared" si="152"/>
        <v/>
      </c>
      <c r="AA567" t="str">
        <f t="shared" si="153"/>
        <v/>
      </c>
      <c r="AB567" t="str">
        <f t="shared" si="154"/>
        <v>,</v>
      </c>
      <c r="AC567" t="str">
        <f t="shared" si="155"/>
        <v/>
      </c>
      <c r="AD567" t="str">
        <f t="shared" si="156"/>
        <v/>
      </c>
    </row>
    <row r="568" spans="14:30" thickBot="1" x14ac:dyDescent="0.3">
      <c r="N568">
        <f t="shared" si="149"/>
        <v>0</v>
      </c>
      <c r="O568">
        <f t="shared" si="146"/>
        <v>0</v>
      </c>
      <c r="P568">
        <f t="shared" si="147"/>
        <v>0</v>
      </c>
      <c r="Q568">
        <f t="shared" si="148"/>
        <v>0</v>
      </c>
      <c r="X568" t="str">
        <f t="shared" si="150"/>
        <v/>
      </c>
      <c r="Y568" t="str">
        <f t="shared" si="151"/>
        <v/>
      </c>
      <c r="Z568" t="str">
        <f t="shared" si="152"/>
        <v/>
      </c>
      <c r="AA568" t="str">
        <f t="shared" si="153"/>
        <v/>
      </c>
      <c r="AB568" t="str">
        <f t="shared" si="154"/>
        <v/>
      </c>
      <c r="AC568" t="str">
        <f t="shared" si="155"/>
        <v/>
      </c>
      <c r="AD568" t="str">
        <f t="shared" si="156"/>
        <v/>
      </c>
    </row>
    <row r="569" spans="14:30" thickBot="1" x14ac:dyDescent="0.3">
      <c r="N569">
        <f t="shared" si="149"/>
        <v>0</v>
      </c>
      <c r="O569">
        <f t="shared" si="146"/>
        <v>0</v>
      </c>
      <c r="P569">
        <f t="shared" si="147"/>
        <v>0</v>
      </c>
      <c r="Q569">
        <f t="shared" si="148"/>
        <v>0</v>
      </c>
      <c r="X569" t="str">
        <f t="shared" si="150"/>
        <v/>
      </c>
      <c r="Y569" t="str">
        <f t="shared" si="151"/>
        <v/>
      </c>
      <c r="Z569" t="str">
        <f t="shared" si="152"/>
        <v/>
      </c>
      <c r="AA569" t="str">
        <f t="shared" si="153"/>
        <v/>
      </c>
      <c r="AB569" t="str">
        <f t="shared" si="154"/>
        <v/>
      </c>
      <c r="AC569" t="str">
        <f t="shared" si="155"/>
        <v/>
      </c>
      <c r="AD569" t="str">
        <f t="shared" si="156"/>
        <v/>
      </c>
    </row>
    <row r="570" spans="14:30" thickBot="1" x14ac:dyDescent="0.3">
      <c r="N570">
        <f t="shared" si="149"/>
        <v>0</v>
      </c>
      <c r="O570">
        <f t="shared" si="146"/>
        <v>0</v>
      </c>
      <c r="P570">
        <f t="shared" si="147"/>
        <v>0</v>
      </c>
      <c r="Q570">
        <f t="shared" si="148"/>
        <v>0</v>
      </c>
      <c r="X570" t="str">
        <f t="shared" si="150"/>
        <v/>
      </c>
      <c r="Y570" t="str">
        <f t="shared" si="151"/>
        <v/>
      </c>
      <c r="Z570" t="str">
        <f t="shared" si="152"/>
        <v/>
      </c>
      <c r="AA570" t="str">
        <f t="shared" si="153"/>
        <v/>
      </c>
      <c r="AB570" t="str">
        <f t="shared" si="154"/>
        <v/>
      </c>
      <c r="AC570" t="str">
        <f t="shared" si="155"/>
        <v/>
      </c>
      <c r="AD570" t="str">
        <f t="shared" si="156"/>
        <v/>
      </c>
    </row>
    <row r="571" spans="14:30" thickBot="1" x14ac:dyDescent="0.3">
      <c r="N571">
        <f t="shared" si="149"/>
        <v>0</v>
      </c>
      <c r="O571">
        <f t="shared" si="146"/>
        <v>0</v>
      </c>
      <c r="P571">
        <f t="shared" si="147"/>
        <v>0</v>
      </c>
      <c r="Q571">
        <f t="shared" si="148"/>
        <v>0</v>
      </c>
      <c r="X571" t="str">
        <f t="shared" si="150"/>
        <v/>
      </c>
      <c r="Y571" t="str">
        <f t="shared" si="151"/>
        <v/>
      </c>
      <c r="Z571" t="str">
        <f t="shared" si="152"/>
        <v/>
      </c>
      <c r="AA571" t="str">
        <f t="shared" si="153"/>
        <v/>
      </c>
      <c r="AB571" t="str">
        <f t="shared" si="154"/>
        <v/>
      </c>
      <c r="AC571" t="str">
        <f t="shared" si="155"/>
        <v/>
      </c>
      <c r="AD571" t="str">
        <f t="shared" si="156"/>
        <v/>
      </c>
    </row>
    <row r="572" spans="14:30" thickBot="1" x14ac:dyDescent="0.3">
      <c r="N572">
        <f t="shared" si="149"/>
        <v>0</v>
      </c>
      <c r="O572">
        <f t="shared" si="146"/>
        <v>0</v>
      </c>
      <c r="P572">
        <f t="shared" si="147"/>
        <v>0</v>
      </c>
      <c r="Q572">
        <f t="shared" si="148"/>
        <v>0</v>
      </c>
      <c r="X572" t="str">
        <f t="shared" si="150"/>
        <v/>
      </c>
      <c r="Y572" t="str">
        <f t="shared" si="151"/>
        <v/>
      </c>
      <c r="Z572" t="str">
        <f t="shared" si="152"/>
        <v/>
      </c>
      <c r="AA572" t="str">
        <f t="shared" si="153"/>
        <v/>
      </c>
      <c r="AB572" t="str">
        <f t="shared" si="154"/>
        <v/>
      </c>
      <c r="AC572" t="str">
        <f t="shared" si="155"/>
        <v/>
      </c>
      <c r="AD572" t="str">
        <f t="shared" si="156"/>
        <v/>
      </c>
    </row>
    <row r="573" spans="14:30" thickBot="1" x14ac:dyDescent="0.3">
      <c r="N573">
        <f t="shared" si="149"/>
        <v>0</v>
      </c>
      <c r="O573">
        <f t="shared" si="146"/>
        <v>0</v>
      </c>
      <c r="P573">
        <f t="shared" si="147"/>
        <v>0</v>
      </c>
      <c r="Q573">
        <f t="shared" si="148"/>
        <v>0</v>
      </c>
      <c r="X573" t="str">
        <f t="shared" si="150"/>
        <v/>
      </c>
      <c r="Y573" t="str">
        <f t="shared" si="151"/>
        <v/>
      </c>
      <c r="Z573" t="str">
        <f t="shared" si="152"/>
        <v/>
      </c>
      <c r="AA573" t="str">
        <f t="shared" si="153"/>
        <v/>
      </c>
      <c r="AB573" t="str">
        <f t="shared" si="154"/>
        <v/>
      </c>
      <c r="AC573" t="str">
        <f t="shared" si="155"/>
        <v/>
      </c>
      <c r="AD573" t="str">
        <f t="shared" si="156"/>
        <v/>
      </c>
    </row>
    <row r="574" spans="14:30" thickBot="1" x14ac:dyDescent="0.3">
      <c r="N574">
        <f t="shared" si="149"/>
        <v>0</v>
      </c>
      <c r="O574">
        <f t="shared" si="146"/>
        <v>0</v>
      </c>
      <c r="P574">
        <f t="shared" si="147"/>
        <v>0</v>
      </c>
      <c r="Q574">
        <f t="shared" si="148"/>
        <v>0</v>
      </c>
      <c r="X574" t="str">
        <f t="shared" si="150"/>
        <v/>
      </c>
      <c r="Y574" t="str">
        <f t="shared" si="151"/>
        <v/>
      </c>
      <c r="Z574" t="str">
        <f t="shared" si="152"/>
        <v/>
      </c>
      <c r="AA574" t="str">
        <f t="shared" si="153"/>
        <v/>
      </c>
      <c r="AB574" t="str">
        <f t="shared" si="154"/>
        <v/>
      </c>
      <c r="AC574" t="str">
        <f t="shared" si="155"/>
        <v/>
      </c>
      <c r="AD574" t="str">
        <f t="shared" si="156"/>
        <v/>
      </c>
    </row>
    <row r="575" spans="14:30" thickBot="1" x14ac:dyDescent="0.3">
      <c r="N575">
        <f t="shared" si="149"/>
        <v>0</v>
      </c>
      <c r="O575">
        <f t="shared" si="146"/>
        <v>0</v>
      </c>
      <c r="P575">
        <f t="shared" si="147"/>
        <v>0</v>
      </c>
      <c r="Q575">
        <f t="shared" si="148"/>
        <v>0</v>
      </c>
      <c r="X575" t="str">
        <f t="shared" si="150"/>
        <v/>
      </c>
      <c r="Y575" t="str">
        <f t="shared" si="151"/>
        <v/>
      </c>
      <c r="Z575" t="str">
        <f t="shared" si="152"/>
        <v/>
      </c>
      <c r="AA575" t="str">
        <f t="shared" si="153"/>
        <v/>
      </c>
      <c r="AB575" t="str">
        <f t="shared" si="154"/>
        <v/>
      </c>
      <c r="AC575" t="str">
        <f t="shared" si="155"/>
        <v/>
      </c>
      <c r="AD575" t="str">
        <f t="shared" si="156"/>
        <v/>
      </c>
    </row>
    <row r="576" spans="14:30" thickBot="1" x14ac:dyDescent="0.3">
      <c r="N576">
        <f t="shared" si="149"/>
        <v>0</v>
      </c>
      <c r="O576">
        <f t="shared" si="146"/>
        <v>0</v>
      </c>
      <c r="P576">
        <f t="shared" si="147"/>
        <v>0</v>
      </c>
      <c r="Q576">
        <f t="shared" si="148"/>
        <v>0</v>
      </c>
      <c r="X576" t="str">
        <f t="shared" si="150"/>
        <v/>
      </c>
      <c r="Y576" t="str">
        <f t="shared" si="151"/>
        <v/>
      </c>
      <c r="Z576" t="str">
        <f t="shared" si="152"/>
        <v/>
      </c>
      <c r="AA576" t="str">
        <f t="shared" si="153"/>
        <v/>
      </c>
      <c r="AB576" t="str">
        <f t="shared" si="154"/>
        <v/>
      </c>
      <c r="AC576" t="str">
        <f t="shared" si="155"/>
        <v/>
      </c>
      <c r="AD576" t="str">
        <f t="shared" si="156"/>
        <v/>
      </c>
    </row>
    <row r="577" spans="14:30" thickBot="1" x14ac:dyDescent="0.3">
      <c r="N577">
        <f t="shared" si="149"/>
        <v>0</v>
      </c>
      <c r="O577">
        <f t="shared" ref="O577:O640" si="157">B577</f>
        <v>0</v>
      </c>
      <c r="P577">
        <f t="shared" ref="P577:P640" si="158">C577</f>
        <v>0</v>
      </c>
      <c r="Q577">
        <f t="shared" ref="Q577:Q640" si="159">D577</f>
        <v>0</v>
      </c>
      <c r="X577" t="str">
        <f t="shared" si="150"/>
        <v/>
      </c>
      <c r="Y577" t="str">
        <f t="shared" si="151"/>
        <v/>
      </c>
      <c r="Z577" t="str">
        <f t="shared" si="152"/>
        <v/>
      </c>
      <c r="AA577" t="str">
        <f t="shared" si="153"/>
        <v/>
      </c>
      <c r="AB577" t="str">
        <f t="shared" si="154"/>
        <v/>
      </c>
      <c r="AC577" t="str">
        <f t="shared" si="155"/>
        <v/>
      </c>
      <c r="AD577" t="str">
        <f t="shared" si="156"/>
        <v/>
      </c>
    </row>
    <row r="578" spans="14:30" thickBot="1" x14ac:dyDescent="0.3">
      <c r="N578">
        <f t="shared" ref="N578:N641" si="160">A578</f>
        <v>0</v>
      </c>
      <c r="O578">
        <f t="shared" si="157"/>
        <v>0</v>
      </c>
      <c r="P578">
        <f t="shared" si="158"/>
        <v>0</v>
      </c>
      <c r="Q578">
        <f t="shared" si="159"/>
        <v>0</v>
      </c>
      <c r="X578" t="str">
        <f t="shared" si="150"/>
        <v/>
      </c>
      <c r="Y578" t="str">
        <f t="shared" si="151"/>
        <v/>
      </c>
      <c r="Z578" t="str">
        <f t="shared" si="152"/>
        <v/>
      </c>
      <c r="AA578" t="str">
        <f t="shared" si="153"/>
        <v/>
      </c>
      <c r="AB578" t="str">
        <f t="shared" si="154"/>
        <v/>
      </c>
      <c r="AC578" t="str">
        <f t="shared" si="155"/>
        <v/>
      </c>
      <c r="AD578" t="str">
        <f t="shared" si="156"/>
        <v/>
      </c>
    </row>
    <row r="579" spans="14:30" thickBot="1" x14ac:dyDescent="0.3">
      <c r="N579">
        <f t="shared" si="160"/>
        <v>0</v>
      </c>
      <c r="O579">
        <f t="shared" si="157"/>
        <v>0</v>
      </c>
      <c r="P579">
        <f t="shared" si="158"/>
        <v>0</v>
      </c>
      <c r="Q579">
        <f t="shared" si="159"/>
        <v>0</v>
      </c>
      <c r="X579" t="str">
        <f t="shared" si="150"/>
        <v/>
      </c>
      <c r="Y579" t="str">
        <f t="shared" si="151"/>
        <v/>
      </c>
      <c r="Z579" t="str">
        <f t="shared" si="152"/>
        <v/>
      </c>
      <c r="AA579" t="str">
        <f t="shared" si="153"/>
        <v/>
      </c>
      <c r="AB579" t="str">
        <f t="shared" si="154"/>
        <v/>
      </c>
      <c r="AC579" t="str">
        <f t="shared" si="155"/>
        <v/>
      </c>
      <c r="AD579" t="str">
        <f t="shared" si="156"/>
        <v/>
      </c>
    </row>
    <row r="580" spans="14:30" thickBot="1" x14ac:dyDescent="0.3">
      <c r="N580">
        <f t="shared" si="160"/>
        <v>0</v>
      </c>
      <c r="O580">
        <f t="shared" si="157"/>
        <v>0</v>
      </c>
      <c r="P580">
        <f t="shared" si="158"/>
        <v>0</v>
      </c>
      <c r="Q580">
        <f t="shared" si="159"/>
        <v>0</v>
      </c>
      <c r="X580" t="str">
        <f t="shared" si="150"/>
        <v/>
      </c>
      <c r="Y580" t="str">
        <f t="shared" si="151"/>
        <v/>
      </c>
      <c r="Z580" t="str">
        <f t="shared" si="152"/>
        <v/>
      </c>
      <c r="AA580" t="str">
        <f t="shared" si="153"/>
        <v/>
      </c>
      <c r="AB580" t="str">
        <f t="shared" si="154"/>
        <v/>
      </c>
      <c r="AC580" t="str">
        <f t="shared" si="155"/>
        <v/>
      </c>
      <c r="AD580" t="str">
        <f t="shared" si="156"/>
        <v/>
      </c>
    </row>
    <row r="581" spans="14:30" thickBot="1" x14ac:dyDescent="0.3">
      <c r="N581">
        <f t="shared" si="160"/>
        <v>0</v>
      </c>
      <c r="O581">
        <f t="shared" si="157"/>
        <v>0</v>
      </c>
      <c r="P581">
        <f t="shared" si="158"/>
        <v>0</v>
      </c>
      <c r="Q581">
        <f t="shared" si="159"/>
        <v>0</v>
      </c>
      <c r="X581" t="str">
        <f t="shared" si="150"/>
        <v/>
      </c>
      <c r="Y581" t="str">
        <f t="shared" si="151"/>
        <v/>
      </c>
      <c r="Z581" t="str">
        <f t="shared" si="152"/>
        <v/>
      </c>
      <c r="AA581" t="str">
        <f t="shared" si="153"/>
        <v/>
      </c>
      <c r="AB581" t="str">
        <f t="shared" si="154"/>
        <v/>
      </c>
      <c r="AC581" t="str">
        <f t="shared" si="155"/>
        <v/>
      </c>
      <c r="AD581" t="str">
        <f t="shared" si="156"/>
        <v/>
      </c>
    </row>
    <row r="582" spans="14:30" thickBot="1" x14ac:dyDescent="0.3">
      <c r="N582">
        <f t="shared" si="160"/>
        <v>0</v>
      </c>
      <c r="O582">
        <f t="shared" si="157"/>
        <v>0</v>
      </c>
      <c r="P582">
        <f t="shared" si="158"/>
        <v>0</v>
      </c>
      <c r="Q582">
        <f t="shared" si="159"/>
        <v>0</v>
      </c>
      <c r="X582" t="str">
        <f t="shared" si="150"/>
        <v/>
      </c>
      <c r="Y582" t="str">
        <f t="shared" si="151"/>
        <v/>
      </c>
      <c r="Z582" t="str">
        <f t="shared" si="152"/>
        <v/>
      </c>
      <c r="AA582" t="str">
        <f t="shared" si="153"/>
        <v/>
      </c>
      <c r="AB582" t="str">
        <f t="shared" si="154"/>
        <v/>
      </c>
      <c r="AC582" t="str">
        <f t="shared" si="155"/>
        <v/>
      </c>
      <c r="AD582" t="str">
        <f t="shared" si="156"/>
        <v/>
      </c>
    </row>
    <row r="583" spans="14:30" thickBot="1" x14ac:dyDescent="0.3">
      <c r="N583">
        <f t="shared" si="160"/>
        <v>0</v>
      </c>
      <c r="O583">
        <f t="shared" si="157"/>
        <v>0</v>
      </c>
      <c r="P583">
        <f t="shared" si="158"/>
        <v>0</v>
      </c>
      <c r="Q583">
        <f t="shared" si="159"/>
        <v>0</v>
      </c>
      <c r="X583" t="str">
        <f t="shared" si="150"/>
        <v/>
      </c>
      <c r="Y583" t="str">
        <f t="shared" si="151"/>
        <v/>
      </c>
      <c r="Z583" t="str">
        <f t="shared" si="152"/>
        <v/>
      </c>
      <c r="AA583" t="str">
        <f t="shared" si="153"/>
        <v/>
      </c>
      <c r="AB583" t="str">
        <f t="shared" si="154"/>
        <v/>
      </c>
      <c r="AC583" t="str">
        <f t="shared" si="155"/>
        <v/>
      </c>
      <c r="AD583" t="str">
        <f t="shared" si="156"/>
        <v/>
      </c>
    </row>
    <row r="584" spans="14:30" thickBot="1" x14ac:dyDescent="0.3">
      <c r="N584">
        <f t="shared" si="160"/>
        <v>0</v>
      </c>
      <c r="O584">
        <f t="shared" si="157"/>
        <v>0</v>
      </c>
      <c r="P584">
        <f t="shared" si="158"/>
        <v>0</v>
      </c>
      <c r="Q584">
        <f t="shared" si="159"/>
        <v>0</v>
      </c>
      <c r="X584" t="str">
        <f t="shared" ref="X584:X647" si="161">IF(R584="","",",")</f>
        <v/>
      </c>
      <c r="Y584" t="str">
        <f t="shared" ref="Y584:Y647" si="162">IF(S584="","",",")</f>
        <v/>
      </c>
      <c r="Z584" t="str">
        <f t="shared" ref="Z584:Z647" si="163">IF(T584="","",",")</f>
        <v/>
      </c>
      <c r="AA584" t="str">
        <f t="shared" ref="AA584:AA647" si="164">IF(U584="","",",")</f>
        <v/>
      </c>
      <c r="AB584" t="str">
        <f t="shared" ref="AB584:AB647" si="165">IF(V584="","",",")</f>
        <v/>
      </c>
      <c r="AC584" t="str">
        <f t="shared" ref="AC584:AC647" si="166">IF(W584="","",",")</f>
        <v/>
      </c>
      <c r="AD584" t="str">
        <f t="shared" ref="AD584:AD647" si="167">IF(X584="","",",")</f>
        <v/>
      </c>
    </row>
    <row r="585" spans="14:30" thickBot="1" x14ac:dyDescent="0.3">
      <c r="N585">
        <f t="shared" si="160"/>
        <v>0</v>
      </c>
      <c r="O585">
        <f t="shared" si="157"/>
        <v>0</v>
      </c>
      <c r="P585">
        <f t="shared" si="158"/>
        <v>0</v>
      </c>
      <c r="Q585">
        <f t="shared" si="159"/>
        <v>0</v>
      </c>
      <c r="X585" t="str">
        <f t="shared" si="161"/>
        <v/>
      </c>
      <c r="Y585" t="str">
        <f t="shared" si="162"/>
        <v/>
      </c>
      <c r="Z585" t="str">
        <f t="shared" si="163"/>
        <v/>
      </c>
      <c r="AA585" t="str">
        <f t="shared" si="164"/>
        <v/>
      </c>
      <c r="AB585" t="str">
        <f t="shared" si="165"/>
        <v/>
      </c>
      <c r="AC585" t="str">
        <f t="shared" si="166"/>
        <v/>
      </c>
      <c r="AD585" t="str">
        <f t="shared" si="167"/>
        <v/>
      </c>
    </row>
    <row r="586" spans="14:30" thickBot="1" x14ac:dyDescent="0.3">
      <c r="N586">
        <f t="shared" si="160"/>
        <v>0</v>
      </c>
      <c r="O586">
        <f t="shared" si="157"/>
        <v>0</v>
      </c>
      <c r="P586">
        <f t="shared" si="158"/>
        <v>0</v>
      </c>
      <c r="Q586">
        <f t="shared" si="159"/>
        <v>0</v>
      </c>
      <c r="X586" t="str">
        <f t="shared" si="161"/>
        <v/>
      </c>
      <c r="Y586" t="str">
        <f t="shared" si="162"/>
        <v/>
      </c>
      <c r="Z586" t="str">
        <f t="shared" si="163"/>
        <v/>
      </c>
      <c r="AA586" t="str">
        <f t="shared" si="164"/>
        <v/>
      </c>
      <c r="AB586" t="str">
        <f t="shared" si="165"/>
        <v/>
      </c>
      <c r="AC586" t="str">
        <f t="shared" si="166"/>
        <v/>
      </c>
      <c r="AD586" t="str">
        <f t="shared" si="167"/>
        <v/>
      </c>
    </row>
    <row r="587" spans="14:30" thickBot="1" x14ac:dyDescent="0.3">
      <c r="N587">
        <f t="shared" si="160"/>
        <v>0</v>
      </c>
      <c r="O587">
        <f t="shared" si="157"/>
        <v>0</v>
      </c>
      <c r="P587">
        <f t="shared" si="158"/>
        <v>0</v>
      </c>
      <c r="Q587">
        <f t="shared" si="159"/>
        <v>0</v>
      </c>
      <c r="V587">
        <v>29</v>
      </c>
      <c r="X587" t="str">
        <f t="shared" si="161"/>
        <v/>
      </c>
      <c r="Y587" t="str">
        <f t="shared" si="162"/>
        <v/>
      </c>
      <c r="Z587" t="str">
        <f t="shared" si="163"/>
        <v/>
      </c>
      <c r="AA587" t="str">
        <f t="shared" si="164"/>
        <v/>
      </c>
      <c r="AB587" t="str">
        <f t="shared" si="165"/>
        <v>,</v>
      </c>
      <c r="AC587" t="str">
        <f t="shared" si="166"/>
        <v/>
      </c>
      <c r="AD587" t="str">
        <f t="shared" si="167"/>
        <v/>
      </c>
    </row>
    <row r="588" spans="14:30" thickBot="1" x14ac:dyDescent="0.3">
      <c r="N588">
        <f t="shared" si="160"/>
        <v>0</v>
      </c>
      <c r="O588">
        <f t="shared" si="157"/>
        <v>0</v>
      </c>
      <c r="P588">
        <f t="shared" si="158"/>
        <v>0</v>
      </c>
      <c r="Q588">
        <f t="shared" si="159"/>
        <v>0</v>
      </c>
      <c r="X588" t="str">
        <f t="shared" si="161"/>
        <v/>
      </c>
      <c r="Y588" t="str">
        <f t="shared" si="162"/>
        <v/>
      </c>
      <c r="Z588" t="str">
        <f t="shared" si="163"/>
        <v/>
      </c>
      <c r="AA588" t="str">
        <f t="shared" si="164"/>
        <v/>
      </c>
      <c r="AB588" t="str">
        <f t="shared" si="165"/>
        <v/>
      </c>
      <c r="AC588" t="str">
        <f t="shared" si="166"/>
        <v/>
      </c>
      <c r="AD588" t="str">
        <f t="shared" si="167"/>
        <v/>
      </c>
    </row>
    <row r="589" spans="14:30" thickBot="1" x14ac:dyDescent="0.3">
      <c r="N589">
        <f t="shared" si="160"/>
        <v>0</v>
      </c>
      <c r="O589">
        <f t="shared" si="157"/>
        <v>0</v>
      </c>
      <c r="P589">
        <f t="shared" si="158"/>
        <v>0</v>
      </c>
      <c r="Q589">
        <f t="shared" si="159"/>
        <v>0</v>
      </c>
      <c r="X589" t="str">
        <f t="shared" si="161"/>
        <v/>
      </c>
      <c r="Y589" t="str">
        <f t="shared" si="162"/>
        <v/>
      </c>
      <c r="Z589" t="str">
        <f t="shared" si="163"/>
        <v/>
      </c>
      <c r="AA589" t="str">
        <f t="shared" si="164"/>
        <v/>
      </c>
      <c r="AB589" t="str">
        <f t="shared" si="165"/>
        <v/>
      </c>
      <c r="AC589" t="str">
        <f t="shared" si="166"/>
        <v/>
      </c>
      <c r="AD589" t="str">
        <f t="shared" si="167"/>
        <v/>
      </c>
    </row>
    <row r="590" spans="14:30" thickBot="1" x14ac:dyDescent="0.3">
      <c r="N590">
        <f t="shared" si="160"/>
        <v>0</v>
      </c>
      <c r="O590">
        <f t="shared" si="157"/>
        <v>0</v>
      </c>
      <c r="P590">
        <f t="shared" si="158"/>
        <v>0</v>
      </c>
      <c r="Q590">
        <f t="shared" si="159"/>
        <v>0</v>
      </c>
      <c r="X590" t="str">
        <f t="shared" si="161"/>
        <v/>
      </c>
      <c r="Y590" t="str">
        <f t="shared" si="162"/>
        <v/>
      </c>
      <c r="Z590" t="str">
        <f t="shared" si="163"/>
        <v/>
      </c>
      <c r="AA590" t="str">
        <f t="shared" si="164"/>
        <v/>
      </c>
      <c r="AB590" t="str">
        <f t="shared" si="165"/>
        <v/>
      </c>
      <c r="AC590" t="str">
        <f t="shared" si="166"/>
        <v/>
      </c>
      <c r="AD590" t="str">
        <f t="shared" si="167"/>
        <v/>
      </c>
    </row>
    <row r="591" spans="14:30" thickBot="1" x14ac:dyDescent="0.3">
      <c r="N591">
        <f t="shared" si="160"/>
        <v>0</v>
      </c>
      <c r="O591">
        <f t="shared" si="157"/>
        <v>0</v>
      </c>
      <c r="P591">
        <f t="shared" si="158"/>
        <v>0</v>
      </c>
      <c r="Q591">
        <f t="shared" si="159"/>
        <v>0</v>
      </c>
      <c r="X591" t="str">
        <f t="shared" si="161"/>
        <v/>
      </c>
      <c r="Y591" t="str">
        <f t="shared" si="162"/>
        <v/>
      </c>
      <c r="Z591" t="str">
        <f t="shared" si="163"/>
        <v/>
      </c>
      <c r="AA591" t="str">
        <f t="shared" si="164"/>
        <v/>
      </c>
      <c r="AB591" t="str">
        <f t="shared" si="165"/>
        <v/>
      </c>
      <c r="AC591" t="str">
        <f t="shared" si="166"/>
        <v/>
      </c>
      <c r="AD591" t="str">
        <f t="shared" si="167"/>
        <v/>
      </c>
    </row>
    <row r="592" spans="14:30" thickBot="1" x14ac:dyDescent="0.3">
      <c r="N592">
        <f t="shared" si="160"/>
        <v>0</v>
      </c>
      <c r="O592">
        <f t="shared" si="157"/>
        <v>0</v>
      </c>
      <c r="P592">
        <f t="shared" si="158"/>
        <v>0</v>
      </c>
      <c r="Q592">
        <f t="shared" si="159"/>
        <v>0</v>
      </c>
      <c r="X592" t="str">
        <f t="shared" si="161"/>
        <v/>
      </c>
      <c r="Y592" t="str">
        <f t="shared" si="162"/>
        <v/>
      </c>
      <c r="Z592" t="str">
        <f t="shared" si="163"/>
        <v/>
      </c>
      <c r="AA592" t="str">
        <f t="shared" si="164"/>
        <v/>
      </c>
      <c r="AB592" t="str">
        <f t="shared" si="165"/>
        <v/>
      </c>
      <c r="AC592" t="str">
        <f t="shared" si="166"/>
        <v/>
      </c>
      <c r="AD592" t="str">
        <f t="shared" si="167"/>
        <v/>
      </c>
    </row>
    <row r="593" spans="14:30" thickBot="1" x14ac:dyDescent="0.3">
      <c r="N593">
        <f t="shared" si="160"/>
        <v>0</v>
      </c>
      <c r="O593">
        <f t="shared" si="157"/>
        <v>0</v>
      </c>
      <c r="P593">
        <f t="shared" si="158"/>
        <v>0</v>
      </c>
      <c r="Q593">
        <f t="shared" si="159"/>
        <v>0</v>
      </c>
      <c r="X593" t="str">
        <f t="shared" si="161"/>
        <v/>
      </c>
      <c r="Y593" t="str">
        <f t="shared" si="162"/>
        <v/>
      </c>
      <c r="Z593" t="str">
        <f t="shared" si="163"/>
        <v/>
      </c>
      <c r="AA593" t="str">
        <f t="shared" si="164"/>
        <v/>
      </c>
      <c r="AB593" t="str">
        <f t="shared" si="165"/>
        <v/>
      </c>
      <c r="AC593" t="str">
        <f t="shared" si="166"/>
        <v/>
      </c>
      <c r="AD593" t="str">
        <f t="shared" si="167"/>
        <v/>
      </c>
    </row>
    <row r="594" spans="14:30" thickBot="1" x14ac:dyDescent="0.3">
      <c r="N594">
        <f t="shared" si="160"/>
        <v>0</v>
      </c>
      <c r="O594">
        <f t="shared" si="157"/>
        <v>0</v>
      </c>
      <c r="P594">
        <f t="shared" si="158"/>
        <v>0</v>
      </c>
      <c r="Q594">
        <f t="shared" si="159"/>
        <v>0</v>
      </c>
      <c r="X594" t="str">
        <f t="shared" si="161"/>
        <v/>
      </c>
      <c r="Y594" t="str">
        <f t="shared" si="162"/>
        <v/>
      </c>
      <c r="Z594" t="str">
        <f t="shared" si="163"/>
        <v/>
      </c>
      <c r="AA594" t="str">
        <f t="shared" si="164"/>
        <v/>
      </c>
      <c r="AB594" t="str">
        <f t="shared" si="165"/>
        <v/>
      </c>
      <c r="AC594" t="str">
        <f t="shared" si="166"/>
        <v/>
      </c>
      <c r="AD594" t="str">
        <f t="shared" si="167"/>
        <v/>
      </c>
    </row>
    <row r="595" spans="14:30" thickBot="1" x14ac:dyDescent="0.3">
      <c r="N595">
        <f t="shared" si="160"/>
        <v>0</v>
      </c>
      <c r="O595">
        <f t="shared" si="157"/>
        <v>0</v>
      </c>
      <c r="P595">
        <f t="shared" si="158"/>
        <v>0</v>
      </c>
      <c r="Q595">
        <f t="shared" si="159"/>
        <v>0</v>
      </c>
      <c r="X595" t="str">
        <f t="shared" si="161"/>
        <v/>
      </c>
      <c r="Y595" t="str">
        <f t="shared" si="162"/>
        <v/>
      </c>
      <c r="Z595" t="str">
        <f t="shared" si="163"/>
        <v/>
      </c>
      <c r="AA595" t="str">
        <f t="shared" si="164"/>
        <v/>
      </c>
      <c r="AB595" t="str">
        <f t="shared" si="165"/>
        <v/>
      </c>
      <c r="AC595" t="str">
        <f t="shared" si="166"/>
        <v/>
      </c>
      <c r="AD595" t="str">
        <f t="shared" si="167"/>
        <v/>
      </c>
    </row>
    <row r="596" spans="14:30" thickBot="1" x14ac:dyDescent="0.3">
      <c r="N596">
        <f t="shared" si="160"/>
        <v>0</v>
      </c>
      <c r="O596">
        <f t="shared" si="157"/>
        <v>0</v>
      </c>
      <c r="P596">
        <f t="shared" si="158"/>
        <v>0</v>
      </c>
      <c r="Q596">
        <f t="shared" si="159"/>
        <v>0</v>
      </c>
      <c r="X596" t="str">
        <f t="shared" si="161"/>
        <v/>
      </c>
      <c r="Y596" t="str">
        <f t="shared" si="162"/>
        <v/>
      </c>
      <c r="Z596" t="str">
        <f t="shared" si="163"/>
        <v/>
      </c>
      <c r="AA596" t="str">
        <f t="shared" si="164"/>
        <v/>
      </c>
      <c r="AB596" t="str">
        <f t="shared" si="165"/>
        <v/>
      </c>
      <c r="AC596" t="str">
        <f t="shared" si="166"/>
        <v/>
      </c>
      <c r="AD596" t="str">
        <f t="shared" si="167"/>
        <v/>
      </c>
    </row>
    <row r="597" spans="14:30" thickBot="1" x14ac:dyDescent="0.3">
      <c r="N597">
        <f t="shared" si="160"/>
        <v>0</v>
      </c>
      <c r="O597">
        <f t="shared" si="157"/>
        <v>0</v>
      </c>
      <c r="P597">
        <f t="shared" si="158"/>
        <v>0</v>
      </c>
      <c r="Q597">
        <f t="shared" si="159"/>
        <v>0</v>
      </c>
      <c r="X597" t="str">
        <f t="shared" si="161"/>
        <v/>
      </c>
      <c r="Y597" t="str">
        <f t="shared" si="162"/>
        <v/>
      </c>
      <c r="Z597" t="str">
        <f t="shared" si="163"/>
        <v/>
      </c>
      <c r="AA597" t="str">
        <f t="shared" si="164"/>
        <v/>
      </c>
      <c r="AB597" t="str">
        <f t="shared" si="165"/>
        <v/>
      </c>
      <c r="AC597" t="str">
        <f t="shared" si="166"/>
        <v/>
      </c>
      <c r="AD597" t="str">
        <f t="shared" si="167"/>
        <v/>
      </c>
    </row>
    <row r="598" spans="14:30" thickBot="1" x14ac:dyDescent="0.3">
      <c r="N598">
        <f t="shared" si="160"/>
        <v>0</v>
      </c>
      <c r="O598">
        <f t="shared" si="157"/>
        <v>0</v>
      </c>
      <c r="P598">
        <f t="shared" si="158"/>
        <v>0</v>
      </c>
      <c r="Q598">
        <f t="shared" si="159"/>
        <v>0</v>
      </c>
      <c r="X598" t="str">
        <f t="shared" si="161"/>
        <v/>
      </c>
      <c r="Y598" t="str">
        <f t="shared" si="162"/>
        <v/>
      </c>
      <c r="Z598" t="str">
        <f t="shared" si="163"/>
        <v/>
      </c>
      <c r="AA598" t="str">
        <f t="shared" si="164"/>
        <v/>
      </c>
      <c r="AB598" t="str">
        <f t="shared" si="165"/>
        <v/>
      </c>
      <c r="AC598" t="str">
        <f t="shared" si="166"/>
        <v/>
      </c>
      <c r="AD598" t="str">
        <f t="shared" si="167"/>
        <v/>
      </c>
    </row>
    <row r="599" spans="14:30" thickBot="1" x14ac:dyDescent="0.3">
      <c r="N599">
        <f t="shared" si="160"/>
        <v>0</v>
      </c>
      <c r="O599">
        <f t="shared" si="157"/>
        <v>0</v>
      </c>
      <c r="P599">
        <f t="shared" si="158"/>
        <v>0</v>
      </c>
      <c r="Q599">
        <f t="shared" si="159"/>
        <v>0</v>
      </c>
      <c r="X599" t="str">
        <f t="shared" si="161"/>
        <v/>
      </c>
      <c r="Y599" t="str">
        <f t="shared" si="162"/>
        <v/>
      </c>
      <c r="Z599" t="str">
        <f t="shared" si="163"/>
        <v/>
      </c>
      <c r="AA599" t="str">
        <f t="shared" si="164"/>
        <v/>
      </c>
      <c r="AB599" t="str">
        <f t="shared" si="165"/>
        <v/>
      </c>
      <c r="AC599" t="str">
        <f t="shared" si="166"/>
        <v/>
      </c>
      <c r="AD599" t="str">
        <f t="shared" si="167"/>
        <v/>
      </c>
    </row>
    <row r="600" spans="14:30" thickBot="1" x14ac:dyDescent="0.3">
      <c r="N600">
        <f t="shared" si="160"/>
        <v>0</v>
      </c>
      <c r="O600">
        <f t="shared" si="157"/>
        <v>0</v>
      </c>
      <c r="P600">
        <f t="shared" si="158"/>
        <v>0</v>
      </c>
      <c r="Q600">
        <f t="shared" si="159"/>
        <v>0</v>
      </c>
      <c r="X600" t="str">
        <f t="shared" si="161"/>
        <v/>
      </c>
      <c r="Y600" t="str">
        <f t="shared" si="162"/>
        <v/>
      </c>
      <c r="Z600" t="str">
        <f t="shared" si="163"/>
        <v/>
      </c>
      <c r="AA600" t="str">
        <f t="shared" si="164"/>
        <v/>
      </c>
      <c r="AB600" t="str">
        <f t="shared" si="165"/>
        <v/>
      </c>
      <c r="AC600" t="str">
        <f t="shared" si="166"/>
        <v/>
      </c>
      <c r="AD600" t="str">
        <f t="shared" si="167"/>
        <v/>
      </c>
    </row>
    <row r="601" spans="14:30" thickBot="1" x14ac:dyDescent="0.3">
      <c r="N601">
        <f t="shared" si="160"/>
        <v>0</v>
      </c>
      <c r="O601">
        <f t="shared" si="157"/>
        <v>0</v>
      </c>
      <c r="P601">
        <f t="shared" si="158"/>
        <v>0</v>
      </c>
      <c r="Q601">
        <f t="shared" si="159"/>
        <v>0</v>
      </c>
      <c r="X601" t="str">
        <f t="shared" si="161"/>
        <v/>
      </c>
      <c r="Y601" t="str">
        <f t="shared" si="162"/>
        <v/>
      </c>
      <c r="Z601" t="str">
        <f t="shared" si="163"/>
        <v/>
      </c>
      <c r="AA601" t="str">
        <f t="shared" si="164"/>
        <v/>
      </c>
      <c r="AB601" t="str">
        <f t="shared" si="165"/>
        <v/>
      </c>
      <c r="AC601" t="str">
        <f t="shared" si="166"/>
        <v/>
      </c>
      <c r="AD601" t="str">
        <f t="shared" si="167"/>
        <v/>
      </c>
    </row>
    <row r="602" spans="14:30" thickBot="1" x14ac:dyDescent="0.3">
      <c r="N602">
        <f t="shared" si="160"/>
        <v>0</v>
      </c>
      <c r="O602">
        <f t="shared" si="157"/>
        <v>0</v>
      </c>
      <c r="P602">
        <f t="shared" si="158"/>
        <v>0</v>
      </c>
      <c r="Q602">
        <f t="shared" si="159"/>
        <v>0</v>
      </c>
      <c r="X602" t="str">
        <f t="shared" si="161"/>
        <v/>
      </c>
      <c r="Y602" t="str">
        <f t="shared" si="162"/>
        <v/>
      </c>
      <c r="Z602" t="str">
        <f t="shared" si="163"/>
        <v/>
      </c>
      <c r="AA602" t="str">
        <f t="shared" si="164"/>
        <v/>
      </c>
      <c r="AB602" t="str">
        <f t="shared" si="165"/>
        <v/>
      </c>
      <c r="AC602" t="str">
        <f t="shared" si="166"/>
        <v/>
      </c>
      <c r="AD602" t="str">
        <f t="shared" si="167"/>
        <v/>
      </c>
    </row>
    <row r="603" spans="14:30" thickBot="1" x14ac:dyDescent="0.3">
      <c r="N603">
        <f t="shared" si="160"/>
        <v>0</v>
      </c>
      <c r="O603">
        <f t="shared" si="157"/>
        <v>0</v>
      </c>
      <c r="P603">
        <f t="shared" si="158"/>
        <v>0</v>
      </c>
      <c r="Q603">
        <f t="shared" si="159"/>
        <v>0</v>
      </c>
      <c r="X603" t="str">
        <f t="shared" si="161"/>
        <v/>
      </c>
      <c r="Y603" t="str">
        <f t="shared" si="162"/>
        <v/>
      </c>
      <c r="Z603" t="str">
        <f t="shared" si="163"/>
        <v/>
      </c>
      <c r="AA603" t="str">
        <f t="shared" si="164"/>
        <v/>
      </c>
      <c r="AB603" t="str">
        <f t="shared" si="165"/>
        <v/>
      </c>
      <c r="AC603" t="str">
        <f t="shared" si="166"/>
        <v/>
      </c>
      <c r="AD603" t="str">
        <f t="shared" si="167"/>
        <v/>
      </c>
    </row>
    <row r="604" spans="14:30" thickBot="1" x14ac:dyDescent="0.3">
      <c r="N604">
        <f t="shared" si="160"/>
        <v>0</v>
      </c>
      <c r="O604">
        <f t="shared" si="157"/>
        <v>0</v>
      </c>
      <c r="P604">
        <f t="shared" si="158"/>
        <v>0</v>
      </c>
      <c r="Q604">
        <f t="shared" si="159"/>
        <v>0</v>
      </c>
      <c r="X604" t="str">
        <f t="shared" si="161"/>
        <v/>
      </c>
      <c r="Y604" t="str">
        <f t="shared" si="162"/>
        <v/>
      </c>
      <c r="Z604" t="str">
        <f t="shared" si="163"/>
        <v/>
      </c>
      <c r="AA604" t="str">
        <f t="shared" si="164"/>
        <v/>
      </c>
      <c r="AB604" t="str">
        <f t="shared" si="165"/>
        <v/>
      </c>
      <c r="AC604" t="str">
        <f t="shared" si="166"/>
        <v/>
      </c>
      <c r="AD604" t="str">
        <f t="shared" si="167"/>
        <v/>
      </c>
    </row>
    <row r="605" spans="14:30" thickBot="1" x14ac:dyDescent="0.3">
      <c r="N605">
        <f t="shared" si="160"/>
        <v>0</v>
      </c>
      <c r="O605">
        <f t="shared" si="157"/>
        <v>0</v>
      </c>
      <c r="P605">
        <f t="shared" si="158"/>
        <v>0</v>
      </c>
      <c r="Q605">
        <f t="shared" si="159"/>
        <v>0</v>
      </c>
      <c r="X605" t="str">
        <f t="shared" si="161"/>
        <v/>
      </c>
      <c r="Y605" t="str">
        <f t="shared" si="162"/>
        <v/>
      </c>
      <c r="Z605" t="str">
        <f t="shared" si="163"/>
        <v/>
      </c>
      <c r="AA605" t="str">
        <f t="shared" si="164"/>
        <v/>
      </c>
      <c r="AB605" t="str">
        <f t="shared" si="165"/>
        <v/>
      </c>
      <c r="AC605" t="str">
        <f t="shared" si="166"/>
        <v/>
      </c>
      <c r="AD605" t="str">
        <f t="shared" si="167"/>
        <v/>
      </c>
    </row>
    <row r="606" spans="14:30" thickBot="1" x14ac:dyDescent="0.3">
      <c r="N606">
        <f t="shared" si="160"/>
        <v>0</v>
      </c>
      <c r="O606">
        <f t="shared" si="157"/>
        <v>0</v>
      </c>
      <c r="P606">
        <f t="shared" si="158"/>
        <v>0</v>
      </c>
      <c r="Q606">
        <f t="shared" si="159"/>
        <v>0</v>
      </c>
      <c r="X606" t="str">
        <f t="shared" si="161"/>
        <v/>
      </c>
      <c r="Y606" t="str">
        <f t="shared" si="162"/>
        <v/>
      </c>
      <c r="Z606" t="str">
        <f t="shared" si="163"/>
        <v/>
      </c>
      <c r="AA606" t="str">
        <f t="shared" si="164"/>
        <v/>
      </c>
      <c r="AB606" t="str">
        <f t="shared" si="165"/>
        <v/>
      </c>
      <c r="AC606" t="str">
        <f t="shared" si="166"/>
        <v/>
      </c>
      <c r="AD606" t="str">
        <f t="shared" si="167"/>
        <v/>
      </c>
    </row>
    <row r="607" spans="14:30" thickBot="1" x14ac:dyDescent="0.3">
      <c r="N607">
        <f t="shared" si="160"/>
        <v>0</v>
      </c>
      <c r="O607">
        <f t="shared" si="157"/>
        <v>0</v>
      </c>
      <c r="P607">
        <f t="shared" si="158"/>
        <v>0</v>
      </c>
      <c r="Q607">
        <f t="shared" si="159"/>
        <v>0</v>
      </c>
      <c r="X607" t="str">
        <f t="shared" si="161"/>
        <v/>
      </c>
      <c r="Y607" t="str">
        <f t="shared" si="162"/>
        <v/>
      </c>
      <c r="Z607" t="str">
        <f t="shared" si="163"/>
        <v/>
      </c>
      <c r="AA607" t="str">
        <f t="shared" si="164"/>
        <v/>
      </c>
      <c r="AB607" t="str">
        <f t="shared" si="165"/>
        <v/>
      </c>
      <c r="AC607" t="str">
        <f t="shared" si="166"/>
        <v/>
      </c>
      <c r="AD607" t="str">
        <f t="shared" si="167"/>
        <v/>
      </c>
    </row>
    <row r="608" spans="14:30" thickBot="1" x14ac:dyDescent="0.3">
      <c r="N608">
        <f t="shared" si="160"/>
        <v>0</v>
      </c>
      <c r="O608">
        <f t="shared" si="157"/>
        <v>0</v>
      </c>
      <c r="P608">
        <f t="shared" si="158"/>
        <v>0</v>
      </c>
      <c r="Q608">
        <f t="shared" si="159"/>
        <v>0</v>
      </c>
      <c r="X608" t="str">
        <f t="shared" si="161"/>
        <v/>
      </c>
      <c r="Y608" t="str">
        <f t="shared" si="162"/>
        <v/>
      </c>
      <c r="Z608" t="str">
        <f t="shared" si="163"/>
        <v/>
      </c>
      <c r="AA608" t="str">
        <f t="shared" si="164"/>
        <v/>
      </c>
      <c r="AB608" t="str">
        <f t="shared" si="165"/>
        <v/>
      </c>
      <c r="AC608" t="str">
        <f t="shared" si="166"/>
        <v/>
      </c>
      <c r="AD608" t="str">
        <f t="shared" si="167"/>
        <v/>
      </c>
    </row>
    <row r="609" spans="14:30" thickBot="1" x14ac:dyDescent="0.3">
      <c r="N609">
        <f t="shared" si="160"/>
        <v>0</v>
      </c>
      <c r="O609">
        <f t="shared" si="157"/>
        <v>0</v>
      </c>
      <c r="P609">
        <f t="shared" si="158"/>
        <v>0</v>
      </c>
      <c r="Q609">
        <f t="shared" si="159"/>
        <v>0</v>
      </c>
      <c r="X609" t="str">
        <f t="shared" si="161"/>
        <v/>
      </c>
      <c r="Y609" t="str">
        <f t="shared" si="162"/>
        <v/>
      </c>
      <c r="Z609" t="str">
        <f t="shared" si="163"/>
        <v/>
      </c>
      <c r="AA609" t="str">
        <f t="shared" si="164"/>
        <v/>
      </c>
      <c r="AB609" t="str">
        <f t="shared" si="165"/>
        <v/>
      </c>
      <c r="AC609" t="str">
        <f t="shared" si="166"/>
        <v/>
      </c>
      <c r="AD609" t="str">
        <f t="shared" si="167"/>
        <v/>
      </c>
    </row>
    <row r="610" spans="14:30" thickBot="1" x14ac:dyDescent="0.3">
      <c r="N610">
        <f t="shared" si="160"/>
        <v>0</v>
      </c>
      <c r="O610">
        <f t="shared" si="157"/>
        <v>0</v>
      </c>
      <c r="P610">
        <f t="shared" si="158"/>
        <v>0</v>
      </c>
      <c r="Q610">
        <f t="shared" si="159"/>
        <v>0</v>
      </c>
      <c r="X610" t="str">
        <f t="shared" si="161"/>
        <v/>
      </c>
      <c r="Y610" t="str">
        <f t="shared" si="162"/>
        <v/>
      </c>
      <c r="Z610" t="str">
        <f t="shared" si="163"/>
        <v/>
      </c>
      <c r="AA610" t="str">
        <f t="shared" si="164"/>
        <v/>
      </c>
      <c r="AB610" t="str">
        <f t="shared" si="165"/>
        <v/>
      </c>
      <c r="AC610" t="str">
        <f t="shared" si="166"/>
        <v/>
      </c>
      <c r="AD610" t="str">
        <f t="shared" si="167"/>
        <v/>
      </c>
    </row>
    <row r="611" spans="14:30" thickBot="1" x14ac:dyDescent="0.3">
      <c r="N611">
        <f t="shared" si="160"/>
        <v>0</v>
      </c>
      <c r="O611">
        <f t="shared" si="157"/>
        <v>0</v>
      </c>
      <c r="P611">
        <f t="shared" si="158"/>
        <v>0</v>
      </c>
      <c r="Q611">
        <f t="shared" si="159"/>
        <v>0</v>
      </c>
      <c r="X611" t="str">
        <f t="shared" si="161"/>
        <v/>
      </c>
      <c r="Y611" t="str">
        <f t="shared" si="162"/>
        <v/>
      </c>
      <c r="Z611" t="str">
        <f t="shared" si="163"/>
        <v/>
      </c>
      <c r="AA611" t="str">
        <f t="shared" si="164"/>
        <v/>
      </c>
      <c r="AB611" t="str">
        <f t="shared" si="165"/>
        <v/>
      </c>
      <c r="AC611" t="str">
        <f t="shared" si="166"/>
        <v/>
      </c>
      <c r="AD611" t="str">
        <f t="shared" si="167"/>
        <v/>
      </c>
    </row>
    <row r="612" spans="14:30" thickBot="1" x14ac:dyDescent="0.3">
      <c r="N612">
        <f t="shared" si="160"/>
        <v>0</v>
      </c>
      <c r="O612">
        <f t="shared" si="157"/>
        <v>0</v>
      </c>
      <c r="P612">
        <f t="shared" si="158"/>
        <v>0</v>
      </c>
      <c r="Q612">
        <f t="shared" si="159"/>
        <v>0</v>
      </c>
      <c r="X612" t="str">
        <f t="shared" si="161"/>
        <v/>
      </c>
      <c r="Y612" t="str">
        <f t="shared" si="162"/>
        <v/>
      </c>
      <c r="Z612" t="str">
        <f t="shared" si="163"/>
        <v/>
      </c>
      <c r="AA612" t="str">
        <f t="shared" si="164"/>
        <v/>
      </c>
      <c r="AB612" t="str">
        <f t="shared" si="165"/>
        <v/>
      </c>
      <c r="AC612" t="str">
        <f t="shared" si="166"/>
        <v/>
      </c>
      <c r="AD612" t="str">
        <f t="shared" si="167"/>
        <v/>
      </c>
    </row>
    <row r="613" spans="14:30" thickBot="1" x14ac:dyDescent="0.3">
      <c r="N613">
        <f t="shared" si="160"/>
        <v>0</v>
      </c>
      <c r="O613">
        <f t="shared" si="157"/>
        <v>0</v>
      </c>
      <c r="P613">
        <f t="shared" si="158"/>
        <v>0</v>
      </c>
      <c r="Q613">
        <f t="shared" si="159"/>
        <v>0</v>
      </c>
      <c r="X613" t="str">
        <f t="shared" si="161"/>
        <v/>
      </c>
      <c r="Y613" t="str">
        <f t="shared" si="162"/>
        <v/>
      </c>
      <c r="Z613" t="str">
        <f t="shared" si="163"/>
        <v/>
      </c>
      <c r="AA613" t="str">
        <f t="shared" si="164"/>
        <v/>
      </c>
      <c r="AB613" t="str">
        <f t="shared" si="165"/>
        <v/>
      </c>
      <c r="AC613" t="str">
        <f t="shared" si="166"/>
        <v/>
      </c>
      <c r="AD613" t="str">
        <f t="shared" si="167"/>
        <v/>
      </c>
    </row>
    <row r="614" spans="14:30" thickBot="1" x14ac:dyDescent="0.3">
      <c r="N614">
        <f t="shared" si="160"/>
        <v>0</v>
      </c>
      <c r="O614">
        <f t="shared" si="157"/>
        <v>0</v>
      </c>
      <c r="P614">
        <f t="shared" si="158"/>
        <v>0</v>
      </c>
      <c r="Q614">
        <f t="shared" si="159"/>
        <v>0</v>
      </c>
      <c r="X614" t="str">
        <f t="shared" si="161"/>
        <v/>
      </c>
      <c r="Y614" t="str">
        <f t="shared" si="162"/>
        <v/>
      </c>
      <c r="Z614" t="str">
        <f t="shared" si="163"/>
        <v/>
      </c>
      <c r="AA614" t="str">
        <f t="shared" si="164"/>
        <v/>
      </c>
      <c r="AB614" t="str">
        <f t="shared" si="165"/>
        <v/>
      </c>
      <c r="AC614" t="str">
        <f t="shared" si="166"/>
        <v/>
      </c>
      <c r="AD614" t="str">
        <f t="shared" si="167"/>
        <v/>
      </c>
    </row>
    <row r="615" spans="14:30" thickBot="1" x14ac:dyDescent="0.3">
      <c r="N615">
        <f t="shared" si="160"/>
        <v>0</v>
      </c>
      <c r="O615">
        <f t="shared" si="157"/>
        <v>0</v>
      </c>
      <c r="P615">
        <f t="shared" si="158"/>
        <v>0</v>
      </c>
      <c r="Q615">
        <f t="shared" si="159"/>
        <v>0</v>
      </c>
      <c r="X615" t="str">
        <f t="shared" si="161"/>
        <v/>
      </c>
      <c r="Y615" t="str">
        <f t="shared" si="162"/>
        <v/>
      </c>
      <c r="Z615" t="str">
        <f t="shared" si="163"/>
        <v/>
      </c>
      <c r="AA615" t="str">
        <f t="shared" si="164"/>
        <v/>
      </c>
      <c r="AB615" t="str">
        <f t="shared" si="165"/>
        <v/>
      </c>
      <c r="AC615" t="str">
        <f t="shared" si="166"/>
        <v/>
      </c>
      <c r="AD615" t="str">
        <f t="shared" si="167"/>
        <v/>
      </c>
    </row>
    <row r="616" spans="14:30" thickBot="1" x14ac:dyDescent="0.3">
      <c r="N616">
        <f t="shared" si="160"/>
        <v>0</v>
      </c>
      <c r="O616">
        <f t="shared" si="157"/>
        <v>0</v>
      </c>
      <c r="P616">
        <f t="shared" si="158"/>
        <v>0</v>
      </c>
      <c r="Q616">
        <f t="shared" si="159"/>
        <v>0</v>
      </c>
      <c r="X616" t="str">
        <f t="shared" si="161"/>
        <v/>
      </c>
      <c r="Y616" t="str">
        <f t="shared" si="162"/>
        <v/>
      </c>
      <c r="Z616" t="str">
        <f t="shared" si="163"/>
        <v/>
      </c>
      <c r="AA616" t="str">
        <f t="shared" si="164"/>
        <v/>
      </c>
      <c r="AB616" t="str">
        <f t="shared" si="165"/>
        <v/>
      </c>
      <c r="AC616" t="str">
        <f t="shared" si="166"/>
        <v/>
      </c>
      <c r="AD616" t="str">
        <f t="shared" si="167"/>
        <v/>
      </c>
    </row>
    <row r="617" spans="14:30" thickBot="1" x14ac:dyDescent="0.3">
      <c r="N617">
        <f t="shared" si="160"/>
        <v>0</v>
      </c>
      <c r="O617">
        <f t="shared" si="157"/>
        <v>0</v>
      </c>
      <c r="P617">
        <f t="shared" si="158"/>
        <v>0</v>
      </c>
      <c r="Q617">
        <f t="shared" si="159"/>
        <v>0</v>
      </c>
      <c r="X617" t="str">
        <f t="shared" si="161"/>
        <v/>
      </c>
      <c r="Y617" t="str">
        <f t="shared" si="162"/>
        <v/>
      </c>
      <c r="Z617" t="str">
        <f t="shared" si="163"/>
        <v/>
      </c>
      <c r="AA617" t="str">
        <f t="shared" si="164"/>
        <v/>
      </c>
      <c r="AB617" t="str">
        <f t="shared" si="165"/>
        <v/>
      </c>
      <c r="AC617" t="str">
        <f t="shared" si="166"/>
        <v/>
      </c>
      <c r="AD617" t="str">
        <f t="shared" si="167"/>
        <v/>
      </c>
    </row>
    <row r="618" spans="14:30" thickBot="1" x14ac:dyDescent="0.3">
      <c r="N618">
        <f t="shared" si="160"/>
        <v>0</v>
      </c>
      <c r="O618">
        <f t="shared" si="157"/>
        <v>0</v>
      </c>
      <c r="P618">
        <f t="shared" si="158"/>
        <v>0</v>
      </c>
      <c r="Q618">
        <f t="shared" si="159"/>
        <v>0</v>
      </c>
      <c r="X618" t="str">
        <f t="shared" si="161"/>
        <v/>
      </c>
      <c r="Y618" t="str">
        <f t="shared" si="162"/>
        <v/>
      </c>
      <c r="Z618" t="str">
        <f t="shared" si="163"/>
        <v/>
      </c>
      <c r="AA618" t="str">
        <f t="shared" si="164"/>
        <v/>
      </c>
      <c r="AB618" t="str">
        <f t="shared" si="165"/>
        <v/>
      </c>
      <c r="AC618" t="str">
        <f t="shared" si="166"/>
        <v/>
      </c>
      <c r="AD618" t="str">
        <f t="shared" si="167"/>
        <v/>
      </c>
    </row>
    <row r="619" spans="14:30" thickBot="1" x14ac:dyDescent="0.3">
      <c r="N619">
        <f t="shared" si="160"/>
        <v>0</v>
      </c>
      <c r="O619">
        <f t="shared" si="157"/>
        <v>0</v>
      </c>
      <c r="P619">
        <f t="shared" si="158"/>
        <v>0</v>
      </c>
      <c r="Q619">
        <f t="shared" si="159"/>
        <v>0</v>
      </c>
      <c r="X619" t="str">
        <f t="shared" si="161"/>
        <v/>
      </c>
      <c r="Y619" t="str">
        <f t="shared" si="162"/>
        <v/>
      </c>
      <c r="Z619" t="str">
        <f t="shared" si="163"/>
        <v/>
      </c>
      <c r="AA619" t="str">
        <f t="shared" si="164"/>
        <v/>
      </c>
      <c r="AB619" t="str">
        <f t="shared" si="165"/>
        <v/>
      </c>
      <c r="AC619" t="str">
        <f t="shared" si="166"/>
        <v/>
      </c>
      <c r="AD619" t="str">
        <f t="shared" si="167"/>
        <v/>
      </c>
    </row>
    <row r="620" spans="14:30" thickBot="1" x14ac:dyDescent="0.3">
      <c r="N620">
        <f t="shared" si="160"/>
        <v>0</v>
      </c>
      <c r="O620">
        <f t="shared" si="157"/>
        <v>0</v>
      </c>
      <c r="P620">
        <f t="shared" si="158"/>
        <v>0</v>
      </c>
      <c r="Q620">
        <f t="shared" si="159"/>
        <v>0</v>
      </c>
      <c r="X620" t="str">
        <f t="shared" si="161"/>
        <v/>
      </c>
      <c r="Y620" t="str">
        <f t="shared" si="162"/>
        <v/>
      </c>
      <c r="Z620" t="str">
        <f t="shared" si="163"/>
        <v/>
      </c>
      <c r="AA620" t="str">
        <f t="shared" si="164"/>
        <v/>
      </c>
      <c r="AB620" t="str">
        <f t="shared" si="165"/>
        <v/>
      </c>
      <c r="AC620" t="str">
        <f t="shared" si="166"/>
        <v/>
      </c>
      <c r="AD620" t="str">
        <f t="shared" si="167"/>
        <v/>
      </c>
    </row>
    <row r="621" spans="14:30" thickBot="1" x14ac:dyDescent="0.3">
      <c r="N621">
        <f t="shared" si="160"/>
        <v>0</v>
      </c>
      <c r="O621">
        <f t="shared" si="157"/>
        <v>0</v>
      </c>
      <c r="P621">
        <f t="shared" si="158"/>
        <v>0</v>
      </c>
      <c r="Q621">
        <f t="shared" si="159"/>
        <v>0</v>
      </c>
      <c r="X621" t="str">
        <f t="shared" si="161"/>
        <v/>
      </c>
      <c r="Y621" t="str">
        <f t="shared" si="162"/>
        <v/>
      </c>
      <c r="Z621" t="str">
        <f t="shared" si="163"/>
        <v/>
      </c>
      <c r="AA621" t="str">
        <f t="shared" si="164"/>
        <v/>
      </c>
      <c r="AB621" t="str">
        <f t="shared" si="165"/>
        <v/>
      </c>
      <c r="AC621" t="str">
        <f t="shared" si="166"/>
        <v/>
      </c>
      <c r="AD621" t="str">
        <f t="shared" si="167"/>
        <v/>
      </c>
    </row>
    <row r="622" spans="14:30" thickBot="1" x14ac:dyDescent="0.3">
      <c r="N622">
        <f t="shared" si="160"/>
        <v>0</v>
      </c>
      <c r="O622">
        <f t="shared" si="157"/>
        <v>0</v>
      </c>
      <c r="P622">
        <f t="shared" si="158"/>
        <v>0</v>
      </c>
      <c r="Q622">
        <f t="shared" si="159"/>
        <v>0</v>
      </c>
      <c r="X622" t="str">
        <f t="shared" si="161"/>
        <v/>
      </c>
      <c r="Y622" t="str">
        <f t="shared" si="162"/>
        <v/>
      </c>
      <c r="Z622" t="str">
        <f t="shared" si="163"/>
        <v/>
      </c>
      <c r="AA622" t="str">
        <f t="shared" si="164"/>
        <v/>
      </c>
      <c r="AB622" t="str">
        <f t="shared" si="165"/>
        <v/>
      </c>
      <c r="AC622" t="str">
        <f t="shared" si="166"/>
        <v/>
      </c>
      <c r="AD622" t="str">
        <f t="shared" si="167"/>
        <v/>
      </c>
    </row>
    <row r="623" spans="14:30" thickBot="1" x14ac:dyDescent="0.3">
      <c r="N623">
        <f t="shared" si="160"/>
        <v>0</v>
      </c>
      <c r="O623">
        <f t="shared" si="157"/>
        <v>0</v>
      </c>
      <c r="P623">
        <f t="shared" si="158"/>
        <v>0</v>
      </c>
      <c r="Q623">
        <f t="shared" si="159"/>
        <v>0</v>
      </c>
      <c r="X623" t="str">
        <f t="shared" si="161"/>
        <v/>
      </c>
      <c r="Y623" t="str">
        <f t="shared" si="162"/>
        <v/>
      </c>
      <c r="Z623" t="str">
        <f t="shared" si="163"/>
        <v/>
      </c>
      <c r="AA623" t="str">
        <f t="shared" si="164"/>
        <v/>
      </c>
      <c r="AB623" t="str">
        <f t="shared" si="165"/>
        <v/>
      </c>
      <c r="AC623" t="str">
        <f t="shared" si="166"/>
        <v/>
      </c>
      <c r="AD623" t="str">
        <f t="shared" si="167"/>
        <v/>
      </c>
    </row>
    <row r="624" spans="14:30" thickBot="1" x14ac:dyDescent="0.3">
      <c r="N624">
        <f t="shared" si="160"/>
        <v>0</v>
      </c>
      <c r="O624">
        <f t="shared" si="157"/>
        <v>0</v>
      </c>
      <c r="P624">
        <f t="shared" si="158"/>
        <v>0</v>
      </c>
      <c r="Q624">
        <f t="shared" si="159"/>
        <v>0</v>
      </c>
      <c r="X624" t="str">
        <f t="shared" si="161"/>
        <v/>
      </c>
      <c r="Y624" t="str">
        <f t="shared" si="162"/>
        <v/>
      </c>
      <c r="Z624" t="str">
        <f t="shared" si="163"/>
        <v/>
      </c>
      <c r="AA624" t="str">
        <f t="shared" si="164"/>
        <v/>
      </c>
      <c r="AB624" t="str">
        <f t="shared" si="165"/>
        <v/>
      </c>
      <c r="AC624" t="str">
        <f t="shared" si="166"/>
        <v/>
      </c>
      <c r="AD624" t="str">
        <f t="shared" si="167"/>
        <v/>
      </c>
    </row>
    <row r="625" spans="14:30" thickBot="1" x14ac:dyDescent="0.3">
      <c r="N625">
        <f t="shared" si="160"/>
        <v>0</v>
      </c>
      <c r="O625">
        <f t="shared" si="157"/>
        <v>0</v>
      </c>
      <c r="P625">
        <f t="shared" si="158"/>
        <v>0</v>
      </c>
      <c r="Q625">
        <f t="shared" si="159"/>
        <v>0</v>
      </c>
      <c r="X625" t="str">
        <f t="shared" si="161"/>
        <v/>
      </c>
      <c r="Y625" t="str">
        <f t="shared" si="162"/>
        <v/>
      </c>
      <c r="Z625" t="str">
        <f t="shared" si="163"/>
        <v/>
      </c>
      <c r="AA625" t="str">
        <f t="shared" si="164"/>
        <v/>
      </c>
      <c r="AB625" t="str">
        <f t="shared" si="165"/>
        <v/>
      </c>
      <c r="AC625" t="str">
        <f t="shared" si="166"/>
        <v/>
      </c>
      <c r="AD625" t="str">
        <f t="shared" si="167"/>
        <v/>
      </c>
    </row>
    <row r="626" spans="14:30" thickBot="1" x14ac:dyDescent="0.3">
      <c r="N626">
        <f t="shared" si="160"/>
        <v>0</v>
      </c>
      <c r="O626">
        <f t="shared" si="157"/>
        <v>0</v>
      </c>
      <c r="P626">
        <f t="shared" si="158"/>
        <v>0</v>
      </c>
      <c r="Q626">
        <f t="shared" si="159"/>
        <v>0</v>
      </c>
      <c r="X626" t="str">
        <f t="shared" si="161"/>
        <v/>
      </c>
      <c r="Y626" t="str">
        <f t="shared" si="162"/>
        <v/>
      </c>
      <c r="Z626" t="str">
        <f t="shared" si="163"/>
        <v/>
      </c>
      <c r="AA626" t="str">
        <f t="shared" si="164"/>
        <v/>
      </c>
      <c r="AB626" t="str">
        <f t="shared" si="165"/>
        <v/>
      </c>
      <c r="AC626" t="str">
        <f t="shared" si="166"/>
        <v/>
      </c>
      <c r="AD626" t="str">
        <f t="shared" si="167"/>
        <v/>
      </c>
    </row>
    <row r="627" spans="14:30" thickBot="1" x14ac:dyDescent="0.3">
      <c r="N627">
        <f t="shared" si="160"/>
        <v>0</v>
      </c>
      <c r="O627">
        <f t="shared" si="157"/>
        <v>0</v>
      </c>
      <c r="P627">
        <f t="shared" si="158"/>
        <v>0</v>
      </c>
      <c r="Q627">
        <f t="shared" si="159"/>
        <v>0</v>
      </c>
      <c r="X627" t="str">
        <f t="shared" si="161"/>
        <v/>
      </c>
      <c r="Y627" t="str">
        <f t="shared" si="162"/>
        <v/>
      </c>
      <c r="Z627" t="str">
        <f t="shared" si="163"/>
        <v/>
      </c>
      <c r="AA627" t="str">
        <f t="shared" si="164"/>
        <v/>
      </c>
      <c r="AB627" t="str">
        <f t="shared" si="165"/>
        <v/>
      </c>
      <c r="AC627" t="str">
        <f t="shared" si="166"/>
        <v/>
      </c>
      <c r="AD627" t="str">
        <f t="shared" si="167"/>
        <v/>
      </c>
    </row>
    <row r="628" spans="14:30" thickBot="1" x14ac:dyDescent="0.3">
      <c r="N628">
        <f t="shared" si="160"/>
        <v>0</v>
      </c>
      <c r="O628">
        <f t="shared" si="157"/>
        <v>0</v>
      </c>
      <c r="P628">
        <f t="shared" si="158"/>
        <v>0</v>
      </c>
      <c r="Q628">
        <f t="shared" si="159"/>
        <v>0</v>
      </c>
      <c r="X628" t="str">
        <f t="shared" si="161"/>
        <v/>
      </c>
      <c r="Y628" t="str">
        <f t="shared" si="162"/>
        <v/>
      </c>
      <c r="Z628" t="str">
        <f t="shared" si="163"/>
        <v/>
      </c>
      <c r="AA628" t="str">
        <f t="shared" si="164"/>
        <v/>
      </c>
      <c r="AB628" t="str">
        <f t="shared" si="165"/>
        <v/>
      </c>
      <c r="AC628" t="str">
        <f t="shared" si="166"/>
        <v/>
      </c>
      <c r="AD628" t="str">
        <f t="shared" si="167"/>
        <v/>
      </c>
    </row>
    <row r="629" spans="14:30" thickBot="1" x14ac:dyDescent="0.3">
      <c r="N629">
        <f t="shared" si="160"/>
        <v>0</v>
      </c>
      <c r="O629">
        <f t="shared" si="157"/>
        <v>0</v>
      </c>
      <c r="P629">
        <f t="shared" si="158"/>
        <v>0</v>
      </c>
      <c r="Q629">
        <f t="shared" si="159"/>
        <v>0</v>
      </c>
      <c r="X629" t="str">
        <f t="shared" si="161"/>
        <v/>
      </c>
      <c r="Y629" t="str">
        <f t="shared" si="162"/>
        <v/>
      </c>
      <c r="Z629" t="str">
        <f t="shared" si="163"/>
        <v/>
      </c>
      <c r="AA629" t="str">
        <f t="shared" si="164"/>
        <v/>
      </c>
      <c r="AB629" t="str">
        <f t="shared" si="165"/>
        <v/>
      </c>
      <c r="AC629" t="str">
        <f t="shared" si="166"/>
        <v/>
      </c>
      <c r="AD629" t="str">
        <f t="shared" si="167"/>
        <v/>
      </c>
    </row>
    <row r="630" spans="14:30" thickBot="1" x14ac:dyDescent="0.3">
      <c r="N630">
        <f t="shared" si="160"/>
        <v>0</v>
      </c>
      <c r="O630">
        <f t="shared" si="157"/>
        <v>0</v>
      </c>
      <c r="P630">
        <f t="shared" si="158"/>
        <v>0</v>
      </c>
      <c r="Q630">
        <f t="shared" si="159"/>
        <v>0</v>
      </c>
      <c r="X630" t="str">
        <f t="shared" si="161"/>
        <v/>
      </c>
      <c r="Y630" t="str">
        <f t="shared" si="162"/>
        <v/>
      </c>
      <c r="Z630" t="str">
        <f t="shared" si="163"/>
        <v/>
      </c>
      <c r="AA630" t="str">
        <f t="shared" si="164"/>
        <v/>
      </c>
      <c r="AB630" t="str">
        <f t="shared" si="165"/>
        <v/>
      </c>
      <c r="AC630" t="str">
        <f t="shared" si="166"/>
        <v/>
      </c>
      <c r="AD630" t="str">
        <f t="shared" si="167"/>
        <v/>
      </c>
    </row>
    <row r="631" spans="14:30" thickBot="1" x14ac:dyDescent="0.3">
      <c r="N631">
        <f t="shared" si="160"/>
        <v>0</v>
      </c>
      <c r="O631">
        <f t="shared" si="157"/>
        <v>0</v>
      </c>
      <c r="P631">
        <f t="shared" si="158"/>
        <v>0</v>
      </c>
      <c r="Q631">
        <f t="shared" si="159"/>
        <v>0</v>
      </c>
      <c r="X631" t="str">
        <f t="shared" si="161"/>
        <v/>
      </c>
      <c r="Y631" t="str">
        <f t="shared" si="162"/>
        <v/>
      </c>
      <c r="Z631" t="str">
        <f t="shared" si="163"/>
        <v/>
      </c>
      <c r="AA631" t="str">
        <f t="shared" si="164"/>
        <v/>
      </c>
      <c r="AB631" t="str">
        <f t="shared" si="165"/>
        <v/>
      </c>
      <c r="AC631" t="str">
        <f t="shared" si="166"/>
        <v/>
      </c>
      <c r="AD631" t="str">
        <f t="shared" si="167"/>
        <v/>
      </c>
    </row>
    <row r="632" spans="14:30" thickBot="1" x14ac:dyDescent="0.3">
      <c r="N632">
        <f t="shared" si="160"/>
        <v>0</v>
      </c>
      <c r="O632">
        <f t="shared" si="157"/>
        <v>0</v>
      </c>
      <c r="P632">
        <f t="shared" si="158"/>
        <v>0</v>
      </c>
      <c r="Q632">
        <f t="shared" si="159"/>
        <v>0</v>
      </c>
      <c r="X632" t="str">
        <f t="shared" si="161"/>
        <v/>
      </c>
      <c r="Y632" t="str">
        <f t="shared" si="162"/>
        <v/>
      </c>
      <c r="Z632" t="str">
        <f t="shared" si="163"/>
        <v/>
      </c>
      <c r="AA632" t="str">
        <f t="shared" si="164"/>
        <v/>
      </c>
      <c r="AB632" t="str">
        <f t="shared" si="165"/>
        <v/>
      </c>
      <c r="AC632" t="str">
        <f t="shared" si="166"/>
        <v/>
      </c>
      <c r="AD632" t="str">
        <f t="shared" si="167"/>
        <v/>
      </c>
    </row>
    <row r="633" spans="14:30" thickBot="1" x14ac:dyDescent="0.3">
      <c r="N633">
        <f t="shared" si="160"/>
        <v>0</v>
      </c>
      <c r="O633">
        <f t="shared" si="157"/>
        <v>0</v>
      </c>
      <c r="P633">
        <f t="shared" si="158"/>
        <v>0</v>
      </c>
      <c r="Q633">
        <f t="shared" si="159"/>
        <v>0</v>
      </c>
      <c r="X633" t="str">
        <f t="shared" si="161"/>
        <v/>
      </c>
      <c r="Y633" t="str">
        <f t="shared" si="162"/>
        <v/>
      </c>
      <c r="Z633" t="str">
        <f t="shared" si="163"/>
        <v/>
      </c>
      <c r="AA633" t="str">
        <f t="shared" si="164"/>
        <v/>
      </c>
      <c r="AB633" t="str">
        <f t="shared" si="165"/>
        <v/>
      </c>
      <c r="AC633" t="str">
        <f t="shared" si="166"/>
        <v/>
      </c>
      <c r="AD633" t="str">
        <f t="shared" si="167"/>
        <v/>
      </c>
    </row>
    <row r="634" spans="14:30" thickBot="1" x14ac:dyDescent="0.3">
      <c r="N634">
        <f t="shared" si="160"/>
        <v>0</v>
      </c>
      <c r="O634">
        <f t="shared" si="157"/>
        <v>0</v>
      </c>
      <c r="P634">
        <f t="shared" si="158"/>
        <v>0</v>
      </c>
      <c r="Q634">
        <f t="shared" si="159"/>
        <v>0</v>
      </c>
      <c r="X634" t="str">
        <f t="shared" si="161"/>
        <v/>
      </c>
      <c r="Y634" t="str">
        <f t="shared" si="162"/>
        <v/>
      </c>
      <c r="Z634" t="str">
        <f t="shared" si="163"/>
        <v/>
      </c>
      <c r="AA634" t="str">
        <f t="shared" si="164"/>
        <v/>
      </c>
      <c r="AB634" t="str">
        <f t="shared" si="165"/>
        <v/>
      </c>
      <c r="AC634" t="str">
        <f t="shared" si="166"/>
        <v/>
      </c>
      <c r="AD634" t="str">
        <f t="shared" si="167"/>
        <v/>
      </c>
    </row>
    <row r="635" spans="14:30" thickBot="1" x14ac:dyDescent="0.3">
      <c r="N635">
        <f t="shared" si="160"/>
        <v>0</v>
      </c>
      <c r="O635">
        <f t="shared" si="157"/>
        <v>0</v>
      </c>
      <c r="P635">
        <f t="shared" si="158"/>
        <v>0</v>
      </c>
      <c r="Q635">
        <f t="shared" si="159"/>
        <v>0</v>
      </c>
      <c r="X635" t="str">
        <f t="shared" si="161"/>
        <v/>
      </c>
      <c r="Y635" t="str">
        <f t="shared" si="162"/>
        <v/>
      </c>
      <c r="Z635" t="str">
        <f t="shared" si="163"/>
        <v/>
      </c>
      <c r="AA635" t="str">
        <f t="shared" si="164"/>
        <v/>
      </c>
      <c r="AB635" t="str">
        <f t="shared" si="165"/>
        <v/>
      </c>
      <c r="AC635" t="str">
        <f t="shared" si="166"/>
        <v/>
      </c>
      <c r="AD635" t="str">
        <f t="shared" si="167"/>
        <v/>
      </c>
    </row>
    <row r="636" spans="14:30" thickBot="1" x14ac:dyDescent="0.3">
      <c r="N636">
        <f t="shared" si="160"/>
        <v>0</v>
      </c>
      <c r="O636">
        <f t="shared" si="157"/>
        <v>0</v>
      </c>
      <c r="P636">
        <f t="shared" si="158"/>
        <v>0</v>
      </c>
      <c r="Q636">
        <f t="shared" si="159"/>
        <v>0</v>
      </c>
      <c r="X636" t="str">
        <f t="shared" si="161"/>
        <v/>
      </c>
      <c r="Y636" t="str">
        <f t="shared" si="162"/>
        <v/>
      </c>
      <c r="Z636" t="str">
        <f t="shared" si="163"/>
        <v/>
      </c>
      <c r="AA636" t="str">
        <f t="shared" si="164"/>
        <v/>
      </c>
      <c r="AB636" t="str">
        <f t="shared" si="165"/>
        <v/>
      </c>
      <c r="AC636" t="str">
        <f t="shared" si="166"/>
        <v/>
      </c>
      <c r="AD636" t="str">
        <f t="shared" si="167"/>
        <v/>
      </c>
    </row>
    <row r="637" spans="14:30" thickBot="1" x14ac:dyDescent="0.3">
      <c r="N637">
        <f t="shared" si="160"/>
        <v>0</v>
      </c>
      <c r="O637">
        <f t="shared" si="157"/>
        <v>0</v>
      </c>
      <c r="P637">
        <f t="shared" si="158"/>
        <v>0</v>
      </c>
      <c r="Q637">
        <f t="shared" si="159"/>
        <v>0</v>
      </c>
      <c r="X637" t="str">
        <f t="shared" si="161"/>
        <v/>
      </c>
      <c r="Y637" t="str">
        <f t="shared" si="162"/>
        <v/>
      </c>
      <c r="Z637" t="str">
        <f t="shared" si="163"/>
        <v/>
      </c>
      <c r="AA637" t="str">
        <f t="shared" si="164"/>
        <v/>
      </c>
      <c r="AB637" t="str">
        <f t="shared" si="165"/>
        <v/>
      </c>
      <c r="AC637" t="str">
        <f t="shared" si="166"/>
        <v/>
      </c>
      <c r="AD637" t="str">
        <f t="shared" si="167"/>
        <v/>
      </c>
    </row>
    <row r="638" spans="14:30" thickBot="1" x14ac:dyDescent="0.3">
      <c r="N638">
        <f t="shared" si="160"/>
        <v>0</v>
      </c>
      <c r="O638">
        <f t="shared" si="157"/>
        <v>0</v>
      </c>
      <c r="P638">
        <f t="shared" si="158"/>
        <v>0</v>
      </c>
      <c r="Q638">
        <f t="shared" si="159"/>
        <v>0</v>
      </c>
      <c r="X638" t="str">
        <f t="shared" si="161"/>
        <v/>
      </c>
      <c r="Y638" t="str">
        <f t="shared" si="162"/>
        <v/>
      </c>
      <c r="Z638" t="str">
        <f t="shared" si="163"/>
        <v/>
      </c>
      <c r="AA638" t="str">
        <f t="shared" si="164"/>
        <v/>
      </c>
      <c r="AB638" t="str">
        <f t="shared" si="165"/>
        <v/>
      </c>
      <c r="AC638" t="str">
        <f t="shared" si="166"/>
        <v/>
      </c>
      <c r="AD638" t="str">
        <f t="shared" si="167"/>
        <v/>
      </c>
    </row>
    <row r="639" spans="14:30" thickBot="1" x14ac:dyDescent="0.3">
      <c r="N639">
        <f t="shared" si="160"/>
        <v>0</v>
      </c>
      <c r="O639">
        <f t="shared" si="157"/>
        <v>0</v>
      </c>
      <c r="P639">
        <f t="shared" si="158"/>
        <v>0</v>
      </c>
      <c r="Q639">
        <f t="shared" si="159"/>
        <v>0</v>
      </c>
      <c r="X639" t="str">
        <f t="shared" si="161"/>
        <v/>
      </c>
      <c r="Y639" t="str">
        <f t="shared" si="162"/>
        <v/>
      </c>
      <c r="Z639" t="str">
        <f t="shared" si="163"/>
        <v/>
      </c>
      <c r="AA639" t="str">
        <f t="shared" si="164"/>
        <v/>
      </c>
      <c r="AB639" t="str">
        <f t="shared" si="165"/>
        <v/>
      </c>
      <c r="AC639" t="str">
        <f t="shared" si="166"/>
        <v/>
      </c>
      <c r="AD639" t="str">
        <f t="shared" si="167"/>
        <v/>
      </c>
    </row>
    <row r="640" spans="14:30" thickBot="1" x14ac:dyDescent="0.3">
      <c r="N640">
        <f t="shared" si="160"/>
        <v>0</v>
      </c>
      <c r="O640">
        <f t="shared" si="157"/>
        <v>0</v>
      </c>
      <c r="P640">
        <f t="shared" si="158"/>
        <v>0</v>
      </c>
      <c r="Q640">
        <f t="shared" si="159"/>
        <v>0</v>
      </c>
      <c r="X640" t="str">
        <f t="shared" si="161"/>
        <v/>
      </c>
      <c r="Y640" t="str">
        <f t="shared" si="162"/>
        <v/>
      </c>
      <c r="Z640" t="str">
        <f t="shared" si="163"/>
        <v/>
      </c>
      <c r="AA640" t="str">
        <f t="shared" si="164"/>
        <v/>
      </c>
      <c r="AB640" t="str">
        <f t="shared" si="165"/>
        <v/>
      </c>
      <c r="AC640" t="str">
        <f t="shared" si="166"/>
        <v/>
      </c>
      <c r="AD640" t="str">
        <f t="shared" si="167"/>
        <v/>
      </c>
    </row>
    <row r="641" spans="14:30" thickBot="1" x14ac:dyDescent="0.3">
      <c r="N641">
        <f t="shared" si="160"/>
        <v>0</v>
      </c>
      <c r="O641">
        <f t="shared" ref="O641:O704" si="168">B641</f>
        <v>0</v>
      </c>
      <c r="P641">
        <f t="shared" ref="P641:P704" si="169">C641</f>
        <v>0</v>
      </c>
      <c r="Q641">
        <f t="shared" ref="Q641:Q704" si="170">D641</f>
        <v>0</v>
      </c>
      <c r="X641" t="str">
        <f t="shared" si="161"/>
        <v/>
      </c>
      <c r="Y641" t="str">
        <f t="shared" si="162"/>
        <v/>
      </c>
      <c r="Z641" t="str">
        <f t="shared" si="163"/>
        <v/>
      </c>
      <c r="AA641" t="str">
        <f t="shared" si="164"/>
        <v/>
      </c>
      <c r="AB641" t="str">
        <f t="shared" si="165"/>
        <v/>
      </c>
      <c r="AC641" t="str">
        <f t="shared" si="166"/>
        <v/>
      </c>
      <c r="AD641" t="str">
        <f t="shared" si="167"/>
        <v/>
      </c>
    </row>
    <row r="642" spans="14:30" thickBot="1" x14ac:dyDescent="0.3">
      <c r="N642">
        <f t="shared" ref="N642:N705" si="171">A642</f>
        <v>0</v>
      </c>
      <c r="O642">
        <f t="shared" si="168"/>
        <v>0</v>
      </c>
      <c r="P642">
        <f t="shared" si="169"/>
        <v>0</v>
      </c>
      <c r="Q642">
        <f t="shared" si="170"/>
        <v>0</v>
      </c>
      <c r="X642" t="str">
        <f t="shared" si="161"/>
        <v/>
      </c>
      <c r="Y642" t="str">
        <f t="shared" si="162"/>
        <v/>
      </c>
      <c r="Z642" t="str">
        <f t="shared" si="163"/>
        <v/>
      </c>
      <c r="AA642" t="str">
        <f t="shared" si="164"/>
        <v/>
      </c>
      <c r="AB642" t="str">
        <f t="shared" si="165"/>
        <v/>
      </c>
      <c r="AC642" t="str">
        <f t="shared" si="166"/>
        <v/>
      </c>
      <c r="AD642" t="str">
        <f t="shared" si="167"/>
        <v/>
      </c>
    </row>
    <row r="643" spans="14:30" thickBot="1" x14ac:dyDescent="0.3">
      <c r="N643">
        <f t="shared" si="171"/>
        <v>0</v>
      </c>
      <c r="O643">
        <f t="shared" si="168"/>
        <v>0</v>
      </c>
      <c r="P643">
        <f t="shared" si="169"/>
        <v>0</v>
      </c>
      <c r="Q643">
        <f t="shared" si="170"/>
        <v>0</v>
      </c>
      <c r="X643" t="str">
        <f t="shared" si="161"/>
        <v/>
      </c>
      <c r="Y643" t="str">
        <f t="shared" si="162"/>
        <v/>
      </c>
      <c r="Z643" t="str">
        <f t="shared" si="163"/>
        <v/>
      </c>
      <c r="AA643" t="str">
        <f t="shared" si="164"/>
        <v/>
      </c>
      <c r="AB643" t="str">
        <f t="shared" si="165"/>
        <v/>
      </c>
      <c r="AC643" t="str">
        <f t="shared" si="166"/>
        <v/>
      </c>
      <c r="AD643" t="str">
        <f t="shared" si="167"/>
        <v/>
      </c>
    </row>
    <row r="644" spans="14:30" thickBot="1" x14ac:dyDescent="0.3">
      <c r="N644">
        <f t="shared" si="171"/>
        <v>0</v>
      </c>
      <c r="O644">
        <f t="shared" si="168"/>
        <v>0</v>
      </c>
      <c r="P644">
        <f t="shared" si="169"/>
        <v>0</v>
      </c>
      <c r="Q644">
        <f t="shared" si="170"/>
        <v>0</v>
      </c>
      <c r="X644" t="str">
        <f t="shared" si="161"/>
        <v/>
      </c>
      <c r="Y644" t="str">
        <f t="shared" si="162"/>
        <v/>
      </c>
      <c r="Z644" t="str">
        <f t="shared" si="163"/>
        <v/>
      </c>
      <c r="AA644" t="str">
        <f t="shared" si="164"/>
        <v/>
      </c>
      <c r="AB644" t="str">
        <f t="shared" si="165"/>
        <v/>
      </c>
      <c r="AC644" t="str">
        <f t="shared" si="166"/>
        <v/>
      </c>
      <c r="AD644" t="str">
        <f t="shared" si="167"/>
        <v/>
      </c>
    </row>
    <row r="645" spans="14:30" thickBot="1" x14ac:dyDescent="0.3">
      <c r="N645">
        <f t="shared" si="171"/>
        <v>0</v>
      </c>
      <c r="O645">
        <f t="shared" si="168"/>
        <v>0</v>
      </c>
      <c r="P645">
        <f t="shared" si="169"/>
        <v>0</v>
      </c>
      <c r="Q645">
        <f t="shared" si="170"/>
        <v>0</v>
      </c>
      <c r="X645" t="str">
        <f t="shared" si="161"/>
        <v/>
      </c>
      <c r="Y645" t="str">
        <f t="shared" si="162"/>
        <v/>
      </c>
      <c r="Z645" t="str">
        <f t="shared" si="163"/>
        <v/>
      </c>
      <c r="AA645" t="str">
        <f t="shared" si="164"/>
        <v/>
      </c>
      <c r="AB645" t="str">
        <f t="shared" si="165"/>
        <v/>
      </c>
      <c r="AC645" t="str">
        <f t="shared" si="166"/>
        <v/>
      </c>
      <c r="AD645" t="str">
        <f t="shared" si="167"/>
        <v/>
      </c>
    </row>
    <row r="646" spans="14:30" thickBot="1" x14ac:dyDescent="0.3">
      <c r="N646">
        <f t="shared" si="171"/>
        <v>0</v>
      </c>
      <c r="O646">
        <f t="shared" si="168"/>
        <v>0</v>
      </c>
      <c r="P646">
        <f t="shared" si="169"/>
        <v>0</v>
      </c>
      <c r="Q646">
        <f t="shared" si="170"/>
        <v>0</v>
      </c>
      <c r="X646" t="str">
        <f t="shared" si="161"/>
        <v/>
      </c>
      <c r="Y646" t="str">
        <f t="shared" si="162"/>
        <v/>
      </c>
      <c r="Z646" t="str">
        <f t="shared" si="163"/>
        <v/>
      </c>
      <c r="AA646" t="str">
        <f t="shared" si="164"/>
        <v/>
      </c>
      <c r="AB646" t="str">
        <f t="shared" si="165"/>
        <v/>
      </c>
      <c r="AC646" t="str">
        <f t="shared" si="166"/>
        <v/>
      </c>
      <c r="AD646" t="str">
        <f t="shared" si="167"/>
        <v/>
      </c>
    </row>
    <row r="647" spans="14:30" thickBot="1" x14ac:dyDescent="0.3">
      <c r="N647">
        <f t="shared" si="171"/>
        <v>0</v>
      </c>
      <c r="O647">
        <f t="shared" si="168"/>
        <v>0</v>
      </c>
      <c r="P647">
        <f t="shared" si="169"/>
        <v>0</v>
      </c>
      <c r="Q647">
        <f t="shared" si="170"/>
        <v>0</v>
      </c>
      <c r="X647" t="str">
        <f t="shared" si="161"/>
        <v/>
      </c>
      <c r="Y647" t="str">
        <f t="shared" si="162"/>
        <v/>
      </c>
      <c r="Z647" t="str">
        <f t="shared" si="163"/>
        <v/>
      </c>
      <c r="AA647" t="str">
        <f t="shared" si="164"/>
        <v/>
      </c>
      <c r="AB647" t="str">
        <f t="shared" si="165"/>
        <v/>
      </c>
      <c r="AC647" t="str">
        <f t="shared" si="166"/>
        <v/>
      </c>
      <c r="AD647" t="str">
        <f t="shared" si="167"/>
        <v/>
      </c>
    </row>
    <row r="648" spans="14:30" thickBot="1" x14ac:dyDescent="0.3">
      <c r="N648">
        <f t="shared" si="171"/>
        <v>0</v>
      </c>
      <c r="O648">
        <f t="shared" si="168"/>
        <v>0</v>
      </c>
      <c r="P648">
        <f t="shared" si="169"/>
        <v>0</v>
      </c>
      <c r="Q648">
        <f t="shared" si="170"/>
        <v>0</v>
      </c>
      <c r="X648" t="str">
        <f t="shared" ref="X648:X711" si="172">IF(R648="","",",")</f>
        <v/>
      </c>
      <c r="Y648" t="str">
        <f t="shared" ref="Y648:Y711" si="173">IF(S648="","",",")</f>
        <v/>
      </c>
      <c r="Z648" t="str">
        <f t="shared" ref="Z648:Z711" si="174">IF(T648="","",",")</f>
        <v/>
      </c>
      <c r="AA648" t="str">
        <f t="shared" ref="AA648:AA711" si="175">IF(U648="","",",")</f>
        <v/>
      </c>
      <c r="AB648" t="str">
        <f t="shared" ref="AB648:AB711" si="176">IF(V648="","",",")</f>
        <v/>
      </c>
      <c r="AC648" t="str">
        <f t="shared" ref="AC648:AC711" si="177">IF(W648="","",",")</f>
        <v/>
      </c>
      <c r="AD648" t="str">
        <f t="shared" ref="AD648:AD711" si="178">IF(X648="","",",")</f>
        <v/>
      </c>
    </row>
    <row r="649" spans="14:30" thickBot="1" x14ac:dyDescent="0.3">
      <c r="N649">
        <f t="shared" si="171"/>
        <v>0</v>
      </c>
      <c r="O649">
        <f t="shared" si="168"/>
        <v>0</v>
      </c>
      <c r="P649">
        <f t="shared" si="169"/>
        <v>0</v>
      </c>
      <c r="Q649">
        <f t="shared" si="170"/>
        <v>0</v>
      </c>
      <c r="X649" t="str">
        <f t="shared" si="172"/>
        <v/>
      </c>
      <c r="Y649" t="str">
        <f t="shared" si="173"/>
        <v/>
      </c>
      <c r="Z649" t="str">
        <f t="shared" si="174"/>
        <v/>
      </c>
      <c r="AA649" t="str">
        <f t="shared" si="175"/>
        <v/>
      </c>
      <c r="AB649" t="str">
        <f t="shared" si="176"/>
        <v/>
      </c>
      <c r="AC649" t="str">
        <f t="shared" si="177"/>
        <v/>
      </c>
      <c r="AD649" t="str">
        <f t="shared" si="178"/>
        <v/>
      </c>
    </row>
    <row r="650" spans="14:30" thickBot="1" x14ac:dyDescent="0.3">
      <c r="N650">
        <f t="shared" si="171"/>
        <v>0</v>
      </c>
      <c r="O650">
        <f t="shared" si="168"/>
        <v>0</v>
      </c>
      <c r="P650">
        <f t="shared" si="169"/>
        <v>0</v>
      </c>
      <c r="Q650">
        <f t="shared" si="170"/>
        <v>0</v>
      </c>
      <c r="X650" t="str">
        <f t="shared" si="172"/>
        <v/>
      </c>
      <c r="Y650" t="str">
        <f t="shared" si="173"/>
        <v/>
      </c>
      <c r="Z650" t="str">
        <f t="shared" si="174"/>
        <v/>
      </c>
      <c r="AA650" t="str">
        <f t="shared" si="175"/>
        <v/>
      </c>
      <c r="AB650" t="str">
        <f t="shared" si="176"/>
        <v/>
      </c>
      <c r="AC650" t="str">
        <f t="shared" si="177"/>
        <v/>
      </c>
      <c r="AD650" t="str">
        <f t="shared" si="178"/>
        <v/>
      </c>
    </row>
    <row r="651" spans="14:30" thickBot="1" x14ac:dyDescent="0.3">
      <c r="N651">
        <f t="shared" si="171"/>
        <v>0</v>
      </c>
      <c r="O651">
        <f t="shared" si="168"/>
        <v>0</v>
      </c>
      <c r="P651">
        <f t="shared" si="169"/>
        <v>0</v>
      </c>
      <c r="Q651">
        <f t="shared" si="170"/>
        <v>0</v>
      </c>
      <c r="X651" t="str">
        <f t="shared" si="172"/>
        <v/>
      </c>
      <c r="Y651" t="str">
        <f t="shared" si="173"/>
        <v/>
      </c>
      <c r="Z651" t="str">
        <f t="shared" si="174"/>
        <v/>
      </c>
      <c r="AA651" t="str">
        <f t="shared" si="175"/>
        <v/>
      </c>
      <c r="AB651" t="str">
        <f t="shared" si="176"/>
        <v/>
      </c>
      <c r="AC651" t="str">
        <f t="shared" si="177"/>
        <v/>
      </c>
      <c r="AD651" t="str">
        <f t="shared" si="178"/>
        <v/>
      </c>
    </row>
    <row r="652" spans="14:30" thickBot="1" x14ac:dyDescent="0.3">
      <c r="N652">
        <f t="shared" si="171"/>
        <v>0</v>
      </c>
      <c r="O652">
        <f t="shared" si="168"/>
        <v>0</v>
      </c>
      <c r="P652">
        <f t="shared" si="169"/>
        <v>0</v>
      </c>
      <c r="Q652">
        <f t="shared" si="170"/>
        <v>0</v>
      </c>
      <c r="X652" t="str">
        <f t="shared" si="172"/>
        <v/>
      </c>
      <c r="Y652" t="str">
        <f t="shared" si="173"/>
        <v/>
      </c>
      <c r="Z652" t="str">
        <f t="shared" si="174"/>
        <v/>
      </c>
      <c r="AA652" t="str">
        <f t="shared" si="175"/>
        <v/>
      </c>
      <c r="AB652" t="str">
        <f t="shared" si="176"/>
        <v/>
      </c>
      <c r="AC652" t="str">
        <f t="shared" si="177"/>
        <v/>
      </c>
      <c r="AD652" t="str">
        <f t="shared" si="178"/>
        <v/>
      </c>
    </row>
    <row r="653" spans="14:30" thickBot="1" x14ac:dyDescent="0.3">
      <c r="N653">
        <f t="shared" si="171"/>
        <v>0</v>
      </c>
      <c r="O653">
        <f t="shared" si="168"/>
        <v>0</v>
      </c>
      <c r="P653">
        <f t="shared" si="169"/>
        <v>0</v>
      </c>
      <c r="Q653">
        <f t="shared" si="170"/>
        <v>0</v>
      </c>
      <c r="X653" t="str">
        <f t="shared" si="172"/>
        <v/>
      </c>
      <c r="Y653" t="str">
        <f t="shared" si="173"/>
        <v/>
      </c>
      <c r="Z653" t="str">
        <f t="shared" si="174"/>
        <v/>
      </c>
      <c r="AA653" t="str">
        <f t="shared" si="175"/>
        <v/>
      </c>
      <c r="AB653" t="str">
        <f t="shared" si="176"/>
        <v/>
      </c>
      <c r="AC653" t="str">
        <f t="shared" si="177"/>
        <v/>
      </c>
      <c r="AD653" t="str">
        <f t="shared" si="178"/>
        <v/>
      </c>
    </row>
    <row r="654" spans="14:30" thickBot="1" x14ac:dyDescent="0.3">
      <c r="N654">
        <f t="shared" si="171"/>
        <v>0</v>
      </c>
      <c r="O654">
        <f t="shared" si="168"/>
        <v>0</v>
      </c>
      <c r="P654">
        <f t="shared" si="169"/>
        <v>0</v>
      </c>
      <c r="Q654">
        <f t="shared" si="170"/>
        <v>0</v>
      </c>
      <c r="X654" t="str">
        <f t="shared" si="172"/>
        <v/>
      </c>
      <c r="Y654" t="str">
        <f t="shared" si="173"/>
        <v/>
      </c>
      <c r="Z654" t="str">
        <f t="shared" si="174"/>
        <v/>
      </c>
      <c r="AA654" t="str">
        <f t="shared" si="175"/>
        <v/>
      </c>
      <c r="AB654" t="str">
        <f t="shared" si="176"/>
        <v/>
      </c>
      <c r="AC654" t="str">
        <f t="shared" si="177"/>
        <v/>
      </c>
      <c r="AD654" t="str">
        <f t="shared" si="178"/>
        <v/>
      </c>
    </row>
    <row r="655" spans="14:30" thickBot="1" x14ac:dyDescent="0.3">
      <c r="N655">
        <f t="shared" si="171"/>
        <v>0</v>
      </c>
      <c r="O655">
        <f t="shared" si="168"/>
        <v>0</v>
      </c>
      <c r="P655">
        <f t="shared" si="169"/>
        <v>0</v>
      </c>
      <c r="Q655">
        <f t="shared" si="170"/>
        <v>0</v>
      </c>
      <c r="X655" t="str">
        <f t="shared" si="172"/>
        <v/>
      </c>
      <c r="Y655" t="str">
        <f t="shared" si="173"/>
        <v/>
      </c>
      <c r="Z655" t="str">
        <f t="shared" si="174"/>
        <v/>
      </c>
      <c r="AA655" t="str">
        <f t="shared" si="175"/>
        <v/>
      </c>
      <c r="AB655" t="str">
        <f t="shared" si="176"/>
        <v/>
      </c>
      <c r="AC655" t="str">
        <f t="shared" si="177"/>
        <v/>
      </c>
      <c r="AD655" t="str">
        <f t="shared" si="178"/>
        <v/>
      </c>
    </row>
    <row r="656" spans="14:30" thickBot="1" x14ac:dyDescent="0.3">
      <c r="N656">
        <f t="shared" si="171"/>
        <v>0</v>
      </c>
      <c r="O656">
        <f t="shared" si="168"/>
        <v>0</v>
      </c>
      <c r="P656">
        <f t="shared" si="169"/>
        <v>0</v>
      </c>
      <c r="Q656">
        <f t="shared" si="170"/>
        <v>0</v>
      </c>
      <c r="X656" t="str">
        <f t="shared" si="172"/>
        <v/>
      </c>
      <c r="Y656" t="str">
        <f t="shared" si="173"/>
        <v/>
      </c>
      <c r="Z656" t="str">
        <f t="shared" si="174"/>
        <v/>
      </c>
      <c r="AA656" t="str">
        <f t="shared" si="175"/>
        <v/>
      </c>
      <c r="AB656" t="str">
        <f t="shared" si="176"/>
        <v/>
      </c>
      <c r="AC656" t="str">
        <f t="shared" si="177"/>
        <v/>
      </c>
      <c r="AD656" t="str">
        <f t="shared" si="178"/>
        <v/>
      </c>
    </row>
    <row r="657" spans="14:30" thickBot="1" x14ac:dyDescent="0.3">
      <c r="N657">
        <f t="shared" si="171"/>
        <v>0</v>
      </c>
      <c r="O657">
        <f t="shared" si="168"/>
        <v>0</v>
      </c>
      <c r="P657">
        <f t="shared" si="169"/>
        <v>0</v>
      </c>
      <c r="Q657">
        <f t="shared" si="170"/>
        <v>0</v>
      </c>
      <c r="X657" t="str">
        <f t="shared" si="172"/>
        <v/>
      </c>
      <c r="Y657" t="str">
        <f t="shared" si="173"/>
        <v/>
      </c>
      <c r="Z657" t="str">
        <f t="shared" si="174"/>
        <v/>
      </c>
      <c r="AA657" t="str">
        <f t="shared" si="175"/>
        <v/>
      </c>
      <c r="AB657" t="str">
        <f t="shared" si="176"/>
        <v/>
      </c>
      <c r="AC657" t="str">
        <f t="shared" si="177"/>
        <v/>
      </c>
      <c r="AD657" t="str">
        <f t="shared" si="178"/>
        <v/>
      </c>
    </row>
    <row r="658" spans="14:30" thickBot="1" x14ac:dyDescent="0.3">
      <c r="N658">
        <f t="shared" si="171"/>
        <v>0</v>
      </c>
      <c r="O658">
        <f t="shared" si="168"/>
        <v>0</v>
      </c>
      <c r="P658">
        <f t="shared" si="169"/>
        <v>0</v>
      </c>
      <c r="Q658">
        <f t="shared" si="170"/>
        <v>0</v>
      </c>
      <c r="X658" t="str">
        <f t="shared" si="172"/>
        <v/>
      </c>
      <c r="Y658" t="str">
        <f t="shared" si="173"/>
        <v/>
      </c>
      <c r="Z658" t="str">
        <f t="shared" si="174"/>
        <v/>
      </c>
      <c r="AA658" t="str">
        <f t="shared" si="175"/>
        <v/>
      </c>
      <c r="AB658" t="str">
        <f t="shared" si="176"/>
        <v/>
      </c>
      <c r="AC658" t="str">
        <f t="shared" si="177"/>
        <v/>
      </c>
      <c r="AD658" t="str">
        <f t="shared" si="178"/>
        <v/>
      </c>
    </row>
    <row r="659" spans="14:30" thickBot="1" x14ac:dyDescent="0.3">
      <c r="N659">
        <f t="shared" si="171"/>
        <v>0</v>
      </c>
      <c r="O659">
        <f t="shared" si="168"/>
        <v>0</v>
      </c>
      <c r="P659">
        <f t="shared" si="169"/>
        <v>0</v>
      </c>
      <c r="Q659">
        <f t="shared" si="170"/>
        <v>0</v>
      </c>
      <c r="X659" t="str">
        <f t="shared" si="172"/>
        <v/>
      </c>
      <c r="Y659" t="str">
        <f t="shared" si="173"/>
        <v/>
      </c>
      <c r="Z659" t="str">
        <f t="shared" si="174"/>
        <v/>
      </c>
      <c r="AA659" t="str">
        <f t="shared" si="175"/>
        <v/>
      </c>
      <c r="AB659" t="str">
        <f t="shared" si="176"/>
        <v/>
      </c>
      <c r="AC659" t="str">
        <f t="shared" si="177"/>
        <v/>
      </c>
      <c r="AD659" t="str">
        <f t="shared" si="178"/>
        <v/>
      </c>
    </row>
    <row r="660" spans="14:30" thickBot="1" x14ac:dyDescent="0.3">
      <c r="N660">
        <f t="shared" si="171"/>
        <v>0</v>
      </c>
      <c r="O660">
        <f t="shared" si="168"/>
        <v>0</v>
      </c>
      <c r="P660">
        <f t="shared" si="169"/>
        <v>0</v>
      </c>
      <c r="Q660">
        <f t="shared" si="170"/>
        <v>0</v>
      </c>
      <c r="X660" t="str">
        <f t="shared" si="172"/>
        <v/>
      </c>
      <c r="Y660" t="str">
        <f t="shared" si="173"/>
        <v/>
      </c>
      <c r="Z660" t="str">
        <f t="shared" si="174"/>
        <v/>
      </c>
      <c r="AA660" t="str">
        <f t="shared" si="175"/>
        <v/>
      </c>
      <c r="AB660" t="str">
        <f t="shared" si="176"/>
        <v/>
      </c>
      <c r="AC660" t="str">
        <f t="shared" si="177"/>
        <v/>
      </c>
      <c r="AD660" t="str">
        <f t="shared" si="178"/>
        <v/>
      </c>
    </row>
    <row r="661" spans="14:30" thickBot="1" x14ac:dyDescent="0.3">
      <c r="N661">
        <f t="shared" si="171"/>
        <v>0</v>
      </c>
      <c r="O661">
        <f t="shared" si="168"/>
        <v>0</v>
      </c>
      <c r="P661">
        <f t="shared" si="169"/>
        <v>0</v>
      </c>
      <c r="Q661">
        <f t="shared" si="170"/>
        <v>0</v>
      </c>
      <c r="X661" t="str">
        <f t="shared" si="172"/>
        <v/>
      </c>
      <c r="Y661" t="str">
        <f t="shared" si="173"/>
        <v/>
      </c>
      <c r="Z661" t="str">
        <f t="shared" si="174"/>
        <v/>
      </c>
      <c r="AA661" t="str">
        <f t="shared" si="175"/>
        <v/>
      </c>
      <c r="AB661" t="str">
        <f t="shared" si="176"/>
        <v/>
      </c>
      <c r="AC661" t="str">
        <f t="shared" si="177"/>
        <v/>
      </c>
      <c r="AD661" t="str">
        <f t="shared" si="178"/>
        <v/>
      </c>
    </row>
    <row r="662" spans="14:30" thickBot="1" x14ac:dyDescent="0.3">
      <c r="N662">
        <f t="shared" si="171"/>
        <v>0</v>
      </c>
      <c r="O662">
        <f t="shared" si="168"/>
        <v>0</v>
      </c>
      <c r="P662">
        <f t="shared" si="169"/>
        <v>0</v>
      </c>
      <c r="Q662">
        <f t="shared" si="170"/>
        <v>0</v>
      </c>
      <c r="X662" t="str">
        <f t="shared" si="172"/>
        <v/>
      </c>
      <c r="Y662" t="str">
        <f t="shared" si="173"/>
        <v/>
      </c>
      <c r="Z662" t="str">
        <f t="shared" si="174"/>
        <v/>
      </c>
      <c r="AA662" t="str">
        <f t="shared" si="175"/>
        <v/>
      </c>
      <c r="AB662" t="str">
        <f t="shared" si="176"/>
        <v/>
      </c>
      <c r="AC662" t="str">
        <f t="shared" si="177"/>
        <v/>
      </c>
      <c r="AD662" t="str">
        <f t="shared" si="178"/>
        <v/>
      </c>
    </row>
    <row r="663" spans="14:30" thickBot="1" x14ac:dyDescent="0.3">
      <c r="N663">
        <f t="shared" si="171"/>
        <v>0</v>
      </c>
      <c r="O663">
        <f t="shared" si="168"/>
        <v>0</v>
      </c>
      <c r="P663">
        <f t="shared" si="169"/>
        <v>0</v>
      </c>
      <c r="Q663">
        <f t="shared" si="170"/>
        <v>0</v>
      </c>
      <c r="X663" t="str">
        <f t="shared" si="172"/>
        <v/>
      </c>
      <c r="Y663" t="str">
        <f t="shared" si="173"/>
        <v/>
      </c>
      <c r="Z663" t="str">
        <f t="shared" si="174"/>
        <v/>
      </c>
      <c r="AA663" t="str">
        <f t="shared" si="175"/>
        <v/>
      </c>
      <c r="AB663" t="str">
        <f t="shared" si="176"/>
        <v/>
      </c>
      <c r="AC663" t="str">
        <f t="shared" si="177"/>
        <v/>
      </c>
      <c r="AD663" t="str">
        <f t="shared" si="178"/>
        <v/>
      </c>
    </row>
    <row r="664" spans="14:30" thickBot="1" x14ac:dyDescent="0.3">
      <c r="N664">
        <f t="shared" si="171"/>
        <v>0</v>
      </c>
      <c r="O664">
        <f t="shared" si="168"/>
        <v>0</v>
      </c>
      <c r="P664">
        <f t="shared" si="169"/>
        <v>0</v>
      </c>
      <c r="Q664">
        <f t="shared" si="170"/>
        <v>0</v>
      </c>
      <c r="X664" t="str">
        <f t="shared" si="172"/>
        <v/>
      </c>
      <c r="Y664" t="str">
        <f t="shared" si="173"/>
        <v/>
      </c>
      <c r="Z664" t="str">
        <f t="shared" si="174"/>
        <v/>
      </c>
      <c r="AA664" t="str">
        <f t="shared" si="175"/>
        <v/>
      </c>
      <c r="AB664" t="str">
        <f t="shared" si="176"/>
        <v/>
      </c>
      <c r="AC664" t="str">
        <f t="shared" si="177"/>
        <v/>
      </c>
      <c r="AD664" t="str">
        <f t="shared" si="178"/>
        <v/>
      </c>
    </row>
    <row r="665" spans="14:30" thickBot="1" x14ac:dyDescent="0.3">
      <c r="N665">
        <f t="shared" si="171"/>
        <v>0</v>
      </c>
      <c r="O665">
        <f t="shared" si="168"/>
        <v>0</v>
      </c>
      <c r="P665">
        <f t="shared" si="169"/>
        <v>0</v>
      </c>
      <c r="Q665">
        <f t="shared" si="170"/>
        <v>0</v>
      </c>
      <c r="X665" t="str">
        <f t="shared" si="172"/>
        <v/>
      </c>
      <c r="Y665" t="str">
        <f t="shared" si="173"/>
        <v/>
      </c>
      <c r="Z665" t="str">
        <f t="shared" si="174"/>
        <v/>
      </c>
      <c r="AA665" t="str">
        <f t="shared" si="175"/>
        <v/>
      </c>
      <c r="AB665" t="str">
        <f t="shared" si="176"/>
        <v/>
      </c>
      <c r="AC665" t="str">
        <f t="shared" si="177"/>
        <v/>
      </c>
      <c r="AD665" t="str">
        <f t="shared" si="178"/>
        <v/>
      </c>
    </row>
    <row r="666" spans="14:30" thickBot="1" x14ac:dyDescent="0.3">
      <c r="N666">
        <f t="shared" si="171"/>
        <v>0</v>
      </c>
      <c r="O666">
        <f t="shared" si="168"/>
        <v>0</v>
      </c>
      <c r="P666">
        <f t="shared" si="169"/>
        <v>0</v>
      </c>
      <c r="Q666">
        <f t="shared" si="170"/>
        <v>0</v>
      </c>
      <c r="X666" t="str">
        <f t="shared" si="172"/>
        <v/>
      </c>
      <c r="Y666" t="str">
        <f t="shared" si="173"/>
        <v/>
      </c>
      <c r="Z666" t="str">
        <f t="shared" si="174"/>
        <v/>
      </c>
      <c r="AA666" t="str">
        <f t="shared" si="175"/>
        <v/>
      </c>
      <c r="AB666" t="str">
        <f t="shared" si="176"/>
        <v/>
      </c>
      <c r="AC666" t="str">
        <f t="shared" si="177"/>
        <v/>
      </c>
      <c r="AD666" t="str">
        <f t="shared" si="178"/>
        <v/>
      </c>
    </row>
    <row r="667" spans="14:30" thickBot="1" x14ac:dyDescent="0.3">
      <c r="N667">
        <f t="shared" si="171"/>
        <v>0</v>
      </c>
      <c r="O667">
        <f t="shared" si="168"/>
        <v>0</v>
      </c>
      <c r="P667">
        <f t="shared" si="169"/>
        <v>0</v>
      </c>
      <c r="Q667">
        <f t="shared" si="170"/>
        <v>0</v>
      </c>
      <c r="X667" t="str">
        <f t="shared" si="172"/>
        <v/>
      </c>
      <c r="Y667" t="str">
        <f t="shared" si="173"/>
        <v/>
      </c>
      <c r="Z667" t="str">
        <f t="shared" si="174"/>
        <v/>
      </c>
      <c r="AA667" t="str">
        <f t="shared" si="175"/>
        <v/>
      </c>
      <c r="AB667" t="str">
        <f t="shared" si="176"/>
        <v/>
      </c>
      <c r="AC667" t="str">
        <f t="shared" si="177"/>
        <v/>
      </c>
      <c r="AD667" t="str">
        <f t="shared" si="178"/>
        <v/>
      </c>
    </row>
    <row r="668" spans="14:30" thickBot="1" x14ac:dyDescent="0.3">
      <c r="N668">
        <f t="shared" si="171"/>
        <v>0</v>
      </c>
      <c r="O668">
        <f t="shared" si="168"/>
        <v>0</v>
      </c>
      <c r="P668">
        <f t="shared" si="169"/>
        <v>0</v>
      </c>
      <c r="Q668">
        <f t="shared" si="170"/>
        <v>0</v>
      </c>
      <c r="X668" t="str">
        <f t="shared" si="172"/>
        <v/>
      </c>
      <c r="Y668" t="str">
        <f t="shared" si="173"/>
        <v/>
      </c>
      <c r="Z668" t="str">
        <f t="shared" si="174"/>
        <v/>
      </c>
      <c r="AA668" t="str">
        <f t="shared" si="175"/>
        <v/>
      </c>
      <c r="AB668" t="str">
        <f t="shared" si="176"/>
        <v/>
      </c>
      <c r="AC668" t="str">
        <f t="shared" si="177"/>
        <v/>
      </c>
      <c r="AD668" t="str">
        <f t="shared" si="178"/>
        <v/>
      </c>
    </row>
    <row r="669" spans="14:30" thickBot="1" x14ac:dyDescent="0.3">
      <c r="N669">
        <f t="shared" si="171"/>
        <v>0</v>
      </c>
      <c r="O669">
        <f t="shared" si="168"/>
        <v>0</v>
      </c>
      <c r="P669">
        <f t="shared" si="169"/>
        <v>0</v>
      </c>
      <c r="Q669">
        <f t="shared" si="170"/>
        <v>0</v>
      </c>
      <c r="X669" t="str">
        <f t="shared" si="172"/>
        <v/>
      </c>
      <c r="Y669" t="str">
        <f t="shared" si="173"/>
        <v/>
      </c>
      <c r="Z669" t="str">
        <f t="shared" si="174"/>
        <v/>
      </c>
      <c r="AA669" t="str">
        <f t="shared" si="175"/>
        <v/>
      </c>
      <c r="AB669" t="str">
        <f t="shared" si="176"/>
        <v/>
      </c>
      <c r="AC669" t="str">
        <f t="shared" si="177"/>
        <v/>
      </c>
      <c r="AD669" t="str">
        <f t="shared" si="178"/>
        <v/>
      </c>
    </row>
    <row r="670" spans="14:30" thickBot="1" x14ac:dyDescent="0.3">
      <c r="N670">
        <f t="shared" si="171"/>
        <v>0</v>
      </c>
      <c r="O670">
        <f t="shared" si="168"/>
        <v>0</v>
      </c>
      <c r="P670">
        <f t="shared" si="169"/>
        <v>0</v>
      </c>
      <c r="Q670">
        <f t="shared" si="170"/>
        <v>0</v>
      </c>
      <c r="X670" t="str">
        <f t="shared" si="172"/>
        <v/>
      </c>
      <c r="Y670" t="str">
        <f t="shared" si="173"/>
        <v/>
      </c>
      <c r="Z670" t="str">
        <f t="shared" si="174"/>
        <v/>
      </c>
      <c r="AA670" t="str">
        <f t="shared" si="175"/>
        <v/>
      </c>
      <c r="AB670" t="str">
        <f t="shared" si="176"/>
        <v/>
      </c>
      <c r="AC670" t="str">
        <f t="shared" si="177"/>
        <v/>
      </c>
      <c r="AD670" t="str">
        <f t="shared" si="178"/>
        <v/>
      </c>
    </row>
    <row r="671" spans="14:30" thickBot="1" x14ac:dyDescent="0.3">
      <c r="N671">
        <f t="shared" si="171"/>
        <v>0</v>
      </c>
      <c r="O671">
        <f t="shared" si="168"/>
        <v>0</v>
      </c>
      <c r="P671">
        <f t="shared" si="169"/>
        <v>0</v>
      </c>
      <c r="Q671">
        <f t="shared" si="170"/>
        <v>0</v>
      </c>
      <c r="X671" t="str">
        <f t="shared" si="172"/>
        <v/>
      </c>
      <c r="Y671" t="str">
        <f t="shared" si="173"/>
        <v/>
      </c>
      <c r="Z671" t="str">
        <f t="shared" si="174"/>
        <v/>
      </c>
      <c r="AA671" t="str">
        <f t="shared" si="175"/>
        <v/>
      </c>
      <c r="AB671" t="str">
        <f t="shared" si="176"/>
        <v/>
      </c>
      <c r="AC671" t="str">
        <f t="shared" si="177"/>
        <v/>
      </c>
      <c r="AD671" t="str">
        <f t="shared" si="178"/>
        <v/>
      </c>
    </row>
    <row r="672" spans="14:30" thickBot="1" x14ac:dyDescent="0.3">
      <c r="N672">
        <f t="shared" si="171"/>
        <v>0</v>
      </c>
      <c r="O672">
        <f t="shared" si="168"/>
        <v>0</v>
      </c>
      <c r="P672">
        <f t="shared" si="169"/>
        <v>0</v>
      </c>
      <c r="Q672">
        <f t="shared" si="170"/>
        <v>0</v>
      </c>
      <c r="X672" t="str">
        <f t="shared" si="172"/>
        <v/>
      </c>
      <c r="Y672" t="str">
        <f t="shared" si="173"/>
        <v/>
      </c>
      <c r="Z672" t="str">
        <f t="shared" si="174"/>
        <v/>
      </c>
      <c r="AA672" t="str">
        <f t="shared" si="175"/>
        <v/>
      </c>
      <c r="AB672" t="str">
        <f t="shared" si="176"/>
        <v/>
      </c>
      <c r="AC672" t="str">
        <f t="shared" si="177"/>
        <v/>
      </c>
      <c r="AD672" t="str">
        <f t="shared" si="178"/>
        <v/>
      </c>
    </row>
    <row r="673" spans="14:30" thickBot="1" x14ac:dyDescent="0.3">
      <c r="N673">
        <f t="shared" si="171"/>
        <v>0</v>
      </c>
      <c r="O673">
        <f t="shared" si="168"/>
        <v>0</v>
      </c>
      <c r="P673">
        <f t="shared" si="169"/>
        <v>0</v>
      </c>
      <c r="Q673">
        <f t="shared" si="170"/>
        <v>0</v>
      </c>
      <c r="X673" t="str">
        <f t="shared" si="172"/>
        <v/>
      </c>
      <c r="Y673" t="str">
        <f t="shared" si="173"/>
        <v/>
      </c>
      <c r="Z673" t="str">
        <f t="shared" si="174"/>
        <v/>
      </c>
      <c r="AA673" t="str">
        <f t="shared" si="175"/>
        <v/>
      </c>
      <c r="AB673" t="str">
        <f t="shared" si="176"/>
        <v/>
      </c>
      <c r="AC673" t="str">
        <f t="shared" si="177"/>
        <v/>
      </c>
      <c r="AD673" t="str">
        <f t="shared" si="178"/>
        <v/>
      </c>
    </row>
    <row r="674" spans="14:30" thickBot="1" x14ac:dyDescent="0.3">
      <c r="N674">
        <f t="shared" si="171"/>
        <v>0</v>
      </c>
      <c r="O674">
        <f t="shared" si="168"/>
        <v>0</v>
      </c>
      <c r="P674">
        <f t="shared" si="169"/>
        <v>0</v>
      </c>
      <c r="Q674">
        <f t="shared" si="170"/>
        <v>0</v>
      </c>
      <c r="X674" t="str">
        <f t="shared" si="172"/>
        <v/>
      </c>
      <c r="Y674" t="str">
        <f t="shared" si="173"/>
        <v/>
      </c>
      <c r="Z674" t="str">
        <f t="shared" si="174"/>
        <v/>
      </c>
      <c r="AA674" t="str">
        <f t="shared" si="175"/>
        <v/>
      </c>
      <c r="AB674" t="str">
        <f t="shared" si="176"/>
        <v/>
      </c>
      <c r="AC674" t="str">
        <f t="shared" si="177"/>
        <v/>
      </c>
      <c r="AD674" t="str">
        <f t="shared" si="178"/>
        <v/>
      </c>
    </row>
    <row r="675" spans="14:30" thickBot="1" x14ac:dyDescent="0.3">
      <c r="N675">
        <f t="shared" si="171"/>
        <v>0</v>
      </c>
      <c r="O675">
        <f t="shared" si="168"/>
        <v>0</v>
      </c>
      <c r="P675">
        <f t="shared" si="169"/>
        <v>0</v>
      </c>
      <c r="Q675">
        <f t="shared" si="170"/>
        <v>0</v>
      </c>
      <c r="X675" t="str">
        <f t="shared" si="172"/>
        <v/>
      </c>
      <c r="Y675" t="str">
        <f t="shared" si="173"/>
        <v/>
      </c>
      <c r="Z675" t="str">
        <f t="shared" si="174"/>
        <v/>
      </c>
      <c r="AA675" t="str">
        <f t="shared" si="175"/>
        <v/>
      </c>
      <c r="AB675" t="str">
        <f t="shared" si="176"/>
        <v/>
      </c>
      <c r="AC675" t="str">
        <f t="shared" si="177"/>
        <v/>
      </c>
      <c r="AD675" t="str">
        <f t="shared" si="178"/>
        <v/>
      </c>
    </row>
    <row r="676" spans="14:30" thickBot="1" x14ac:dyDescent="0.3">
      <c r="N676">
        <f t="shared" si="171"/>
        <v>0</v>
      </c>
      <c r="O676">
        <f t="shared" si="168"/>
        <v>0</v>
      </c>
      <c r="P676">
        <f t="shared" si="169"/>
        <v>0</v>
      </c>
      <c r="Q676">
        <f t="shared" si="170"/>
        <v>0</v>
      </c>
      <c r="X676" t="str">
        <f t="shared" si="172"/>
        <v/>
      </c>
      <c r="Y676" t="str">
        <f t="shared" si="173"/>
        <v/>
      </c>
      <c r="Z676" t="str">
        <f t="shared" si="174"/>
        <v/>
      </c>
      <c r="AA676" t="str">
        <f t="shared" si="175"/>
        <v/>
      </c>
      <c r="AB676" t="str">
        <f t="shared" si="176"/>
        <v/>
      </c>
      <c r="AC676" t="str">
        <f t="shared" si="177"/>
        <v/>
      </c>
      <c r="AD676" t="str">
        <f t="shared" si="178"/>
        <v/>
      </c>
    </row>
    <row r="677" spans="14:30" thickBot="1" x14ac:dyDescent="0.3">
      <c r="N677">
        <f t="shared" si="171"/>
        <v>0</v>
      </c>
      <c r="O677">
        <f t="shared" si="168"/>
        <v>0</v>
      </c>
      <c r="P677">
        <f t="shared" si="169"/>
        <v>0</v>
      </c>
      <c r="Q677">
        <f t="shared" si="170"/>
        <v>0</v>
      </c>
      <c r="X677" t="str">
        <f t="shared" si="172"/>
        <v/>
      </c>
      <c r="Y677" t="str">
        <f t="shared" si="173"/>
        <v/>
      </c>
      <c r="Z677" t="str">
        <f t="shared" si="174"/>
        <v/>
      </c>
      <c r="AA677" t="str">
        <f t="shared" si="175"/>
        <v/>
      </c>
      <c r="AB677" t="str">
        <f t="shared" si="176"/>
        <v/>
      </c>
      <c r="AC677" t="str">
        <f t="shared" si="177"/>
        <v/>
      </c>
      <c r="AD677" t="str">
        <f t="shared" si="178"/>
        <v/>
      </c>
    </row>
    <row r="678" spans="14:30" thickBot="1" x14ac:dyDescent="0.3">
      <c r="N678">
        <f t="shared" si="171"/>
        <v>0</v>
      </c>
      <c r="O678">
        <f t="shared" si="168"/>
        <v>0</v>
      </c>
      <c r="P678">
        <f t="shared" si="169"/>
        <v>0</v>
      </c>
      <c r="Q678">
        <f t="shared" si="170"/>
        <v>0</v>
      </c>
      <c r="X678" t="str">
        <f t="shared" si="172"/>
        <v/>
      </c>
      <c r="Y678" t="str">
        <f t="shared" si="173"/>
        <v/>
      </c>
      <c r="Z678" t="str">
        <f t="shared" si="174"/>
        <v/>
      </c>
      <c r="AA678" t="str">
        <f t="shared" si="175"/>
        <v/>
      </c>
      <c r="AB678" t="str">
        <f t="shared" si="176"/>
        <v/>
      </c>
      <c r="AC678" t="str">
        <f t="shared" si="177"/>
        <v/>
      </c>
      <c r="AD678" t="str">
        <f t="shared" si="178"/>
        <v/>
      </c>
    </row>
    <row r="679" spans="14:30" thickBot="1" x14ac:dyDescent="0.3">
      <c r="N679">
        <f t="shared" si="171"/>
        <v>0</v>
      </c>
      <c r="O679">
        <f t="shared" si="168"/>
        <v>0</v>
      </c>
      <c r="P679">
        <f t="shared" si="169"/>
        <v>0</v>
      </c>
      <c r="Q679">
        <f t="shared" si="170"/>
        <v>0</v>
      </c>
      <c r="X679" t="str">
        <f t="shared" si="172"/>
        <v/>
      </c>
      <c r="Y679" t="str">
        <f t="shared" si="173"/>
        <v/>
      </c>
      <c r="Z679" t="str">
        <f t="shared" si="174"/>
        <v/>
      </c>
      <c r="AA679" t="str">
        <f t="shared" si="175"/>
        <v/>
      </c>
      <c r="AB679" t="str">
        <f t="shared" si="176"/>
        <v/>
      </c>
      <c r="AC679" t="str">
        <f t="shared" si="177"/>
        <v/>
      </c>
      <c r="AD679" t="str">
        <f t="shared" si="178"/>
        <v/>
      </c>
    </row>
    <row r="680" spans="14:30" thickBot="1" x14ac:dyDescent="0.3">
      <c r="N680">
        <f t="shared" si="171"/>
        <v>0</v>
      </c>
      <c r="O680">
        <f t="shared" si="168"/>
        <v>0</v>
      </c>
      <c r="P680">
        <f t="shared" si="169"/>
        <v>0</v>
      </c>
      <c r="Q680">
        <f t="shared" si="170"/>
        <v>0</v>
      </c>
      <c r="X680" t="str">
        <f t="shared" si="172"/>
        <v/>
      </c>
      <c r="Y680" t="str">
        <f t="shared" si="173"/>
        <v/>
      </c>
      <c r="Z680" t="str">
        <f t="shared" si="174"/>
        <v/>
      </c>
      <c r="AA680" t="str">
        <f t="shared" si="175"/>
        <v/>
      </c>
      <c r="AB680" t="str">
        <f t="shared" si="176"/>
        <v/>
      </c>
      <c r="AC680" t="str">
        <f t="shared" si="177"/>
        <v/>
      </c>
      <c r="AD680" t="str">
        <f t="shared" si="178"/>
        <v/>
      </c>
    </row>
    <row r="681" spans="14:30" thickBot="1" x14ac:dyDescent="0.3">
      <c r="N681">
        <f t="shared" si="171"/>
        <v>0</v>
      </c>
      <c r="O681">
        <f t="shared" si="168"/>
        <v>0</v>
      </c>
      <c r="P681">
        <f t="shared" si="169"/>
        <v>0</v>
      </c>
      <c r="Q681">
        <f t="shared" si="170"/>
        <v>0</v>
      </c>
      <c r="X681" t="str">
        <f t="shared" si="172"/>
        <v/>
      </c>
      <c r="Y681" t="str">
        <f t="shared" si="173"/>
        <v/>
      </c>
      <c r="Z681" t="str">
        <f t="shared" si="174"/>
        <v/>
      </c>
      <c r="AA681" t="str">
        <f t="shared" si="175"/>
        <v/>
      </c>
      <c r="AB681" t="str">
        <f t="shared" si="176"/>
        <v/>
      </c>
      <c r="AC681" t="str">
        <f t="shared" si="177"/>
        <v/>
      </c>
      <c r="AD681" t="str">
        <f t="shared" si="178"/>
        <v/>
      </c>
    </row>
    <row r="682" spans="14:30" thickBot="1" x14ac:dyDescent="0.3">
      <c r="N682">
        <f t="shared" si="171"/>
        <v>0</v>
      </c>
      <c r="O682">
        <f t="shared" si="168"/>
        <v>0</v>
      </c>
      <c r="P682">
        <f t="shared" si="169"/>
        <v>0</v>
      </c>
      <c r="Q682">
        <f t="shared" si="170"/>
        <v>0</v>
      </c>
      <c r="X682" t="str">
        <f t="shared" si="172"/>
        <v/>
      </c>
      <c r="Y682" t="str">
        <f t="shared" si="173"/>
        <v/>
      </c>
      <c r="Z682" t="str">
        <f t="shared" si="174"/>
        <v/>
      </c>
      <c r="AA682" t="str">
        <f t="shared" si="175"/>
        <v/>
      </c>
      <c r="AB682" t="str">
        <f t="shared" si="176"/>
        <v/>
      </c>
      <c r="AC682" t="str">
        <f t="shared" si="177"/>
        <v/>
      </c>
      <c r="AD682" t="str">
        <f t="shared" si="178"/>
        <v/>
      </c>
    </row>
    <row r="683" spans="14:30" thickBot="1" x14ac:dyDescent="0.3">
      <c r="N683">
        <f t="shared" si="171"/>
        <v>0</v>
      </c>
      <c r="O683">
        <f t="shared" si="168"/>
        <v>0</v>
      </c>
      <c r="P683">
        <f t="shared" si="169"/>
        <v>0</v>
      </c>
      <c r="Q683">
        <f t="shared" si="170"/>
        <v>0</v>
      </c>
      <c r="X683" t="str">
        <f t="shared" si="172"/>
        <v/>
      </c>
      <c r="Y683" t="str">
        <f t="shared" si="173"/>
        <v/>
      </c>
      <c r="Z683" t="str">
        <f t="shared" si="174"/>
        <v/>
      </c>
      <c r="AA683" t="str">
        <f t="shared" si="175"/>
        <v/>
      </c>
      <c r="AB683" t="str">
        <f t="shared" si="176"/>
        <v/>
      </c>
      <c r="AC683" t="str">
        <f t="shared" si="177"/>
        <v/>
      </c>
      <c r="AD683" t="str">
        <f t="shared" si="178"/>
        <v/>
      </c>
    </row>
    <row r="684" spans="14:30" thickBot="1" x14ac:dyDescent="0.3">
      <c r="N684">
        <f t="shared" si="171"/>
        <v>0</v>
      </c>
      <c r="O684">
        <f t="shared" si="168"/>
        <v>0</v>
      </c>
      <c r="P684">
        <f t="shared" si="169"/>
        <v>0</v>
      </c>
      <c r="Q684">
        <f t="shared" si="170"/>
        <v>0</v>
      </c>
      <c r="X684" t="str">
        <f t="shared" si="172"/>
        <v/>
      </c>
      <c r="Y684" t="str">
        <f t="shared" si="173"/>
        <v/>
      </c>
      <c r="Z684" t="str">
        <f t="shared" si="174"/>
        <v/>
      </c>
      <c r="AA684" t="str">
        <f t="shared" si="175"/>
        <v/>
      </c>
      <c r="AB684" t="str">
        <f t="shared" si="176"/>
        <v/>
      </c>
      <c r="AC684" t="str">
        <f t="shared" si="177"/>
        <v/>
      </c>
      <c r="AD684" t="str">
        <f t="shared" si="178"/>
        <v/>
      </c>
    </row>
    <row r="685" spans="14:30" thickBot="1" x14ac:dyDescent="0.3">
      <c r="N685">
        <f t="shared" si="171"/>
        <v>0</v>
      </c>
      <c r="O685">
        <f t="shared" si="168"/>
        <v>0</v>
      </c>
      <c r="P685">
        <f t="shared" si="169"/>
        <v>0</v>
      </c>
      <c r="Q685">
        <f t="shared" si="170"/>
        <v>0</v>
      </c>
      <c r="X685" t="str">
        <f t="shared" si="172"/>
        <v/>
      </c>
      <c r="Y685" t="str">
        <f t="shared" si="173"/>
        <v/>
      </c>
      <c r="Z685" t="str">
        <f t="shared" si="174"/>
        <v/>
      </c>
      <c r="AA685" t="str">
        <f t="shared" si="175"/>
        <v/>
      </c>
      <c r="AB685" t="str">
        <f t="shared" si="176"/>
        <v/>
      </c>
      <c r="AC685" t="str">
        <f t="shared" si="177"/>
        <v/>
      </c>
      <c r="AD685" t="str">
        <f t="shared" si="178"/>
        <v/>
      </c>
    </row>
    <row r="686" spans="14:30" thickBot="1" x14ac:dyDescent="0.3">
      <c r="N686">
        <f t="shared" si="171"/>
        <v>0</v>
      </c>
      <c r="O686">
        <f t="shared" si="168"/>
        <v>0</v>
      </c>
      <c r="P686">
        <f t="shared" si="169"/>
        <v>0</v>
      </c>
      <c r="Q686">
        <f t="shared" si="170"/>
        <v>0</v>
      </c>
      <c r="X686" t="str">
        <f t="shared" si="172"/>
        <v/>
      </c>
      <c r="Y686" t="str">
        <f t="shared" si="173"/>
        <v/>
      </c>
      <c r="Z686" t="str">
        <f t="shared" si="174"/>
        <v/>
      </c>
      <c r="AA686" t="str">
        <f t="shared" si="175"/>
        <v/>
      </c>
      <c r="AB686" t="str">
        <f t="shared" si="176"/>
        <v/>
      </c>
      <c r="AC686" t="str">
        <f t="shared" si="177"/>
        <v/>
      </c>
      <c r="AD686" t="str">
        <f t="shared" si="178"/>
        <v/>
      </c>
    </row>
    <row r="687" spans="14:30" thickBot="1" x14ac:dyDescent="0.3">
      <c r="N687">
        <f t="shared" si="171"/>
        <v>0</v>
      </c>
      <c r="O687">
        <f t="shared" si="168"/>
        <v>0</v>
      </c>
      <c r="P687">
        <f t="shared" si="169"/>
        <v>0</v>
      </c>
      <c r="Q687">
        <f t="shared" si="170"/>
        <v>0</v>
      </c>
      <c r="X687" t="str">
        <f t="shared" si="172"/>
        <v/>
      </c>
      <c r="Y687" t="str">
        <f t="shared" si="173"/>
        <v/>
      </c>
      <c r="Z687" t="str">
        <f t="shared" si="174"/>
        <v/>
      </c>
      <c r="AA687" t="str">
        <f t="shared" si="175"/>
        <v/>
      </c>
      <c r="AB687" t="str">
        <f t="shared" si="176"/>
        <v/>
      </c>
      <c r="AC687" t="str">
        <f t="shared" si="177"/>
        <v/>
      </c>
      <c r="AD687" t="str">
        <f t="shared" si="178"/>
        <v/>
      </c>
    </row>
    <row r="688" spans="14:30" thickBot="1" x14ac:dyDescent="0.3">
      <c r="N688">
        <f t="shared" si="171"/>
        <v>0</v>
      </c>
      <c r="O688">
        <f t="shared" si="168"/>
        <v>0</v>
      </c>
      <c r="P688">
        <f t="shared" si="169"/>
        <v>0</v>
      </c>
      <c r="Q688">
        <f t="shared" si="170"/>
        <v>0</v>
      </c>
      <c r="X688" t="str">
        <f t="shared" si="172"/>
        <v/>
      </c>
      <c r="Y688" t="str">
        <f t="shared" si="173"/>
        <v/>
      </c>
      <c r="Z688" t="str">
        <f t="shared" si="174"/>
        <v/>
      </c>
      <c r="AA688" t="str">
        <f t="shared" si="175"/>
        <v/>
      </c>
      <c r="AB688" t="str">
        <f t="shared" si="176"/>
        <v/>
      </c>
      <c r="AC688" t="str">
        <f t="shared" si="177"/>
        <v/>
      </c>
      <c r="AD688" t="str">
        <f t="shared" si="178"/>
        <v/>
      </c>
    </row>
    <row r="689" spans="14:30" thickBot="1" x14ac:dyDescent="0.3">
      <c r="N689">
        <f t="shared" si="171"/>
        <v>0</v>
      </c>
      <c r="O689">
        <f t="shared" si="168"/>
        <v>0</v>
      </c>
      <c r="P689">
        <f t="shared" si="169"/>
        <v>0</v>
      </c>
      <c r="Q689">
        <f t="shared" si="170"/>
        <v>0</v>
      </c>
      <c r="X689" t="str">
        <f t="shared" si="172"/>
        <v/>
      </c>
      <c r="Y689" t="str">
        <f t="shared" si="173"/>
        <v/>
      </c>
      <c r="Z689" t="str">
        <f t="shared" si="174"/>
        <v/>
      </c>
      <c r="AA689" t="str">
        <f t="shared" si="175"/>
        <v/>
      </c>
      <c r="AB689" t="str">
        <f t="shared" si="176"/>
        <v/>
      </c>
      <c r="AC689" t="str">
        <f t="shared" si="177"/>
        <v/>
      </c>
      <c r="AD689" t="str">
        <f t="shared" si="178"/>
        <v/>
      </c>
    </row>
    <row r="690" spans="14:30" thickBot="1" x14ac:dyDescent="0.3">
      <c r="N690">
        <f t="shared" si="171"/>
        <v>0</v>
      </c>
      <c r="O690">
        <f t="shared" si="168"/>
        <v>0</v>
      </c>
      <c r="P690">
        <f t="shared" si="169"/>
        <v>0</v>
      </c>
      <c r="Q690">
        <f t="shared" si="170"/>
        <v>0</v>
      </c>
      <c r="X690" t="str">
        <f t="shared" si="172"/>
        <v/>
      </c>
      <c r="Y690" t="str">
        <f t="shared" si="173"/>
        <v/>
      </c>
      <c r="Z690" t="str">
        <f t="shared" si="174"/>
        <v/>
      </c>
      <c r="AA690" t="str">
        <f t="shared" si="175"/>
        <v/>
      </c>
      <c r="AB690" t="str">
        <f t="shared" si="176"/>
        <v/>
      </c>
      <c r="AC690" t="str">
        <f t="shared" si="177"/>
        <v/>
      </c>
      <c r="AD690" t="str">
        <f t="shared" si="178"/>
        <v/>
      </c>
    </row>
    <row r="691" spans="14:30" thickBot="1" x14ac:dyDescent="0.3">
      <c r="N691">
        <f t="shared" si="171"/>
        <v>0</v>
      </c>
      <c r="O691">
        <f t="shared" si="168"/>
        <v>0</v>
      </c>
      <c r="P691">
        <f t="shared" si="169"/>
        <v>0</v>
      </c>
      <c r="Q691">
        <f t="shared" si="170"/>
        <v>0</v>
      </c>
      <c r="X691" t="str">
        <f t="shared" si="172"/>
        <v/>
      </c>
      <c r="Y691" t="str">
        <f t="shared" si="173"/>
        <v/>
      </c>
      <c r="Z691" t="str">
        <f t="shared" si="174"/>
        <v/>
      </c>
      <c r="AA691" t="str">
        <f t="shared" si="175"/>
        <v/>
      </c>
      <c r="AB691" t="str">
        <f t="shared" si="176"/>
        <v/>
      </c>
      <c r="AC691" t="str">
        <f t="shared" si="177"/>
        <v/>
      </c>
      <c r="AD691" t="str">
        <f t="shared" si="178"/>
        <v/>
      </c>
    </row>
    <row r="692" spans="14:30" thickBot="1" x14ac:dyDescent="0.3">
      <c r="N692">
        <f t="shared" si="171"/>
        <v>0</v>
      </c>
      <c r="O692">
        <f t="shared" si="168"/>
        <v>0</v>
      </c>
      <c r="P692">
        <f t="shared" si="169"/>
        <v>0</v>
      </c>
      <c r="Q692">
        <f t="shared" si="170"/>
        <v>0</v>
      </c>
      <c r="X692" t="str">
        <f t="shared" si="172"/>
        <v/>
      </c>
      <c r="Y692" t="str">
        <f t="shared" si="173"/>
        <v/>
      </c>
      <c r="Z692" t="str">
        <f t="shared" si="174"/>
        <v/>
      </c>
      <c r="AA692" t="str">
        <f t="shared" si="175"/>
        <v/>
      </c>
      <c r="AB692" t="str">
        <f t="shared" si="176"/>
        <v/>
      </c>
      <c r="AC692" t="str">
        <f t="shared" si="177"/>
        <v/>
      </c>
      <c r="AD692" t="str">
        <f t="shared" si="178"/>
        <v/>
      </c>
    </row>
    <row r="693" spans="14:30" thickBot="1" x14ac:dyDescent="0.3">
      <c r="N693">
        <f t="shared" si="171"/>
        <v>0</v>
      </c>
      <c r="O693">
        <f t="shared" si="168"/>
        <v>0</v>
      </c>
      <c r="P693">
        <f t="shared" si="169"/>
        <v>0</v>
      </c>
      <c r="Q693">
        <f t="shared" si="170"/>
        <v>0</v>
      </c>
      <c r="X693" t="str">
        <f t="shared" si="172"/>
        <v/>
      </c>
      <c r="Y693" t="str">
        <f t="shared" si="173"/>
        <v/>
      </c>
      <c r="Z693" t="str">
        <f t="shared" si="174"/>
        <v/>
      </c>
      <c r="AA693" t="str">
        <f t="shared" si="175"/>
        <v/>
      </c>
      <c r="AB693" t="str">
        <f t="shared" si="176"/>
        <v/>
      </c>
      <c r="AC693" t="str">
        <f t="shared" si="177"/>
        <v/>
      </c>
      <c r="AD693" t="str">
        <f t="shared" si="178"/>
        <v/>
      </c>
    </row>
    <row r="694" spans="14:30" thickBot="1" x14ac:dyDescent="0.3">
      <c r="N694">
        <f t="shared" si="171"/>
        <v>0</v>
      </c>
      <c r="O694">
        <f t="shared" si="168"/>
        <v>0</v>
      </c>
      <c r="P694">
        <f t="shared" si="169"/>
        <v>0</v>
      </c>
      <c r="Q694">
        <f t="shared" si="170"/>
        <v>0</v>
      </c>
      <c r="X694" t="str">
        <f t="shared" si="172"/>
        <v/>
      </c>
      <c r="Y694" t="str">
        <f t="shared" si="173"/>
        <v/>
      </c>
      <c r="Z694" t="str">
        <f t="shared" si="174"/>
        <v/>
      </c>
      <c r="AA694" t="str">
        <f t="shared" si="175"/>
        <v/>
      </c>
      <c r="AB694" t="str">
        <f t="shared" si="176"/>
        <v/>
      </c>
      <c r="AC694" t="str">
        <f t="shared" si="177"/>
        <v/>
      </c>
      <c r="AD694" t="str">
        <f t="shared" si="178"/>
        <v/>
      </c>
    </row>
    <row r="695" spans="14:30" thickBot="1" x14ac:dyDescent="0.3">
      <c r="N695">
        <f t="shared" si="171"/>
        <v>0</v>
      </c>
      <c r="O695">
        <f t="shared" si="168"/>
        <v>0</v>
      </c>
      <c r="P695">
        <f t="shared" si="169"/>
        <v>0</v>
      </c>
      <c r="Q695">
        <f t="shared" si="170"/>
        <v>0</v>
      </c>
      <c r="X695" t="str">
        <f t="shared" si="172"/>
        <v/>
      </c>
      <c r="Y695" t="str">
        <f t="shared" si="173"/>
        <v/>
      </c>
      <c r="Z695" t="str">
        <f t="shared" si="174"/>
        <v/>
      </c>
      <c r="AA695" t="str">
        <f t="shared" si="175"/>
        <v/>
      </c>
      <c r="AB695" t="str">
        <f t="shared" si="176"/>
        <v/>
      </c>
      <c r="AC695" t="str">
        <f t="shared" si="177"/>
        <v/>
      </c>
      <c r="AD695" t="str">
        <f t="shared" si="178"/>
        <v/>
      </c>
    </row>
    <row r="696" spans="14:30" thickBot="1" x14ac:dyDescent="0.3">
      <c r="N696">
        <f t="shared" si="171"/>
        <v>0</v>
      </c>
      <c r="O696">
        <f t="shared" si="168"/>
        <v>0</v>
      </c>
      <c r="P696">
        <f t="shared" si="169"/>
        <v>0</v>
      </c>
      <c r="Q696">
        <f t="shared" si="170"/>
        <v>0</v>
      </c>
      <c r="X696" t="str">
        <f t="shared" si="172"/>
        <v/>
      </c>
      <c r="Y696" t="str">
        <f t="shared" si="173"/>
        <v/>
      </c>
      <c r="Z696" t="str">
        <f t="shared" si="174"/>
        <v/>
      </c>
      <c r="AA696" t="str">
        <f t="shared" si="175"/>
        <v/>
      </c>
      <c r="AB696" t="str">
        <f t="shared" si="176"/>
        <v/>
      </c>
      <c r="AC696" t="str">
        <f t="shared" si="177"/>
        <v/>
      </c>
      <c r="AD696" t="str">
        <f t="shared" si="178"/>
        <v/>
      </c>
    </row>
    <row r="697" spans="14:30" thickBot="1" x14ac:dyDescent="0.3">
      <c r="N697">
        <f t="shared" si="171"/>
        <v>0</v>
      </c>
      <c r="O697">
        <f t="shared" si="168"/>
        <v>0</v>
      </c>
      <c r="P697">
        <f t="shared" si="169"/>
        <v>0</v>
      </c>
      <c r="Q697">
        <f t="shared" si="170"/>
        <v>0</v>
      </c>
      <c r="X697" t="str">
        <f t="shared" si="172"/>
        <v/>
      </c>
      <c r="Y697" t="str">
        <f t="shared" si="173"/>
        <v/>
      </c>
      <c r="Z697" t="str">
        <f t="shared" si="174"/>
        <v/>
      </c>
      <c r="AA697" t="str">
        <f t="shared" si="175"/>
        <v/>
      </c>
      <c r="AB697" t="str">
        <f t="shared" si="176"/>
        <v/>
      </c>
      <c r="AC697" t="str">
        <f t="shared" si="177"/>
        <v/>
      </c>
      <c r="AD697" t="str">
        <f t="shared" si="178"/>
        <v/>
      </c>
    </row>
    <row r="698" spans="14:30" thickBot="1" x14ac:dyDescent="0.3">
      <c r="N698">
        <f t="shared" si="171"/>
        <v>0</v>
      </c>
      <c r="O698">
        <f t="shared" si="168"/>
        <v>0</v>
      </c>
      <c r="P698">
        <f t="shared" si="169"/>
        <v>0</v>
      </c>
      <c r="Q698">
        <f t="shared" si="170"/>
        <v>0</v>
      </c>
      <c r="X698" t="str">
        <f t="shared" si="172"/>
        <v/>
      </c>
      <c r="Y698" t="str">
        <f t="shared" si="173"/>
        <v/>
      </c>
      <c r="Z698" t="str">
        <f t="shared" si="174"/>
        <v/>
      </c>
      <c r="AA698" t="str">
        <f t="shared" si="175"/>
        <v/>
      </c>
      <c r="AB698" t="str">
        <f t="shared" si="176"/>
        <v/>
      </c>
      <c r="AC698" t="str">
        <f t="shared" si="177"/>
        <v/>
      </c>
      <c r="AD698" t="str">
        <f t="shared" si="178"/>
        <v/>
      </c>
    </row>
    <row r="699" spans="14:30" thickBot="1" x14ac:dyDescent="0.3">
      <c r="N699">
        <f t="shared" si="171"/>
        <v>0</v>
      </c>
      <c r="O699">
        <f t="shared" si="168"/>
        <v>0</v>
      </c>
      <c r="P699">
        <f t="shared" si="169"/>
        <v>0</v>
      </c>
      <c r="Q699">
        <f t="shared" si="170"/>
        <v>0</v>
      </c>
      <c r="X699" t="str">
        <f t="shared" si="172"/>
        <v/>
      </c>
      <c r="Y699" t="str">
        <f t="shared" si="173"/>
        <v/>
      </c>
      <c r="Z699" t="str">
        <f t="shared" si="174"/>
        <v/>
      </c>
      <c r="AA699" t="str">
        <f t="shared" si="175"/>
        <v/>
      </c>
      <c r="AB699" t="str">
        <f t="shared" si="176"/>
        <v/>
      </c>
      <c r="AC699" t="str">
        <f t="shared" si="177"/>
        <v/>
      </c>
      <c r="AD699" t="str">
        <f t="shared" si="178"/>
        <v/>
      </c>
    </row>
    <row r="700" spans="14:30" thickBot="1" x14ac:dyDescent="0.3">
      <c r="N700">
        <f t="shared" si="171"/>
        <v>0</v>
      </c>
      <c r="O700">
        <f t="shared" si="168"/>
        <v>0</v>
      </c>
      <c r="P700">
        <f t="shared" si="169"/>
        <v>0</v>
      </c>
      <c r="Q700">
        <f t="shared" si="170"/>
        <v>0</v>
      </c>
      <c r="X700" t="str">
        <f t="shared" si="172"/>
        <v/>
      </c>
      <c r="Y700" t="str">
        <f t="shared" si="173"/>
        <v/>
      </c>
      <c r="Z700" t="str">
        <f t="shared" si="174"/>
        <v/>
      </c>
      <c r="AA700" t="str">
        <f t="shared" si="175"/>
        <v/>
      </c>
      <c r="AB700" t="str">
        <f t="shared" si="176"/>
        <v/>
      </c>
      <c r="AC700" t="str">
        <f t="shared" si="177"/>
        <v/>
      </c>
      <c r="AD700" t="str">
        <f t="shared" si="178"/>
        <v/>
      </c>
    </row>
    <row r="701" spans="14:30" thickBot="1" x14ac:dyDescent="0.3">
      <c r="N701">
        <f t="shared" si="171"/>
        <v>0</v>
      </c>
      <c r="O701">
        <f t="shared" si="168"/>
        <v>0</v>
      </c>
      <c r="P701">
        <f t="shared" si="169"/>
        <v>0</v>
      </c>
      <c r="Q701">
        <f t="shared" si="170"/>
        <v>0</v>
      </c>
      <c r="X701" t="str">
        <f t="shared" si="172"/>
        <v/>
      </c>
      <c r="Y701" t="str">
        <f t="shared" si="173"/>
        <v/>
      </c>
      <c r="Z701" t="str">
        <f t="shared" si="174"/>
        <v/>
      </c>
      <c r="AA701" t="str">
        <f t="shared" si="175"/>
        <v/>
      </c>
      <c r="AB701" t="str">
        <f t="shared" si="176"/>
        <v/>
      </c>
      <c r="AC701" t="str">
        <f t="shared" si="177"/>
        <v/>
      </c>
      <c r="AD701" t="str">
        <f t="shared" si="178"/>
        <v/>
      </c>
    </row>
    <row r="702" spans="14:30" thickBot="1" x14ac:dyDescent="0.3">
      <c r="N702">
        <f t="shared" si="171"/>
        <v>0</v>
      </c>
      <c r="O702">
        <f t="shared" si="168"/>
        <v>0</v>
      </c>
      <c r="P702">
        <f t="shared" si="169"/>
        <v>0</v>
      </c>
      <c r="Q702">
        <f t="shared" si="170"/>
        <v>0</v>
      </c>
      <c r="X702" t="str">
        <f t="shared" si="172"/>
        <v/>
      </c>
      <c r="Y702" t="str">
        <f t="shared" si="173"/>
        <v/>
      </c>
      <c r="Z702" t="str">
        <f t="shared" si="174"/>
        <v/>
      </c>
      <c r="AA702" t="str">
        <f t="shared" si="175"/>
        <v/>
      </c>
      <c r="AB702" t="str">
        <f t="shared" si="176"/>
        <v/>
      </c>
      <c r="AC702" t="str">
        <f t="shared" si="177"/>
        <v/>
      </c>
      <c r="AD702" t="str">
        <f t="shared" si="178"/>
        <v/>
      </c>
    </row>
    <row r="703" spans="14:30" thickBot="1" x14ac:dyDescent="0.3">
      <c r="N703">
        <f t="shared" si="171"/>
        <v>0</v>
      </c>
      <c r="O703">
        <f t="shared" si="168"/>
        <v>0</v>
      </c>
      <c r="P703">
        <f t="shared" si="169"/>
        <v>0</v>
      </c>
      <c r="Q703">
        <f t="shared" si="170"/>
        <v>0</v>
      </c>
      <c r="X703" t="str">
        <f t="shared" si="172"/>
        <v/>
      </c>
      <c r="Y703" t="str">
        <f t="shared" si="173"/>
        <v/>
      </c>
      <c r="Z703" t="str">
        <f t="shared" si="174"/>
        <v/>
      </c>
      <c r="AA703" t="str">
        <f t="shared" si="175"/>
        <v/>
      </c>
      <c r="AB703" t="str">
        <f t="shared" si="176"/>
        <v/>
      </c>
      <c r="AC703" t="str">
        <f t="shared" si="177"/>
        <v/>
      </c>
      <c r="AD703" t="str">
        <f t="shared" si="178"/>
        <v/>
      </c>
    </row>
    <row r="704" spans="14:30" thickBot="1" x14ac:dyDescent="0.3">
      <c r="N704">
        <f t="shared" si="171"/>
        <v>0</v>
      </c>
      <c r="O704">
        <f t="shared" si="168"/>
        <v>0</v>
      </c>
      <c r="P704">
        <f t="shared" si="169"/>
        <v>0</v>
      </c>
      <c r="Q704">
        <f t="shared" si="170"/>
        <v>0</v>
      </c>
      <c r="X704" t="str">
        <f t="shared" si="172"/>
        <v/>
      </c>
      <c r="Y704" t="str">
        <f t="shared" si="173"/>
        <v/>
      </c>
      <c r="Z704" t="str">
        <f t="shared" si="174"/>
        <v/>
      </c>
      <c r="AA704" t="str">
        <f t="shared" si="175"/>
        <v/>
      </c>
      <c r="AB704" t="str">
        <f t="shared" si="176"/>
        <v/>
      </c>
      <c r="AC704" t="str">
        <f t="shared" si="177"/>
        <v/>
      </c>
      <c r="AD704" t="str">
        <f t="shared" si="178"/>
        <v/>
      </c>
    </row>
    <row r="705" spans="14:30" thickBot="1" x14ac:dyDescent="0.3">
      <c r="N705">
        <f t="shared" si="171"/>
        <v>0</v>
      </c>
      <c r="O705">
        <f t="shared" ref="O705:O768" si="179">B705</f>
        <v>0</v>
      </c>
      <c r="P705">
        <f t="shared" ref="P705:P768" si="180">C705</f>
        <v>0</v>
      </c>
      <c r="Q705">
        <f t="shared" ref="Q705:Q768" si="181">D705</f>
        <v>0</v>
      </c>
      <c r="X705" t="str">
        <f t="shared" si="172"/>
        <v/>
      </c>
      <c r="Y705" t="str">
        <f t="shared" si="173"/>
        <v/>
      </c>
      <c r="Z705" t="str">
        <f t="shared" si="174"/>
        <v/>
      </c>
      <c r="AA705" t="str">
        <f t="shared" si="175"/>
        <v/>
      </c>
      <c r="AB705" t="str">
        <f t="shared" si="176"/>
        <v/>
      </c>
      <c r="AC705" t="str">
        <f t="shared" si="177"/>
        <v/>
      </c>
      <c r="AD705" t="str">
        <f t="shared" si="178"/>
        <v/>
      </c>
    </row>
    <row r="706" spans="14:30" thickBot="1" x14ac:dyDescent="0.3">
      <c r="N706">
        <f t="shared" ref="N706:N769" si="182">A706</f>
        <v>0</v>
      </c>
      <c r="O706">
        <f t="shared" si="179"/>
        <v>0</v>
      </c>
      <c r="P706">
        <f t="shared" si="180"/>
        <v>0</v>
      </c>
      <c r="Q706">
        <f t="shared" si="181"/>
        <v>0</v>
      </c>
      <c r="X706" t="str">
        <f t="shared" si="172"/>
        <v/>
      </c>
      <c r="Y706" t="str">
        <f t="shared" si="173"/>
        <v/>
      </c>
      <c r="Z706" t="str">
        <f t="shared" si="174"/>
        <v/>
      </c>
      <c r="AA706" t="str">
        <f t="shared" si="175"/>
        <v/>
      </c>
      <c r="AB706" t="str">
        <f t="shared" si="176"/>
        <v/>
      </c>
      <c r="AC706" t="str">
        <f t="shared" si="177"/>
        <v/>
      </c>
      <c r="AD706" t="str">
        <f t="shared" si="178"/>
        <v/>
      </c>
    </row>
    <row r="707" spans="14:30" thickBot="1" x14ac:dyDescent="0.3">
      <c r="N707">
        <f t="shared" si="182"/>
        <v>0</v>
      </c>
      <c r="O707">
        <f t="shared" si="179"/>
        <v>0</v>
      </c>
      <c r="P707">
        <f t="shared" si="180"/>
        <v>0</v>
      </c>
      <c r="Q707">
        <f t="shared" si="181"/>
        <v>0</v>
      </c>
      <c r="X707" t="str">
        <f t="shared" si="172"/>
        <v/>
      </c>
      <c r="Y707" t="str">
        <f t="shared" si="173"/>
        <v/>
      </c>
      <c r="Z707" t="str">
        <f t="shared" si="174"/>
        <v/>
      </c>
      <c r="AA707" t="str">
        <f t="shared" si="175"/>
        <v/>
      </c>
      <c r="AB707" t="str">
        <f t="shared" si="176"/>
        <v/>
      </c>
      <c r="AC707" t="str">
        <f t="shared" si="177"/>
        <v/>
      </c>
      <c r="AD707" t="str">
        <f t="shared" si="178"/>
        <v/>
      </c>
    </row>
    <row r="708" spans="14:30" thickBot="1" x14ac:dyDescent="0.3">
      <c r="N708">
        <f t="shared" si="182"/>
        <v>0</v>
      </c>
      <c r="O708">
        <f t="shared" si="179"/>
        <v>0</v>
      </c>
      <c r="P708">
        <f t="shared" si="180"/>
        <v>0</v>
      </c>
      <c r="Q708">
        <f t="shared" si="181"/>
        <v>0</v>
      </c>
      <c r="X708" t="str">
        <f t="shared" si="172"/>
        <v/>
      </c>
      <c r="Y708" t="str">
        <f t="shared" si="173"/>
        <v/>
      </c>
      <c r="Z708" t="str">
        <f t="shared" si="174"/>
        <v/>
      </c>
      <c r="AA708" t="str">
        <f t="shared" si="175"/>
        <v/>
      </c>
      <c r="AB708" t="str">
        <f t="shared" si="176"/>
        <v/>
      </c>
      <c r="AC708" t="str">
        <f t="shared" si="177"/>
        <v/>
      </c>
      <c r="AD708" t="str">
        <f t="shared" si="178"/>
        <v/>
      </c>
    </row>
    <row r="709" spans="14:30" thickBot="1" x14ac:dyDescent="0.3">
      <c r="N709">
        <f t="shared" si="182"/>
        <v>0</v>
      </c>
      <c r="O709">
        <f t="shared" si="179"/>
        <v>0</v>
      </c>
      <c r="P709">
        <f t="shared" si="180"/>
        <v>0</v>
      </c>
      <c r="Q709">
        <f t="shared" si="181"/>
        <v>0</v>
      </c>
      <c r="X709" t="str">
        <f t="shared" si="172"/>
        <v/>
      </c>
      <c r="Y709" t="str">
        <f t="shared" si="173"/>
        <v/>
      </c>
      <c r="Z709" t="str">
        <f t="shared" si="174"/>
        <v/>
      </c>
      <c r="AA709" t="str">
        <f t="shared" si="175"/>
        <v/>
      </c>
      <c r="AB709" t="str">
        <f t="shared" si="176"/>
        <v/>
      </c>
      <c r="AC709" t="str">
        <f t="shared" si="177"/>
        <v/>
      </c>
      <c r="AD709" t="str">
        <f t="shared" si="178"/>
        <v/>
      </c>
    </row>
    <row r="710" spans="14:30" thickBot="1" x14ac:dyDescent="0.3">
      <c r="N710">
        <f t="shared" si="182"/>
        <v>0</v>
      </c>
      <c r="O710">
        <f t="shared" si="179"/>
        <v>0</v>
      </c>
      <c r="P710">
        <f t="shared" si="180"/>
        <v>0</v>
      </c>
      <c r="Q710">
        <f t="shared" si="181"/>
        <v>0</v>
      </c>
      <c r="X710" t="str">
        <f t="shared" si="172"/>
        <v/>
      </c>
      <c r="Y710" t="str">
        <f t="shared" si="173"/>
        <v/>
      </c>
      <c r="Z710" t="str">
        <f t="shared" si="174"/>
        <v/>
      </c>
      <c r="AA710" t="str">
        <f t="shared" si="175"/>
        <v/>
      </c>
      <c r="AB710" t="str">
        <f t="shared" si="176"/>
        <v/>
      </c>
      <c r="AC710" t="str">
        <f t="shared" si="177"/>
        <v/>
      </c>
      <c r="AD710" t="str">
        <f t="shared" si="178"/>
        <v/>
      </c>
    </row>
    <row r="711" spans="14:30" thickBot="1" x14ac:dyDescent="0.3">
      <c r="N711">
        <f t="shared" si="182"/>
        <v>0</v>
      </c>
      <c r="O711">
        <f t="shared" si="179"/>
        <v>0</v>
      </c>
      <c r="P711">
        <f t="shared" si="180"/>
        <v>0</v>
      </c>
      <c r="Q711">
        <f t="shared" si="181"/>
        <v>0</v>
      </c>
      <c r="X711" t="str">
        <f t="shared" si="172"/>
        <v/>
      </c>
      <c r="Y711" t="str">
        <f t="shared" si="173"/>
        <v/>
      </c>
      <c r="Z711" t="str">
        <f t="shared" si="174"/>
        <v/>
      </c>
      <c r="AA711" t="str">
        <f t="shared" si="175"/>
        <v/>
      </c>
      <c r="AB711" t="str">
        <f t="shared" si="176"/>
        <v/>
      </c>
      <c r="AC711" t="str">
        <f t="shared" si="177"/>
        <v/>
      </c>
      <c r="AD711" t="str">
        <f t="shared" si="178"/>
        <v/>
      </c>
    </row>
    <row r="712" spans="14:30" thickBot="1" x14ac:dyDescent="0.3">
      <c r="N712">
        <f t="shared" si="182"/>
        <v>0</v>
      </c>
      <c r="O712">
        <f t="shared" si="179"/>
        <v>0</v>
      </c>
      <c r="P712">
        <f t="shared" si="180"/>
        <v>0</v>
      </c>
      <c r="Q712">
        <f t="shared" si="181"/>
        <v>0</v>
      </c>
      <c r="X712" t="str">
        <f t="shared" ref="X712:X775" si="183">IF(R712="","",",")</f>
        <v/>
      </c>
      <c r="Y712" t="str">
        <f t="shared" ref="Y712:Y775" si="184">IF(S712="","",",")</f>
        <v/>
      </c>
      <c r="Z712" t="str">
        <f t="shared" ref="Z712:Z775" si="185">IF(T712="","",",")</f>
        <v/>
      </c>
      <c r="AA712" t="str">
        <f t="shared" ref="AA712:AA775" si="186">IF(U712="","",",")</f>
        <v/>
      </c>
      <c r="AB712" t="str">
        <f t="shared" ref="AB712:AB775" si="187">IF(V712="","",",")</f>
        <v/>
      </c>
      <c r="AC712" t="str">
        <f t="shared" ref="AC712:AC775" si="188">IF(W712="","",",")</f>
        <v/>
      </c>
      <c r="AD712" t="str">
        <f t="shared" ref="AD712:AD775" si="189">IF(X712="","",",")</f>
        <v/>
      </c>
    </row>
    <row r="713" spans="14:30" thickBot="1" x14ac:dyDescent="0.3">
      <c r="N713">
        <f t="shared" si="182"/>
        <v>0</v>
      </c>
      <c r="O713">
        <f t="shared" si="179"/>
        <v>0</v>
      </c>
      <c r="P713">
        <f t="shared" si="180"/>
        <v>0</v>
      </c>
      <c r="Q713">
        <f t="shared" si="181"/>
        <v>0</v>
      </c>
      <c r="X713" t="str">
        <f t="shared" si="183"/>
        <v/>
      </c>
      <c r="Y713" t="str">
        <f t="shared" si="184"/>
        <v/>
      </c>
      <c r="Z713" t="str">
        <f t="shared" si="185"/>
        <v/>
      </c>
      <c r="AA713" t="str">
        <f t="shared" si="186"/>
        <v/>
      </c>
      <c r="AB713" t="str">
        <f t="shared" si="187"/>
        <v/>
      </c>
      <c r="AC713" t="str">
        <f t="shared" si="188"/>
        <v/>
      </c>
      <c r="AD713" t="str">
        <f t="shared" si="189"/>
        <v/>
      </c>
    </row>
    <row r="714" spans="14:30" thickBot="1" x14ac:dyDescent="0.3">
      <c r="N714">
        <f t="shared" si="182"/>
        <v>0</v>
      </c>
      <c r="O714">
        <f t="shared" si="179"/>
        <v>0</v>
      </c>
      <c r="P714">
        <f t="shared" si="180"/>
        <v>0</v>
      </c>
      <c r="Q714">
        <f t="shared" si="181"/>
        <v>0</v>
      </c>
      <c r="X714" t="str">
        <f t="shared" si="183"/>
        <v/>
      </c>
      <c r="Y714" t="str">
        <f t="shared" si="184"/>
        <v/>
      </c>
      <c r="Z714" t="str">
        <f t="shared" si="185"/>
        <v/>
      </c>
      <c r="AA714" t="str">
        <f t="shared" si="186"/>
        <v/>
      </c>
      <c r="AB714" t="str">
        <f t="shared" si="187"/>
        <v/>
      </c>
      <c r="AC714" t="str">
        <f t="shared" si="188"/>
        <v/>
      </c>
      <c r="AD714" t="str">
        <f t="shared" si="189"/>
        <v/>
      </c>
    </row>
    <row r="715" spans="14:30" thickBot="1" x14ac:dyDescent="0.3">
      <c r="N715">
        <f t="shared" si="182"/>
        <v>0</v>
      </c>
      <c r="O715">
        <f t="shared" si="179"/>
        <v>0</v>
      </c>
      <c r="P715">
        <f t="shared" si="180"/>
        <v>0</v>
      </c>
      <c r="Q715">
        <f t="shared" si="181"/>
        <v>0</v>
      </c>
      <c r="X715" t="str">
        <f t="shared" si="183"/>
        <v/>
      </c>
      <c r="Y715" t="str">
        <f t="shared" si="184"/>
        <v/>
      </c>
      <c r="Z715" t="str">
        <f t="shared" si="185"/>
        <v/>
      </c>
      <c r="AA715" t="str">
        <f t="shared" si="186"/>
        <v/>
      </c>
      <c r="AB715" t="str">
        <f t="shared" si="187"/>
        <v/>
      </c>
      <c r="AC715" t="str">
        <f t="shared" si="188"/>
        <v/>
      </c>
      <c r="AD715" t="str">
        <f t="shared" si="189"/>
        <v/>
      </c>
    </row>
    <row r="716" spans="14:30" thickBot="1" x14ac:dyDescent="0.3">
      <c r="N716">
        <f t="shared" si="182"/>
        <v>0</v>
      </c>
      <c r="O716">
        <f t="shared" si="179"/>
        <v>0</v>
      </c>
      <c r="P716">
        <f t="shared" si="180"/>
        <v>0</v>
      </c>
      <c r="Q716">
        <f t="shared" si="181"/>
        <v>0</v>
      </c>
      <c r="X716" t="str">
        <f t="shared" si="183"/>
        <v/>
      </c>
      <c r="Y716" t="str">
        <f t="shared" si="184"/>
        <v/>
      </c>
      <c r="Z716" t="str">
        <f t="shared" si="185"/>
        <v/>
      </c>
      <c r="AA716" t="str">
        <f t="shared" si="186"/>
        <v/>
      </c>
      <c r="AB716" t="str">
        <f t="shared" si="187"/>
        <v/>
      </c>
      <c r="AC716" t="str">
        <f t="shared" si="188"/>
        <v/>
      </c>
      <c r="AD716" t="str">
        <f t="shared" si="189"/>
        <v/>
      </c>
    </row>
    <row r="717" spans="14:30" thickBot="1" x14ac:dyDescent="0.3">
      <c r="N717">
        <f t="shared" si="182"/>
        <v>0</v>
      </c>
      <c r="O717">
        <f t="shared" si="179"/>
        <v>0</v>
      </c>
      <c r="P717">
        <f t="shared" si="180"/>
        <v>0</v>
      </c>
      <c r="Q717">
        <f t="shared" si="181"/>
        <v>0</v>
      </c>
      <c r="X717" t="str">
        <f t="shared" si="183"/>
        <v/>
      </c>
      <c r="Y717" t="str">
        <f t="shared" si="184"/>
        <v/>
      </c>
      <c r="Z717" t="str">
        <f t="shared" si="185"/>
        <v/>
      </c>
      <c r="AA717" t="str">
        <f t="shared" si="186"/>
        <v/>
      </c>
      <c r="AB717" t="str">
        <f t="shared" si="187"/>
        <v/>
      </c>
      <c r="AC717" t="str">
        <f t="shared" si="188"/>
        <v/>
      </c>
      <c r="AD717" t="str">
        <f t="shared" si="189"/>
        <v/>
      </c>
    </row>
    <row r="718" spans="14:30" thickBot="1" x14ac:dyDescent="0.3">
      <c r="N718">
        <f t="shared" si="182"/>
        <v>0</v>
      </c>
      <c r="O718">
        <f t="shared" si="179"/>
        <v>0</v>
      </c>
      <c r="P718">
        <f t="shared" si="180"/>
        <v>0</v>
      </c>
      <c r="Q718">
        <f t="shared" si="181"/>
        <v>0</v>
      </c>
      <c r="X718" t="str">
        <f t="shared" si="183"/>
        <v/>
      </c>
      <c r="Y718" t="str">
        <f t="shared" si="184"/>
        <v/>
      </c>
      <c r="Z718" t="str">
        <f t="shared" si="185"/>
        <v/>
      </c>
      <c r="AA718" t="str">
        <f t="shared" si="186"/>
        <v/>
      </c>
      <c r="AB718" t="str">
        <f t="shared" si="187"/>
        <v/>
      </c>
      <c r="AC718" t="str">
        <f t="shared" si="188"/>
        <v/>
      </c>
      <c r="AD718" t="str">
        <f t="shared" si="189"/>
        <v/>
      </c>
    </row>
    <row r="719" spans="14:30" thickBot="1" x14ac:dyDescent="0.3">
      <c r="N719">
        <f t="shared" si="182"/>
        <v>0</v>
      </c>
      <c r="O719">
        <f t="shared" si="179"/>
        <v>0</v>
      </c>
      <c r="P719">
        <f t="shared" si="180"/>
        <v>0</v>
      </c>
      <c r="Q719">
        <f t="shared" si="181"/>
        <v>0</v>
      </c>
      <c r="X719" t="str">
        <f t="shared" si="183"/>
        <v/>
      </c>
      <c r="Y719" t="str">
        <f t="shared" si="184"/>
        <v/>
      </c>
      <c r="Z719" t="str">
        <f t="shared" si="185"/>
        <v/>
      </c>
      <c r="AA719" t="str">
        <f t="shared" si="186"/>
        <v/>
      </c>
      <c r="AB719" t="str">
        <f t="shared" si="187"/>
        <v/>
      </c>
      <c r="AC719" t="str">
        <f t="shared" si="188"/>
        <v/>
      </c>
      <c r="AD719" t="str">
        <f t="shared" si="189"/>
        <v/>
      </c>
    </row>
    <row r="720" spans="14:30" thickBot="1" x14ac:dyDescent="0.3">
      <c r="N720">
        <f t="shared" si="182"/>
        <v>0</v>
      </c>
      <c r="O720">
        <f t="shared" si="179"/>
        <v>0</v>
      </c>
      <c r="P720">
        <f t="shared" si="180"/>
        <v>0</v>
      </c>
      <c r="Q720">
        <f t="shared" si="181"/>
        <v>0</v>
      </c>
      <c r="X720" t="str">
        <f t="shared" si="183"/>
        <v/>
      </c>
      <c r="Y720" t="str">
        <f t="shared" si="184"/>
        <v/>
      </c>
      <c r="Z720" t="str">
        <f t="shared" si="185"/>
        <v/>
      </c>
      <c r="AA720" t="str">
        <f t="shared" si="186"/>
        <v/>
      </c>
      <c r="AB720" t="str">
        <f t="shared" si="187"/>
        <v/>
      </c>
      <c r="AC720" t="str">
        <f t="shared" si="188"/>
        <v/>
      </c>
      <c r="AD720" t="str">
        <f t="shared" si="189"/>
        <v/>
      </c>
    </row>
    <row r="721" spans="14:30" thickBot="1" x14ac:dyDescent="0.3">
      <c r="N721">
        <f t="shared" si="182"/>
        <v>0</v>
      </c>
      <c r="O721">
        <f t="shared" si="179"/>
        <v>0</v>
      </c>
      <c r="P721">
        <f t="shared" si="180"/>
        <v>0</v>
      </c>
      <c r="Q721">
        <f t="shared" si="181"/>
        <v>0</v>
      </c>
      <c r="X721" t="str">
        <f t="shared" si="183"/>
        <v/>
      </c>
      <c r="Y721" t="str">
        <f t="shared" si="184"/>
        <v/>
      </c>
      <c r="Z721" t="str">
        <f t="shared" si="185"/>
        <v/>
      </c>
      <c r="AA721" t="str">
        <f t="shared" si="186"/>
        <v/>
      </c>
      <c r="AB721" t="str">
        <f t="shared" si="187"/>
        <v/>
      </c>
      <c r="AC721" t="str">
        <f t="shared" si="188"/>
        <v/>
      </c>
      <c r="AD721" t="str">
        <f t="shared" si="189"/>
        <v/>
      </c>
    </row>
    <row r="722" spans="14:30" thickBot="1" x14ac:dyDescent="0.3">
      <c r="N722">
        <f t="shared" si="182"/>
        <v>0</v>
      </c>
      <c r="O722">
        <f t="shared" si="179"/>
        <v>0</v>
      </c>
      <c r="P722">
        <f t="shared" si="180"/>
        <v>0</v>
      </c>
      <c r="Q722">
        <f t="shared" si="181"/>
        <v>0</v>
      </c>
      <c r="X722" t="str">
        <f t="shared" si="183"/>
        <v/>
      </c>
      <c r="Y722" t="str">
        <f t="shared" si="184"/>
        <v/>
      </c>
      <c r="Z722" t="str">
        <f t="shared" si="185"/>
        <v/>
      </c>
      <c r="AA722" t="str">
        <f t="shared" si="186"/>
        <v/>
      </c>
      <c r="AB722" t="str">
        <f t="shared" si="187"/>
        <v/>
      </c>
      <c r="AC722" t="str">
        <f t="shared" si="188"/>
        <v/>
      </c>
      <c r="AD722" t="str">
        <f t="shared" si="189"/>
        <v/>
      </c>
    </row>
    <row r="723" spans="14:30" thickBot="1" x14ac:dyDescent="0.3">
      <c r="N723">
        <f t="shared" si="182"/>
        <v>0</v>
      </c>
      <c r="O723">
        <f t="shared" si="179"/>
        <v>0</v>
      </c>
      <c r="P723">
        <f t="shared" si="180"/>
        <v>0</v>
      </c>
      <c r="Q723">
        <f t="shared" si="181"/>
        <v>0</v>
      </c>
      <c r="X723" t="str">
        <f t="shared" si="183"/>
        <v/>
      </c>
      <c r="Y723" t="str">
        <f t="shared" si="184"/>
        <v/>
      </c>
      <c r="Z723" t="str">
        <f t="shared" si="185"/>
        <v/>
      </c>
      <c r="AA723" t="str">
        <f t="shared" si="186"/>
        <v/>
      </c>
      <c r="AB723" t="str">
        <f t="shared" si="187"/>
        <v/>
      </c>
      <c r="AC723" t="str">
        <f t="shared" si="188"/>
        <v/>
      </c>
      <c r="AD723" t="str">
        <f t="shared" si="189"/>
        <v/>
      </c>
    </row>
    <row r="724" spans="14:30" thickBot="1" x14ac:dyDescent="0.3">
      <c r="N724">
        <f t="shared" si="182"/>
        <v>0</v>
      </c>
      <c r="O724">
        <f t="shared" si="179"/>
        <v>0</v>
      </c>
      <c r="P724">
        <f t="shared" si="180"/>
        <v>0</v>
      </c>
      <c r="Q724">
        <f t="shared" si="181"/>
        <v>0</v>
      </c>
      <c r="X724" t="str">
        <f t="shared" si="183"/>
        <v/>
      </c>
      <c r="Y724" t="str">
        <f t="shared" si="184"/>
        <v/>
      </c>
      <c r="Z724" t="str">
        <f t="shared" si="185"/>
        <v/>
      </c>
      <c r="AA724" t="str">
        <f t="shared" si="186"/>
        <v/>
      </c>
      <c r="AB724" t="str">
        <f t="shared" si="187"/>
        <v/>
      </c>
      <c r="AC724" t="str">
        <f t="shared" si="188"/>
        <v/>
      </c>
      <c r="AD724" t="str">
        <f t="shared" si="189"/>
        <v/>
      </c>
    </row>
    <row r="725" spans="14:30" thickBot="1" x14ac:dyDescent="0.3">
      <c r="N725">
        <f t="shared" si="182"/>
        <v>0</v>
      </c>
      <c r="O725">
        <f t="shared" si="179"/>
        <v>0</v>
      </c>
      <c r="P725">
        <f t="shared" si="180"/>
        <v>0</v>
      </c>
      <c r="Q725">
        <f t="shared" si="181"/>
        <v>0</v>
      </c>
      <c r="X725" t="str">
        <f t="shared" si="183"/>
        <v/>
      </c>
      <c r="Y725" t="str">
        <f t="shared" si="184"/>
        <v/>
      </c>
      <c r="Z725" t="str">
        <f t="shared" si="185"/>
        <v/>
      </c>
      <c r="AA725" t="str">
        <f t="shared" si="186"/>
        <v/>
      </c>
      <c r="AB725" t="str">
        <f t="shared" si="187"/>
        <v/>
      </c>
      <c r="AC725" t="str">
        <f t="shared" si="188"/>
        <v/>
      </c>
      <c r="AD725" t="str">
        <f t="shared" si="189"/>
        <v/>
      </c>
    </row>
    <row r="726" spans="14:30" thickBot="1" x14ac:dyDescent="0.3">
      <c r="N726">
        <f t="shared" si="182"/>
        <v>0</v>
      </c>
      <c r="O726">
        <f t="shared" si="179"/>
        <v>0</v>
      </c>
      <c r="P726">
        <f t="shared" si="180"/>
        <v>0</v>
      </c>
      <c r="Q726">
        <f t="shared" si="181"/>
        <v>0</v>
      </c>
      <c r="X726" t="str">
        <f t="shared" si="183"/>
        <v/>
      </c>
      <c r="Y726" t="str">
        <f t="shared" si="184"/>
        <v/>
      </c>
      <c r="Z726" t="str">
        <f t="shared" si="185"/>
        <v/>
      </c>
      <c r="AA726" t="str">
        <f t="shared" si="186"/>
        <v/>
      </c>
      <c r="AB726" t="str">
        <f t="shared" si="187"/>
        <v/>
      </c>
      <c r="AC726" t="str">
        <f t="shared" si="188"/>
        <v/>
      </c>
      <c r="AD726" t="str">
        <f t="shared" si="189"/>
        <v/>
      </c>
    </row>
    <row r="727" spans="14:30" thickBot="1" x14ac:dyDescent="0.3">
      <c r="N727">
        <f t="shared" si="182"/>
        <v>0</v>
      </c>
      <c r="O727">
        <f t="shared" si="179"/>
        <v>0</v>
      </c>
      <c r="P727">
        <f t="shared" si="180"/>
        <v>0</v>
      </c>
      <c r="Q727">
        <f t="shared" si="181"/>
        <v>0</v>
      </c>
      <c r="X727" t="str">
        <f t="shared" si="183"/>
        <v/>
      </c>
      <c r="Y727" t="str">
        <f t="shared" si="184"/>
        <v/>
      </c>
      <c r="Z727" t="str">
        <f t="shared" si="185"/>
        <v/>
      </c>
      <c r="AA727" t="str">
        <f t="shared" si="186"/>
        <v/>
      </c>
      <c r="AB727" t="str">
        <f t="shared" si="187"/>
        <v/>
      </c>
      <c r="AC727" t="str">
        <f t="shared" si="188"/>
        <v/>
      </c>
      <c r="AD727" t="str">
        <f t="shared" si="189"/>
        <v/>
      </c>
    </row>
    <row r="728" spans="14:30" thickBot="1" x14ac:dyDescent="0.3">
      <c r="N728">
        <f t="shared" si="182"/>
        <v>0</v>
      </c>
      <c r="O728">
        <f t="shared" si="179"/>
        <v>0</v>
      </c>
      <c r="P728">
        <f t="shared" si="180"/>
        <v>0</v>
      </c>
      <c r="Q728">
        <f t="shared" si="181"/>
        <v>0</v>
      </c>
      <c r="X728" t="str">
        <f t="shared" si="183"/>
        <v/>
      </c>
      <c r="Y728" t="str">
        <f t="shared" si="184"/>
        <v/>
      </c>
      <c r="Z728" t="str">
        <f t="shared" si="185"/>
        <v/>
      </c>
      <c r="AA728" t="str">
        <f t="shared" si="186"/>
        <v/>
      </c>
      <c r="AB728" t="str">
        <f t="shared" si="187"/>
        <v/>
      </c>
      <c r="AC728" t="str">
        <f t="shared" si="188"/>
        <v/>
      </c>
      <c r="AD728" t="str">
        <f t="shared" si="189"/>
        <v/>
      </c>
    </row>
    <row r="729" spans="14:30" thickBot="1" x14ac:dyDescent="0.3">
      <c r="N729">
        <f t="shared" si="182"/>
        <v>0</v>
      </c>
      <c r="O729">
        <f t="shared" si="179"/>
        <v>0</v>
      </c>
      <c r="P729">
        <f t="shared" si="180"/>
        <v>0</v>
      </c>
      <c r="Q729">
        <f t="shared" si="181"/>
        <v>0</v>
      </c>
      <c r="X729" t="str">
        <f t="shared" si="183"/>
        <v/>
      </c>
      <c r="Y729" t="str">
        <f t="shared" si="184"/>
        <v/>
      </c>
      <c r="Z729" t="str">
        <f t="shared" si="185"/>
        <v/>
      </c>
      <c r="AA729" t="str">
        <f t="shared" si="186"/>
        <v/>
      </c>
      <c r="AB729" t="str">
        <f t="shared" si="187"/>
        <v/>
      </c>
      <c r="AC729" t="str">
        <f t="shared" si="188"/>
        <v/>
      </c>
      <c r="AD729" t="str">
        <f t="shared" si="189"/>
        <v/>
      </c>
    </row>
    <row r="730" spans="14:30" thickBot="1" x14ac:dyDescent="0.3">
      <c r="N730">
        <f t="shared" si="182"/>
        <v>0</v>
      </c>
      <c r="O730">
        <f t="shared" si="179"/>
        <v>0</v>
      </c>
      <c r="P730">
        <f t="shared" si="180"/>
        <v>0</v>
      </c>
      <c r="Q730">
        <f t="shared" si="181"/>
        <v>0</v>
      </c>
      <c r="X730" t="str">
        <f t="shared" si="183"/>
        <v/>
      </c>
      <c r="Y730" t="str">
        <f t="shared" si="184"/>
        <v/>
      </c>
      <c r="Z730" t="str">
        <f t="shared" si="185"/>
        <v/>
      </c>
      <c r="AA730" t="str">
        <f t="shared" si="186"/>
        <v/>
      </c>
      <c r="AB730" t="str">
        <f t="shared" si="187"/>
        <v/>
      </c>
      <c r="AC730" t="str">
        <f t="shared" si="188"/>
        <v/>
      </c>
      <c r="AD730" t="str">
        <f t="shared" si="189"/>
        <v/>
      </c>
    </row>
    <row r="731" spans="14:30" thickBot="1" x14ac:dyDescent="0.3">
      <c r="N731">
        <f t="shared" si="182"/>
        <v>0</v>
      </c>
      <c r="O731">
        <f t="shared" si="179"/>
        <v>0</v>
      </c>
      <c r="P731">
        <f t="shared" si="180"/>
        <v>0</v>
      </c>
      <c r="Q731">
        <f t="shared" si="181"/>
        <v>0</v>
      </c>
      <c r="X731" t="str">
        <f t="shared" si="183"/>
        <v/>
      </c>
      <c r="Y731" t="str">
        <f t="shared" si="184"/>
        <v/>
      </c>
      <c r="Z731" t="str">
        <f t="shared" si="185"/>
        <v/>
      </c>
      <c r="AA731" t="str">
        <f t="shared" si="186"/>
        <v/>
      </c>
      <c r="AB731" t="str">
        <f t="shared" si="187"/>
        <v/>
      </c>
      <c r="AC731" t="str">
        <f t="shared" si="188"/>
        <v/>
      </c>
      <c r="AD731" t="str">
        <f t="shared" si="189"/>
        <v/>
      </c>
    </row>
    <row r="732" spans="14:30" thickBot="1" x14ac:dyDescent="0.3">
      <c r="N732">
        <f t="shared" si="182"/>
        <v>0</v>
      </c>
      <c r="O732">
        <f t="shared" si="179"/>
        <v>0</v>
      </c>
      <c r="P732">
        <f t="shared" si="180"/>
        <v>0</v>
      </c>
      <c r="Q732">
        <f t="shared" si="181"/>
        <v>0</v>
      </c>
      <c r="X732" t="str">
        <f t="shared" si="183"/>
        <v/>
      </c>
      <c r="Y732" t="str">
        <f t="shared" si="184"/>
        <v/>
      </c>
      <c r="Z732" t="str">
        <f t="shared" si="185"/>
        <v/>
      </c>
      <c r="AA732" t="str">
        <f t="shared" si="186"/>
        <v/>
      </c>
      <c r="AB732" t="str">
        <f t="shared" si="187"/>
        <v/>
      </c>
      <c r="AC732" t="str">
        <f t="shared" si="188"/>
        <v/>
      </c>
      <c r="AD732" t="str">
        <f t="shared" si="189"/>
        <v/>
      </c>
    </row>
    <row r="733" spans="14:30" thickBot="1" x14ac:dyDescent="0.3">
      <c r="N733">
        <f t="shared" si="182"/>
        <v>0</v>
      </c>
      <c r="O733">
        <f t="shared" si="179"/>
        <v>0</v>
      </c>
      <c r="P733">
        <f t="shared" si="180"/>
        <v>0</v>
      </c>
      <c r="Q733">
        <f t="shared" si="181"/>
        <v>0</v>
      </c>
      <c r="X733" t="str">
        <f t="shared" si="183"/>
        <v/>
      </c>
      <c r="Y733" t="str">
        <f t="shared" si="184"/>
        <v/>
      </c>
      <c r="Z733" t="str">
        <f t="shared" si="185"/>
        <v/>
      </c>
      <c r="AA733" t="str">
        <f t="shared" si="186"/>
        <v/>
      </c>
      <c r="AB733" t="str">
        <f t="shared" si="187"/>
        <v/>
      </c>
      <c r="AC733" t="str">
        <f t="shared" si="188"/>
        <v/>
      </c>
      <c r="AD733" t="str">
        <f t="shared" si="189"/>
        <v/>
      </c>
    </row>
    <row r="734" spans="14:30" thickBot="1" x14ac:dyDescent="0.3">
      <c r="N734">
        <f t="shared" si="182"/>
        <v>0</v>
      </c>
      <c r="O734">
        <f t="shared" si="179"/>
        <v>0</v>
      </c>
      <c r="P734">
        <f t="shared" si="180"/>
        <v>0</v>
      </c>
      <c r="Q734">
        <f t="shared" si="181"/>
        <v>0</v>
      </c>
      <c r="X734" t="str">
        <f t="shared" si="183"/>
        <v/>
      </c>
      <c r="Y734" t="str">
        <f t="shared" si="184"/>
        <v/>
      </c>
      <c r="Z734" t="str">
        <f t="shared" si="185"/>
        <v/>
      </c>
      <c r="AA734" t="str">
        <f t="shared" si="186"/>
        <v/>
      </c>
      <c r="AB734" t="str">
        <f t="shared" si="187"/>
        <v/>
      </c>
      <c r="AC734" t="str">
        <f t="shared" si="188"/>
        <v/>
      </c>
      <c r="AD734" t="str">
        <f t="shared" si="189"/>
        <v/>
      </c>
    </row>
    <row r="735" spans="14:30" thickBot="1" x14ac:dyDescent="0.3">
      <c r="N735">
        <f t="shared" si="182"/>
        <v>0</v>
      </c>
      <c r="O735">
        <f t="shared" si="179"/>
        <v>0</v>
      </c>
      <c r="P735">
        <f t="shared" si="180"/>
        <v>0</v>
      </c>
      <c r="Q735">
        <f t="shared" si="181"/>
        <v>0</v>
      </c>
      <c r="X735" t="str">
        <f t="shared" si="183"/>
        <v/>
      </c>
      <c r="Y735" t="str">
        <f t="shared" si="184"/>
        <v/>
      </c>
      <c r="Z735" t="str">
        <f t="shared" si="185"/>
        <v/>
      </c>
      <c r="AA735" t="str">
        <f t="shared" si="186"/>
        <v/>
      </c>
      <c r="AB735" t="str">
        <f t="shared" si="187"/>
        <v/>
      </c>
      <c r="AC735" t="str">
        <f t="shared" si="188"/>
        <v/>
      </c>
      <c r="AD735" t="str">
        <f t="shared" si="189"/>
        <v/>
      </c>
    </row>
    <row r="736" spans="14:30" thickBot="1" x14ac:dyDescent="0.3">
      <c r="N736">
        <f t="shared" si="182"/>
        <v>0</v>
      </c>
      <c r="O736">
        <f t="shared" si="179"/>
        <v>0</v>
      </c>
      <c r="P736">
        <f t="shared" si="180"/>
        <v>0</v>
      </c>
      <c r="Q736">
        <f t="shared" si="181"/>
        <v>0</v>
      </c>
      <c r="X736" t="str">
        <f t="shared" si="183"/>
        <v/>
      </c>
      <c r="Y736" t="str">
        <f t="shared" si="184"/>
        <v/>
      </c>
      <c r="Z736" t="str">
        <f t="shared" si="185"/>
        <v/>
      </c>
      <c r="AA736" t="str">
        <f t="shared" si="186"/>
        <v/>
      </c>
      <c r="AB736" t="str">
        <f t="shared" si="187"/>
        <v/>
      </c>
      <c r="AC736" t="str">
        <f t="shared" si="188"/>
        <v/>
      </c>
      <c r="AD736" t="str">
        <f t="shared" si="189"/>
        <v/>
      </c>
    </row>
    <row r="737" spans="14:30" thickBot="1" x14ac:dyDescent="0.3">
      <c r="N737">
        <f t="shared" si="182"/>
        <v>0</v>
      </c>
      <c r="O737">
        <f t="shared" si="179"/>
        <v>0</v>
      </c>
      <c r="P737">
        <f t="shared" si="180"/>
        <v>0</v>
      </c>
      <c r="Q737">
        <f t="shared" si="181"/>
        <v>0</v>
      </c>
      <c r="X737" t="str">
        <f t="shared" si="183"/>
        <v/>
      </c>
      <c r="Y737" t="str">
        <f t="shared" si="184"/>
        <v/>
      </c>
      <c r="Z737" t="str">
        <f t="shared" si="185"/>
        <v/>
      </c>
      <c r="AA737" t="str">
        <f t="shared" si="186"/>
        <v/>
      </c>
      <c r="AB737" t="str">
        <f t="shared" si="187"/>
        <v/>
      </c>
      <c r="AC737" t="str">
        <f t="shared" si="188"/>
        <v/>
      </c>
      <c r="AD737" t="str">
        <f t="shared" si="189"/>
        <v/>
      </c>
    </row>
    <row r="738" spans="14:30" thickBot="1" x14ac:dyDescent="0.3">
      <c r="N738">
        <f t="shared" si="182"/>
        <v>0</v>
      </c>
      <c r="O738">
        <f t="shared" si="179"/>
        <v>0</v>
      </c>
      <c r="P738">
        <f t="shared" si="180"/>
        <v>0</v>
      </c>
      <c r="Q738">
        <f t="shared" si="181"/>
        <v>0</v>
      </c>
      <c r="X738" t="str">
        <f t="shared" si="183"/>
        <v/>
      </c>
      <c r="Y738" t="str">
        <f t="shared" si="184"/>
        <v/>
      </c>
      <c r="Z738" t="str">
        <f t="shared" si="185"/>
        <v/>
      </c>
      <c r="AA738" t="str">
        <f t="shared" si="186"/>
        <v/>
      </c>
      <c r="AB738" t="str">
        <f t="shared" si="187"/>
        <v/>
      </c>
      <c r="AC738" t="str">
        <f t="shared" si="188"/>
        <v/>
      </c>
      <c r="AD738" t="str">
        <f t="shared" si="189"/>
        <v/>
      </c>
    </row>
    <row r="739" spans="14:30" thickBot="1" x14ac:dyDescent="0.3">
      <c r="N739">
        <f t="shared" si="182"/>
        <v>0</v>
      </c>
      <c r="O739">
        <f t="shared" si="179"/>
        <v>0</v>
      </c>
      <c r="P739">
        <f t="shared" si="180"/>
        <v>0</v>
      </c>
      <c r="Q739">
        <f t="shared" si="181"/>
        <v>0</v>
      </c>
      <c r="X739" t="str">
        <f t="shared" si="183"/>
        <v/>
      </c>
      <c r="Y739" t="str">
        <f t="shared" si="184"/>
        <v/>
      </c>
      <c r="Z739" t="str">
        <f t="shared" si="185"/>
        <v/>
      </c>
      <c r="AA739" t="str">
        <f t="shared" si="186"/>
        <v/>
      </c>
      <c r="AB739" t="str">
        <f t="shared" si="187"/>
        <v/>
      </c>
      <c r="AC739" t="str">
        <f t="shared" si="188"/>
        <v/>
      </c>
      <c r="AD739" t="str">
        <f t="shared" si="189"/>
        <v/>
      </c>
    </row>
    <row r="740" spans="14:30" thickBot="1" x14ac:dyDescent="0.3">
      <c r="N740">
        <f t="shared" si="182"/>
        <v>0</v>
      </c>
      <c r="O740">
        <f t="shared" si="179"/>
        <v>0</v>
      </c>
      <c r="P740">
        <f t="shared" si="180"/>
        <v>0</v>
      </c>
      <c r="Q740">
        <f t="shared" si="181"/>
        <v>0</v>
      </c>
      <c r="X740" t="str">
        <f t="shared" si="183"/>
        <v/>
      </c>
      <c r="Y740" t="str">
        <f t="shared" si="184"/>
        <v/>
      </c>
      <c r="Z740" t="str">
        <f t="shared" si="185"/>
        <v/>
      </c>
      <c r="AA740" t="str">
        <f t="shared" si="186"/>
        <v/>
      </c>
      <c r="AB740" t="str">
        <f t="shared" si="187"/>
        <v/>
      </c>
      <c r="AC740" t="str">
        <f t="shared" si="188"/>
        <v/>
      </c>
      <c r="AD740" t="str">
        <f t="shared" si="189"/>
        <v/>
      </c>
    </row>
    <row r="741" spans="14:30" thickBot="1" x14ac:dyDescent="0.3">
      <c r="N741">
        <f t="shared" si="182"/>
        <v>0</v>
      </c>
      <c r="O741">
        <f t="shared" si="179"/>
        <v>0</v>
      </c>
      <c r="P741">
        <f t="shared" si="180"/>
        <v>0</v>
      </c>
      <c r="Q741">
        <f t="shared" si="181"/>
        <v>0</v>
      </c>
      <c r="X741" t="str">
        <f t="shared" si="183"/>
        <v/>
      </c>
      <c r="Y741" t="str">
        <f t="shared" si="184"/>
        <v/>
      </c>
      <c r="Z741" t="str">
        <f t="shared" si="185"/>
        <v/>
      </c>
      <c r="AA741" t="str">
        <f t="shared" si="186"/>
        <v/>
      </c>
      <c r="AB741" t="str">
        <f t="shared" si="187"/>
        <v/>
      </c>
      <c r="AC741" t="str">
        <f t="shared" si="188"/>
        <v/>
      </c>
      <c r="AD741" t="str">
        <f t="shared" si="189"/>
        <v/>
      </c>
    </row>
    <row r="742" spans="14:30" thickBot="1" x14ac:dyDescent="0.3">
      <c r="N742">
        <f t="shared" si="182"/>
        <v>0</v>
      </c>
      <c r="O742">
        <f t="shared" si="179"/>
        <v>0</v>
      </c>
      <c r="P742">
        <f t="shared" si="180"/>
        <v>0</v>
      </c>
      <c r="Q742">
        <f t="shared" si="181"/>
        <v>0</v>
      </c>
      <c r="X742" t="str">
        <f t="shared" si="183"/>
        <v/>
      </c>
      <c r="Y742" t="str">
        <f t="shared" si="184"/>
        <v/>
      </c>
      <c r="Z742" t="str">
        <f t="shared" si="185"/>
        <v/>
      </c>
      <c r="AA742" t="str">
        <f t="shared" si="186"/>
        <v/>
      </c>
      <c r="AB742" t="str">
        <f t="shared" si="187"/>
        <v/>
      </c>
      <c r="AC742" t="str">
        <f t="shared" si="188"/>
        <v/>
      </c>
      <c r="AD742" t="str">
        <f t="shared" si="189"/>
        <v/>
      </c>
    </row>
    <row r="743" spans="14:30" thickBot="1" x14ac:dyDescent="0.3">
      <c r="N743">
        <f t="shared" si="182"/>
        <v>0</v>
      </c>
      <c r="O743">
        <f t="shared" si="179"/>
        <v>0</v>
      </c>
      <c r="P743">
        <f t="shared" si="180"/>
        <v>0</v>
      </c>
      <c r="Q743">
        <f t="shared" si="181"/>
        <v>0</v>
      </c>
      <c r="X743" t="str">
        <f t="shared" si="183"/>
        <v/>
      </c>
      <c r="Y743" t="str">
        <f t="shared" si="184"/>
        <v/>
      </c>
      <c r="Z743" t="str">
        <f t="shared" si="185"/>
        <v/>
      </c>
      <c r="AA743" t="str">
        <f t="shared" si="186"/>
        <v/>
      </c>
      <c r="AB743" t="str">
        <f t="shared" si="187"/>
        <v/>
      </c>
      <c r="AC743" t="str">
        <f t="shared" si="188"/>
        <v/>
      </c>
      <c r="AD743" t="str">
        <f t="shared" si="189"/>
        <v/>
      </c>
    </row>
    <row r="744" spans="14:30" thickBot="1" x14ac:dyDescent="0.3">
      <c r="N744">
        <f t="shared" si="182"/>
        <v>0</v>
      </c>
      <c r="O744">
        <f t="shared" si="179"/>
        <v>0</v>
      </c>
      <c r="P744">
        <f t="shared" si="180"/>
        <v>0</v>
      </c>
      <c r="Q744">
        <f t="shared" si="181"/>
        <v>0</v>
      </c>
      <c r="X744" t="str">
        <f t="shared" si="183"/>
        <v/>
      </c>
      <c r="Y744" t="str">
        <f t="shared" si="184"/>
        <v/>
      </c>
      <c r="Z744" t="str">
        <f t="shared" si="185"/>
        <v/>
      </c>
      <c r="AA744" t="str">
        <f t="shared" si="186"/>
        <v/>
      </c>
      <c r="AB744" t="str">
        <f t="shared" si="187"/>
        <v/>
      </c>
      <c r="AC744" t="str">
        <f t="shared" si="188"/>
        <v/>
      </c>
      <c r="AD744" t="str">
        <f t="shared" si="189"/>
        <v/>
      </c>
    </row>
    <row r="745" spans="14:30" thickBot="1" x14ac:dyDescent="0.3">
      <c r="N745">
        <f t="shared" si="182"/>
        <v>0</v>
      </c>
      <c r="O745">
        <f t="shared" si="179"/>
        <v>0</v>
      </c>
      <c r="P745">
        <f t="shared" si="180"/>
        <v>0</v>
      </c>
      <c r="Q745">
        <f t="shared" si="181"/>
        <v>0</v>
      </c>
      <c r="X745" t="str">
        <f t="shared" si="183"/>
        <v/>
      </c>
      <c r="Y745" t="str">
        <f t="shared" si="184"/>
        <v/>
      </c>
      <c r="Z745" t="str">
        <f t="shared" si="185"/>
        <v/>
      </c>
      <c r="AA745" t="str">
        <f t="shared" si="186"/>
        <v/>
      </c>
      <c r="AB745" t="str">
        <f t="shared" si="187"/>
        <v/>
      </c>
      <c r="AC745" t="str">
        <f t="shared" si="188"/>
        <v/>
      </c>
      <c r="AD745" t="str">
        <f t="shared" si="189"/>
        <v/>
      </c>
    </row>
    <row r="746" spans="14:30" thickBot="1" x14ac:dyDescent="0.3">
      <c r="N746">
        <f t="shared" si="182"/>
        <v>0</v>
      </c>
      <c r="O746">
        <f t="shared" si="179"/>
        <v>0</v>
      </c>
      <c r="P746">
        <f t="shared" si="180"/>
        <v>0</v>
      </c>
      <c r="Q746">
        <f t="shared" si="181"/>
        <v>0</v>
      </c>
      <c r="X746" t="str">
        <f t="shared" si="183"/>
        <v/>
      </c>
      <c r="Y746" t="str">
        <f t="shared" si="184"/>
        <v/>
      </c>
      <c r="Z746" t="str">
        <f t="shared" si="185"/>
        <v/>
      </c>
      <c r="AA746" t="str">
        <f t="shared" si="186"/>
        <v/>
      </c>
      <c r="AB746" t="str">
        <f t="shared" si="187"/>
        <v/>
      </c>
      <c r="AC746" t="str">
        <f t="shared" si="188"/>
        <v/>
      </c>
      <c r="AD746" t="str">
        <f t="shared" si="189"/>
        <v/>
      </c>
    </row>
    <row r="747" spans="14:30" thickBot="1" x14ac:dyDescent="0.3">
      <c r="N747">
        <f t="shared" si="182"/>
        <v>0</v>
      </c>
      <c r="O747">
        <f t="shared" si="179"/>
        <v>0</v>
      </c>
      <c r="P747">
        <f t="shared" si="180"/>
        <v>0</v>
      </c>
      <c r="Q747">
        <f t="shared" si="181"/>
        <v>0</v>
      </c>
      <c r="X747" t="str">
        <f t="shared" si="183"/>
        <v/>
      </c>
      <c r="Y747" t="str">
        <f t="shared" si="184"/>
        <v/>
      </c>
      <c r="Z747" t="str">
        <f t="shared" si="185"/>
        <v/>
      </c>
      <c r="AA747" t="str">
        <f t="shared" si="186"/>
        <v/>
      </c>
      <c r="AB747" t="str">
        <f t="shared" si="187"/>
        <v/>
      </c>
      <c r="AC747" t="str">
        <f t="shared" si="188"/>
        <v/>
      </c>
      <c r="AD747" t="str">
        <f t="shared" si="189"/>
        <v/>
      </c>
    </row>
    <row r="748" spans="14:30" thickBot="1" x14ac:dyDescent="0.3">
      <c r="N748">
        <f t="shared" si="182"/>
        <v>0</v>
      </c>
      <c r="O748">
        <f t="shared" si="179"/>
        <v>0</v>
      </c>
      <c r="P748">
        <f t="shared" si="180"/>
        <v>0</v>
      </c>
      <c r="Q748">
        <f t="shared" si="181"/>
        <v>0</v>
      </c>
      <c r="X748" t="str">
        <f t="shared" si="183"/>
        <v/>
      </c>
      <c r="Y748" t="str">
        <f t="shared" si="184"/>
        <v/>
      </c>
      <c r="Z748" t="str">
        <f t="shared" si="185"/>
        <v/>
      </c>
      <c r="AA748" t="str">
        <f t="shared" si="186"/>
        <v/>
      </c>
      <c r="AB748" t="str">
        <f t="shared" si="187"/>
        <v/>
      </c>
      <c r="AC748" t="str">
        <f t="shared" si="188"/>
        <v/>
      </c>
      <c r="AD748" t="str">
        <f t="shared" si="189"/>
        <v/>
      </c>
    </row>
    <row r="749" spans="14:30" thickBot="1" x14ac:dyDescent="0.3">
      <c r="N749">
        <f t="shared" si="182"/>
        <v>0</v>
      </c>
      <c r="O749">
        <f t="shared" si="179"/>
        <v>0</v>
      </c>
      <c r="P749">
        <f t="shared" si="180"/>
        <v>0</v>
      </c>
      <c r="Q749">
        <f t="shared" si="181"/>
        <v>0</v>
      </c>
      <c r="X749" t="str">
        <f t="shared" si="183"/>
        <v/>
      </c>
      <c r="Y749" t="str">
        <f t="shared" si="184"/>
        <v/>
      </c>
      <c r="Z749" t="str">
        <f t="shared" si="185"/>
        <v/>
      </c>
      <c r="AA749" t="str">
        <f t="shared" si="186"/>
        <v/>
      </c>
      <c r="AB749" t="str">
        <f t="shared" si="187"/>
        <v/>
      </c>
      <c r="AC749" t="str">
        <f t="shared" si="188"/>
        <v/>
      </c>
      <c r="AD749" t="str">
        <f t="shared" si="189"/>
        <v/>
      </c>
    </row>
    <row r="750" spans="14:30" thickBot="1" x14ac:dyDescent="0.3">
      <c r="N750">
        <f t="shared" si="182"/>
        <v>0</v>
      </c>
      <c r="O750">
        <f t="shared" si="179"/>
        <v>0</v>
      </c>
      <c r="P750">
        <f t="shared" si="180"/>
        <v>0</v>
      </c>
      <c r="Q750">
        <f t="shared" si="181"/>
        <v>0</v>
      </c>
      <c r="X750" t="str">
        <f t="shared" si="183"/>
        <v/>
      </c>
      <c r="Y750" t="str">
        <f t="shared" si="184"/>
        <v/>
      </c>
      <c r="Z750" t="str">
        <f t="shared" si="185"/>
        <v/>
      </c>
      <c r="AA750" t="str">
        <f t="shared" si="186"/>
        <v/>
      </c>
      <c r="AB750" t="str">
        <f t="shared" si="187"/>
        <v/>
      </c>
      <c r="AC750" t="str">
        <f t="shared" si="188"/>
        <v/>
      </c>
      <c r="AD750" t="str">
        <f t="shared" si="189"/>
        <v/>
      </c>
    </row>
    <row r="751" spans="14:30" thickBot="1" x14ac:dyDescent="0.3">
      <c r="N751">
        <f t="shared" si="182"/>
        <v>0</v>
      </c>
      <c r="O751">
        <f t="shared" si="179"/>
        <v>0</v>
      </c>
      <c r="P751">
        <f t="shared" si="180"/>
        <v>0</v>
      </c>
      <c r="Q751">
        <f t="shared" si="181"/>
        <v>0</v>
      </c>
      <c r="X751" t="str">
        <f t="shared" si="183"/>
        <v/>
      </c>
      <c r="Y751" t="str">
        <f t="shared" si="184"/>
        <v/>
      </c>
      <c r="Z751" t="str">
        <f t="shared" si="185"/>
        <v/>
      </c>
      <c r="AA751" t="str">
        <f t="shared" si="186"/>
        <v/>
      </c>
      <c r="AB751" t="str">
        <f t="shared" si="187"/>
        <v/>
      </c>
      <c r="AC751" t="str">
        <f t="shared" si="188"/>
        <v/>
      </c>
      <c r="AD751" t="str">
        <f t="shared" si="189"/>
        <v/>
      </c>
    </row>
    <row r="752" spans="14:30" thickBot="1" x14ac:dyDescent="0.3">
      <c r="N752">
        <f t="shared" si="182"/>
        <v>0</v>
      </c>
      <c r="O752">
        <f t="shared" si="179"/>
        <v>0</v>
      </c>
      <c r="P752">
        <f t="shared" si="180"/>
        <v>0</v>
      </c>
      <c r="Q752">
        <f t="shared" si="181"/>
        <v>0</v>
      </c>
      <c r="X752" t="str">
        <f t="shared" si="183"/>
        <v/>
      </c>
      <c r="Y752" t="str">
        <f t="shared" si="184"/>
        <v/>
      </c>
      <c r="Z752" t="str">
        <f t="shared" si="185"/>
        <v/>
      </c>
      <c r="AA752" t="str">
        <f t="shared" si="186"/>
        <v/>
      </c>
      <c r="AB752" t="str">
        <f t="shared" si="187"/>
        <v/>
      </c>
      <c r="AC752" t="str">
        <f t="shared" si="188"/>
        <v/>
      </c>
      <c r="AD752" t="str">
        <f t="shared" si="189"/>
        <v/>
      </c>
    </row>
    <row r="753" spans="14:30" thickBot="1" x14ac:dyDescent="0.3">
      <c r="N753">
        <f t="shared" si="182"/>
        <v>0</v>
      </c>
      <c r="O753">
        <f t="shared" si="179"/>
        <v>0</v>
      </c>
      <c r="P753">
        <f t="shared" si="180"/>
        <v>0</v>
      </c>
      <c r="Q753">
        <f t="shared" si="181"/>
        <v>0</v>
      </c>
      <c r="X753" t="str">
        <f t="shared" si="183"/>
        <v/>
      </c>
      <c r="Y753" t="str">
        <f t="shared" si="184"/>
        <v/>
      </c>
      <c r="Z753" t="str">
        <f t="shared" si="185"/>
        <v/>
      </c>
      <c r="AA753" t="str">
        <f t="shared" si="186"/>
        <v/>
      </c>
      <c r="AB753" t="str">
        <f t="shared" si="187"/>
        <v/>
      </c>
      <c r="AC753" t="str">
        <f t="shared" si="188"/>
        <v/>
      </c>
      <c r="AD753" t="str">
        <f t="shared" si="189"/>
        <v/>
      </c>
    </row>
    <row r="754" spans="14:30" thickBot="1" x14ac:dyDescent="0.3">
      <c r="N754">
        <f t="shared" si="182"/>
        <v>0</v>
      </c>
      <c r="O754">
        <f t="shared" si="179"/>
        <v>0</v>
      </c>
      <c r="P754">
        <f t="shared" si="180"/>
        <v>0</v>
      </c>
      <c r="Q754">
        <f t="shared" si="181"/>
        <v>0</v>
      </c>
      <c r="X754" t="str">
        <f t="shared" si="183"/>
        <v/>
      </c>
      <c r="Y754" t="str">
        <f t="shared" si="184"/>
        <v/>
      </c>
      <c r="Z754" t="str">
        <f t="shared" si="185"/>
        <v/>
      </c>
      <c r="AA754" t="str">
        <f t="shared" si="186"/>
        <v/>
      </c>
      <c r="AB754" t="str">
        <f t="shared" si="187"/>
        <v/>
      </c>
      <c r="AC754" t="str">
        <f t="shared" si="188"/>
        <v/>
      </c>
      <c r="AD754" t="str">
        <f t="shared" si="189"/>
        <v/>
      </c>
    </row>
    <row r="755" spans="14:30" thickBot="1" x14ac:dyDescent="0.3">
      <c r="N755">
        <f t="shared" si="182"/>
        <v>0</v>
      </c>
      <c r="O755">
        <f t="shared" si="179"/>
        <v>0</v>
      </c>
      <c r="P755">
        <f t="shared" si="180"/>
        <v>0</v>
      </c>
      <c r="Q755">
        <f t="shared" si="181"/>
        <v>0</v>
      </c>
      <c r="X755" t="str">
        <f t="shared" si="183"/>
        <v/>
      </c>
      <c r="Y755" t="str">
        <f t="shared" si="184"/>
        <v/>
      </c>
      <c r="Z755" t="str">
        <f t="shared" si="185"/>
        <v/>
      </c>
      <c r="AA755" t="str">
        <f t="shared" si="186"/>
        <v/>
      </c>
      <c r="AB755" t="str">
        <f t="shared" si="187"/>
        <v/>
      </c>
      <c r="AC755" t="str">
        <f t="shared" si="188"/>
        <v/>
      </c>
      <c r="AD755" t="str">
        <f t="shared" si="189"/>
        <v/>
      </c>
    </row>
    <row r="756" spans="14:30" thickBot="1" x14ac:dyDescent="0.3">
      <c r="N756">
        <f t="shared" si="182"/>
        <v>0</v>
      </c>
      <c r="O756">
        <f t="shared" si="179"/>
        <v>0</v>
      </c>
      <c r="P756">
        <f t="shared" si="180"/>
        <v>0</v>
      </c>
      <c r="Q756">
        <f t="shared" si="181"/>
        <v>0</v>
      </c>
      <c r="X756" t="str">
        <f t="shared" si="183"/>
        <v/>
      </c>
      <c r="Y756" t="str">
        <f t="shared" si="184"/>
        <v/>
      </c>
      <c r="Z756" t="str">
        <f t="shared" si="185"/>
        <v/>
      </c>
      <c r="AA756" t="str">
        <f t="shared" si="186"/>
        <v/>
      </c>
      <c r="AB756" t="str">
        <f t="shared" si="187"/>
        <v/>
      </c>
      <c r="AC756" t="str">
        <f t="shared" si="188"/>
        <v/>
      </c>
      <c r="AD756" t="str">
        <f t="shared" si="189"/>
        <v/>
      </c>
    </row>
    <row r="757" spans="14:30" thickBot="1" x14ac:dyDescent="0.3">
      <c r="N757">
        <f t="shared" si="182"/>
        <v>0</v>
      </c>
      <c r="O757">
        <f t="shared" si="179"/>
        <v>0</v>
      </c>
      <c r="P757">
        <f t="shared" si="180"/>
        <v>0</v>
      </c>
      <c r="Q757">
        <f t="shared" si="181"/>
        <v>0</v>
      </c>
      <c r="X757" t="str">
        <f t="shared" si="183"/>
        <v/>
      </c>
      <c r="Y757" t="str">
        <f t="shared" si="184"/>
        <v/>
      </c>
      <c r="Z757" t="str">
        <f t="shared" si="185"/>
        <v/>
      </c>
      <c r="AA757" t="str">
        <f t="shared" si="186"/>
        <v/>
      </c>
      <c r="AB757" t="str">
        <f t="shared" si="187"/>
        <v/>
      </c>
      <c r="AC757" t="str">
        <f t="shared" si="188"/>
        <v/>
      </c>
      <c r="AD757" t="str">
        <f t="shared" si="189"/>
        <v/>
      </c>
    </row>
    <row r="758" spans="14:30" thickBot="1" x14ac:dyDescent="0.3">
      <c r="N758">
        <f t="shared" si="182"/>
        <v>0</v>
      </c>
      <c r="O758">
        <f t="shared" si="179"/>
        <v>0</v>
      </c>
      <c r="P758">
        <f t="shared" si="180"/>
        <v>0</v>
      </c>
      <c r="Q758">
        <f t="shared" si="181"/>
        <v>0</v>
      </c>
      <c r="X758" t="str">
        <f t="shared" si="183"/>
        <v/>
      </c>
      <c r="Y758" t="str">
        <f t="shared" si="184"/>
        <v/>
      </c>
      <c r="Z758" t="str">
        <f t="shared" si="185"/>
        <v/>
      </c>
      <c r="AA758" t="str">
        <f t="shared" si="186"/>
        <v/>
      </c>
      <c r="AB758" t="str">
        <f t="shared" si="187"/>
        <v/>
      </c>
      <c r="AC758" t="str">
        <f t="shared" si="188"/>
        <v/>
      </c>
      <c r="AD758" t="str">
        <f t="shared" si="189"/>
        <v/>
      </c>
    </row>
    <row r="759" spans="14:30" thickBot="1" x14ac:dyDescent="0.3">
      <c r="N759">
        <f t="shared" si="182"/>
        <v>0</v>
      </c>
      <c r="O759">
        <f t="shared" si="179"/>
        <v>0</v>
      </c>
      <c r="P759">
        <f t="shared" si="180"/>
        <v>0</v>
      </c>
      <c r="Q759">
        <f t="shared" si="181"/>
        <v>0</v>
      </c>
      <c r="X759" t="str">
        <f t="shared" si="183"/>
        <v/>
      </c>
      <c r="Y759" t="str">
        <f t="shared" si="184"/>
        <v/>
      </c>
      <c r="Z759" t="str">
        <f t="shared" si="185"/>
        <v/>
      </c>
      <c r="AA759" t="str">
        <f t="shared" si="186"/>
        <v/>
      </c>
      <c r="AB759" t="str">
        <f t="shared" si="187"/>
        <v/>
      </c>
      <c r="AC759" t="str">
        <f t="shared" si="188"/>
        <v/>
      </c>
      <c r="AD759" t="str">
        <f t="shared" si="189"/>
        <v/>
      </c>
    </row>
    <row r="760" spans="14:30" thickBot="1" x14ac:dyDescent="0.3">
      <c r="N760">
        <f t="shared" si="182"/>
        <v>0</v>
      </c>
      <c r="O760">
        <f t="shared" si="179"/>
        <v>0</v>
      </c>
      <c r="P760">
        <f t="shared" si="180"/>
        <v>0</v>
      </c>
      <c r="Q760">
        <f t="shared" si="181"/>
        <v>0</v>
      </c>
      <c r="X760" t="str">
        <f t="shared" si="183"/>
        <v/>
      </c>
      <c r="Y760" t="str">
        <f t="shared" si="184"/>
        <v/>
      </c>
      <c r="Z760" t="str">
        <f t="shared" si="185"/>
        <v/>
      </c>
      <c r="AA760" t="str">
        <f t="shared" si="186"/>
        <v/>
      </c>
      <c r="AB760" t="str">
        <f t="shared" si="187"/>
        <v/>
      </c>
      <c r="AC760" t="str">
        <f t="shared" si="188"/>
        <v/>
      </c>
      <c r="AD760" t="str">
        <f t="shared" si="189"/>
        <v/>
      </c>
    </row>
    <row r="761" spans="14:30" thickBot="1" x14ac:dyDescent="0.3">
      <c r="N761">
        <f t="shared" si="182"/>
        <v>0</v>
      </c>
      <c r="O761">
        <f t="shared" si="179"/>
        <v>0</v>
      </c>
      <c r="P761">
        <f t="shared" si="180"/>
        <v>0</v>
      </c>
      <c r="Q761">
        <f t="shared" si="181"/>
        <v>0</v>
      </c>
      <c r="X761" t="str">
        <f t="shared" si="183"/>
        <v/>
      </c>
      <c r="Y761" t="str">
        <f t="shared" si="184"/>
        <v/>
      </c>
      <c r="Z761" t="str">
        <f t="shared" si="185"/>
        <v/>
      </c>
      <c r="AA761" t="str">
        <f t="shared" si="186"/>
        <v/>
      </c>
      <c r="AB761" t="str">
        <f t="shared" si="187"/>
        <v/>
      </c>
      <c r="AC761" t="str">
        <f t="shared" si="188"/>
        <v/>
      </c>
      <c r="AD761" t="str">
        <f t="shared" si="189"/>
        <v/>
      </c>
    </row>
    <row r="762" spans="14:30" thickBot="1" x14ac:dyDescent="0.3">
      <c r="N762">
        <f t="shared" si="182"/>
        <v>0</v>
      </c>
      <c r="O762">
        <f t="shared" si="179"/>
        <v>0</v>
      </c>
      <c r="P762">
        <f t="shared" si="180"/>
        <v>0</v>
      </c>
      <c r="Q762">
        <f t="shared" si="181"/>
        <v>0</v>
      </c>
      <c r="X762" t="str">
        <f t="shared" si="183"/>
        <v/>
      </c>
      <c r="Y762" t="str">
        <f t="shared" si="184"/>
        <v/>
      </c>
      <c r="Z762" t="str">
        <f t="shared" si="185"/>
        <v/>
      </c>
      <c r="AA762" t="str">
        <f t="shared" si="186"/>
        <v/>
      </c>
      <c r="AB762" t="str">
        <f t="shared" si="187"/>
        <v/>
      </c>
      <c r="AC762" t="str">
        <f t="shared" si="188"/>
        <v/>
      </c>
      <c r="AD762" t="str">
        <f t="shared" si="189"/>
        <v/>
      </c>
    </row>
    <row r="763" spans="14:30" thickBot="1" x14ac:dyDescent="0.3">
      <c r="N763">
        <f t="shared" si="182"/>
        <v>0</v>
      </c>
      <c r="O763">
        <f t="shared" si="179"/>
        <v>0</v>
      </c>
      <c r="P763">
        <f t="shared" si="180"/>
        <v>0</v>
      </c>
      <c r="Q763">
        <f t="shared" si="181"/>
        <v>0</v>
      </c>
      <c r="X763" t="str">
        <f t="shared" si="183"/>
        <v/>
      </c>
      <c r="Y763" t="str">
        <f t="shared" si="184"/>
        <v/>
      </c>
      <c r="Z763" t="str">
        <f t="shared" si="185"/>
        <v/>
      </c>
      <c r="AA763" t="str">
        <f t="shared" si="186"/>
        <v/>
      </c>
      <c r="AB763" t="str">
        <f t="shared" si="187"/>
        <v/>
      </c>
      <c r="AC763" t="str">
        <f t="shared" si="188"/>
        <v/>
      </c>
      <c r="AD763" t="str">
        <f t="shared" si="189"/>
        <v/>
      </c>
    </row>
    <row r="764" spans="14:30" thickBot="1" x14ac:dyDescent="0.3">
      <c r="N764">
        <f t="shared" si="182"/>
        <v>0</v>
      </c>
      <c r="O764">
        <f t="shared" si="179"/>
        <v>0</v>
      </c>
      <c r="P764">
        <f t="shared" si="180"/>
        <v>0</v>
      </c>
      <c r="Q764">
        <f t="shared" si="181"/>
        <v>0</v>
      </c>
      <c r="X764" t="str">
        <f t="shared" si="183"/>
        <v/>
      </c>
      <c r="Y764" t="str">
        <f t="shared" si="184"/>
        <v/>
      </c>
      <c r="Z764" t="str">
        <f t="shared" si="185"/>
        <v/>
      </c>
      <c r="AA764" t="str">
        <f t="shared" si="186"/>
        <v/>
      </c>
      <c r="AB764" t="str">
        <f t="shared" si="187"/>
        <v/>
      </c>
      <c r="AC764" t="str">
        <f t="shared" si="188"/>
        <v/>
      </c>
      <c r="AD764" t="str">
        <f t="shared" si="189"/>
        <v/>
      </c>
    </row>
    <row r="765" spans="14:30" thickBot="1" x14ac:dyDescent="0.3">
      <c r="N765">
        <f t="shared" si="182"/>
        <v>0</v>
      </c>
      <c r="O765">
        <f t="shared" si="179"/>
        <v>0</v>
      </c>
      <c r="P765">
        <f t="shared" si="180"/>
        <v>0</v>
      </c>
      <c r="Q765">
        <f t="shared" si="181"/>
        <v>0</v>
      </c>
      <c r="X765" t="str">
        <f t="shared" si="183"/>
        <v/>
      </c>
      <c r="Y765" t="str">
        <f t="shared" si="184"/>
        <v/>
      </c>
      <c r="Z765" t="str">
        <f t="shared" si="185"/>
        <v/>
      </c>
      <c r="AA765" t="str">
        <f t="shared" si="186"/>
        <v/>
      </c>
      <c r="AB765" t="str">
        <f t="shared" si="187"/>
        <v/>
      </c>
      <c r="AC765" t="str">
        <f t="shared" si="188"/>
        <v/>
      </c>
      <c r="AD765" t="str">
        <f t="shared" si="189"/>
        <v/>
      </c>
    </row>
    <row r="766" spans="14:30" thickBot="1" x14ac:dyDescent="0.3">
      <c r="N766">
        <f t="shared" si="182"/>
        <v>0</v>
      </c>
      <c r="O766">
        <f t="shared" si="179"/>
        <v>0</v>
      </c>
      <c r="P766">
        <f t="shared" si="180"/>
        <v>0</v>
      </c>
      <c r="Q766">
        <f t="shared" si="181"/>
        <v>0</v>
      </c>
      <c r="X766" t="str">
        <f t="shared" si="183"/>
        <v/>
      </c>
      <c r="Y766" t="str">
        <f t="shared" si="184"/>
        <v/>
      </c>
      <c r="Z766" t="str">
        <f t="shared" si="185"/>
        <v/>
      </c>
      <c r="AA766" t="str">
        <f t="shared" si="186"/>
        <v/>
      </c>
      <c r="AB766" t="str">
        <f t="shared" si="187"/>
        <v/>
      </c>
      <c r="AC766" t="str">
        <f t="shared" si="188"/>
        <v/>
      </c>
      <c r="AD766" t="str">
        <f t="shared" si="189"/>
        <v/>
      </c>
    </row>
    <row r="767" spans="14:30" thickBot="1" x14ac:dyDescent="0.3">
      <c r="N767">
        <f t="shared" si="182"/>
        <v>0</v>
      </c>
      <c r="O767">
        <f t="shared" si="179"/>
        <v>0</v>
      </c>
      <c r="P767">
        <f t="shared" si="180"/>
        <v>0</v>
      </c>
      <c r="Q767">
        <f t="shared" si="181"/>
        <v>0</v>
      </c>
      <c r="X767" t="str">
        <f t="shared" si="183"/>
        <v/>
      </c>
      <c r="Y767" t="str">
        <f t="shared" si="184"/>
        <v/>
      </c>
      <c r="Z767" t="str">
        <f t="shared" si="185"/>
        <v/>
      </c>
      <c r="AA767" t="str">
        <f t="shared" si="186"/>
        <v/>
      </c>
      <c r="AB767" t="str">
        <f t="shared" si="187"/>
        <v/>
      </c>
      <c r="AC767" t="str">
        <f t="shared" si="188"/>
        <v/>
      </c>
      <c r="AD767" t="str">
        <f t="shared" si="189"/>
        <v/>
      </c>
    </row>
    <row r="768" spans="14:30" thickBot="1" x14ac:dyDescent="0.3">
      <c r="N768">
        <f t="shared" si="182"/>
        <v>0</v>
      </c>
      <c r="O768">
        <f t="shared" si="179"/>
        <v>0</v>
      </c>
      <c r="P768">
        <f t="shared" si="180"/>
        <v>0</v>
      </c>
      <c r="Q768">
        <f t="shared" si="181"/>
        <v>0</v>
      </c>
      <c r="X768" t="str">
        <f t="shared" si="183"/>
        <v/>
      </c>
      <c r="Y768" t="str">
        <f t="shared" si="184"/>
        <v/>
      </c>
      <c r="Z768" t="str">
        <f t="shared" si="185"/>
        <v/>
      </c>
      <c r="AA768" t="str">
        <f t="shared" si="186"/>
        <v/>
      </c>
      <c r="AB768" t="str">
        <f t="shared" si="187"/>
        <v/>
      </c>
      <c r="AC768" t="str">
        <f t="shared" si="188"/>
        <v/>
      </c>
      <c r="AD768" t="str">
        <f t="shared" si="189"/>
        <v/>
      </c>
    </row>
    <row r="769" spans="14:30" thickBot="1" x14ac:dyDescent="0.3">
      <c r="N769">
        <f t="shared" si="182"/>
        <v>0</v>
      </c>
      <c r="O769">
        <f t="shared" ref="O769:O832" si="190">B769</f>
        <v>0</v>
      </c>
      <c r="P769">
        <f t="shared" ref="P769:P832" si="191">C769</f>
        <v>0</v>
      </c>
      <c r="Q769">
        <f t="shared" ref="Q769:Q832" si="192">D769</f>
        <v>0</v>
      </c>
      <c r="X769" t="str">
        <f t="shared" si="183"/>
        <v/>
      </c>
      <c r="Y769" t="str">
        <f t="shared" si="184"/>
        <v/>
      </c>
      <c r="Z769" t="str">
        <f t="shared" si="185"/>
        <v/>
      </c>
      <c r="AA769" t="str">
        <f t="shared" si="186"/>
        <v/>
      </c>
      <c r="AB769" t="str">
        <f t="shared" si="187"/>
        <v/>
      </c>
      <c r="AC769" t="str">
        <f t="shared" si="188"/>
        <v/>
      </c>
      <c r="AD769" t="str">
        <f t="shared" si="189"/>
        <v/>
      </c>
    </row>
    <row r="770" spans="14:30" thickBot="1" x14ac:dyDescent="0.3">
      <c r="N770">
        <f t="shared" ref="N770:N833" si="193">A770</f>
        <v>0</v>
      </c>
      <c r="O770">
        <f t="shared" si="190"/>
        <v>0</v>
      </c>
      <c r="P770">
        <f t="shared" si="191"/>
        <v>0</v>
      </c>
      <c r="Q770">
        <f t="shared" si="192"/>
        <v>0</v>
      </c>
      <c r="X770" t="str">
        <f t="shared" si="183"/>
        <v/>
      </c>
      <c r="Y770" t="str">
        <f t="shared" si="184"/>
        <v/>
      </c>
      <c r="Z770" t="str">
        <f t="shared" si="185"/>
        <v/>
      </c>
      <c r="AA770" t="str">
        <f t="shared" si="186"/>
        <v/>
      </c>
      <c r="AB770" t="str">
        <f t="shared" si="187"/>
        <v/>
      </c>
      <c r="AC770" t="str">
        <f t="shared" si="188"/>
        <v/>
      </c>
      <c r="AD770" t="str">
        <f t="shared" si="189"/>
        <v/>
      </c>
    </row>
    <row r="771" spans="14:30" thickBot="1" x14ac:dyDescent="0.3">
      <c r="N771">
        <f t="shared" si="193"/>
        <v>0</v>
      </c>
      <c r="O771">
        <f t="shared" si="190"/>
        <v>0</v>
      </c>
      <c r="P771">
        <f t="shared" si="191"/>
        <v>0</v>
      </c>
      <c r="Q771">
        <f t="shared" si="192"/>
        <v>0</v>
      </c>
      <c r="X771" t="str">
        <f t="shared" si="183"/>
        <v/>
      </c>
      <c r="Y771" t="str">
        <f t="shared" si="184"/>
        <v/>
      </c>
      <c r="Z771" t="str">
        <f t="shared" si="185"/>
        <v/>
      </c>
      <c r="AA771" t="str">
        <f t="shared" si="186"/>
        <v/>
      </c>
      <c r="AB771" t="str">
        <f t="shared" si="187"/>
        <v/>
      </c>
      <c r="AC771" t="str">
        <f t="shared" si="188"/>
        <v/>
      </c>
      <c r="AD771" t="str">
        <f t="shared" si="189"/>
        <v/>
      </c>
    </row>
    <row r="772" spans="14:30" thickBot="1" x14ac:dyDescent="0.3">
      <c r="N772">
        <f t="shared" si="193"/>
        <v>0</v>
      </c>
      <c r="O772">
        <f t="shared" si="190"/>
        <v>0</v>
      </c>
      <c r="P772">
        <f t="shared" si="191"/>
        <v>0</v>
      </c>
      <c r="Q772">
        <f t="shared" si="192"/>
        <v>0</v>
      </c>
      <c r="X772" t="str">
        <f t="shared" si="183"/>
        <v/>
      </c>
      <c r="Y772" t="str">
        <f t="shared" si="184"/>
        <v/>
      </c>
      <c r="Z772" t="str">
        <f t="shared" si="185"/>
        <v/>
      </c>
      <c r="AA772" t="str">
        <f t="shared" si="186"/>
        <v/>
      </c>
      <c r="AB772" t="str">
        <f t="shared" si="187"/>
        <v/>
      </c>
      <c r="AC772" t="str">
        <f t="shared" si="188"/>
        <v/>
      </c>
      <c r="AD772" t="str">
        <f t="shared" si="189"/>
        <v/>
      </c>
    </row>
    <row r="773" spans="14:30" thickBot="1" x14ac:dyDescent="0.3">
      <c r="N773">
        <f t="shared" si="193"/>
        <v>0</v>
      </c>
      <c r="O773">
        <f t="shared" si="190"/>
        <v>0</v>
      </c>
      <c r="P773">
        <f t="shared" si="191"/>
        <v>0</v>
      </c>
      <c r="Q773">
        <f t="shared" si="192"/>
        <v>0</v>
      </c>
      <c r="X773" t="str">
        <f t="shared" si="183"/>
        <v/>
      </c>
      <c r="Y773" t="str">
        <f t="shared" si="184"/>
        <v/>
      </c>
      <c r="Z773" t="str">
        <f t="shared" si="185"/>
        <v/>
      </c>
      <c r="AA773" t="str">
        <f t="shared" si="186"/>
        <v/>
      </c>
      <c r="AB773" t="str">
        <f t="shared" si="187"/>
        <v/>
      </c>
      <c r="AC773" t="str">
        <f t="shared" si="188"/>
        <v/>
      </c>
      <c r="AD773" t="str">
        <f t="shared" si="189"/>
        <v/>
      </c>
    </row>
    <row r="774" spans="14:30" thickBot="1" x14ac:dyDescent="0.3">
      <c r="N774">
        <f t="shared" si="193"/>
        <v>0</v>
      </c>
      <c r="O774">
        <f t="shared" si="190"/>
        <v>0</v>
      </c>
      <c r="P774">
        <f t="shared" si="191"/>
        <v>0</v>
      </c>
      <c r="Q774">
        <f t="shared" si="192"/>
        <v>0</v>
      </c>
      <c r="X774" t="str">
        <f t="shared" si="183"/>
        <v/>
      </c>
      <c r="Y774" t="str">
        <f t="shared" si="184"/>
        <v/>
      </c>
      <c r="Z774" t="str">
        <f t="shared" si="185"/>
        <v/>
      </c>
      <c r="AA774" t="str">
        <f t="shared" si="186"/>
        <v/>
      </c>
      <c r="AB774" t="str">
        <f t="shared" si="187"/>
        <v/>
      </c>
      <c r="AC774" t="str">
        <f t="shared" si="188"/>
        <v/>
      </c>
      <c r="AD774" t="str">
        <f t="shared" si="189"/>
        <v/>
      </c>
    </row>
    <row r="775" spans="14:30" thickBot="1" x14ac:dyDescent="0.3">
      <c r="N775">
        <f t="shared" si="193"/>
        <v>0</v>
      </c>
      <c r="O775">
        <f t="shared" si="190"/>
        <v>0</v>
      </c>
      <c r="P775">
        <f t="shared" si="191"/>
        <v>0</v>
      </c>
      <c r="Q775">
        <f t="shared" si="192"/>
        <v>0</v>
      </c>
      <c r="X775" t="str">
        <f t="shared" si="183"/>
        <v/>
      </c>
      <c r="Y775" t="str">
        <f t="shared" si="184"/>
        <v/>
      </c>
      <c r="Z775" t="str">
        <f t="shared" si="185"/>
        <v/>
      </c>
      <c r="AA775" t="str">
        <f t="shared" si="186"/>
        <v/>
      </c>
      <c r="AB775" t="str">
        <f t="shared" si="187"/>
        <v/>
      </c>
      <c r="AC775" t="str">
        <f t="shared" si="188"/>
        <v/>
      </c>
      <c r="AD775" t="str">
        <f t="shared" si="189"/>
        <v/>
      </c>
    </row>
    <row r="776" spans="14:30" thickBot="1" x14ac:dyDescent="0.3">
      <c r="N776">
        <f t="shared" si="193"/>
        <v>0</v>
      </c>
      <c r="O776">
        <f t="shared" si="190"/>
        <v>0</v>
      </c>
      <c r="P776">
        <f t="shared" si="191"/>
        <v>0</v>
      </c>
      <c r="Q776">
        <f t="shared" si="192"/>
        <v>0</v>
      </c>
      <c r="X776" t="str">
        <f t="shared" ref="X776:X839" si="194">IF(R776="","",",")</f>
        <v/>
      </c>
      <c r="Y776" t="str">
        <f t="shared" ref="Y776:Y839" si="195">IF(S776="","",",")</f>
        <v/>
      </c>
      <c r="Z776" t="str">
        <f t="shared" ref="Z776:Z839" si="196">IF(T776="","",",")</f>
        <v/>
      </c>
      <c r="AA776" t="str">
        <f t="shared" ref="AA776:AA839" si="197">IF(U776="","",",")</f>
        <v/>
      </c>
      <c r="AB776" t="str">
        <f t="shared" ref="AB776:AB839" si="198">IF(V776="","",",")</f>
        <v/>
      </c>
      <c r="AC776" t="str">
        <f t="shared" ref="AC776:AC839" si="199">IF(W776="","",",")</f>
        <v/>
      </c>
      <c r="AD776" t="str">
        <f t="shared" ref="AD776:AD839" si="200">IF(X776="","",",")</f>
        <v/>
      </c>
    </row>
    <row r="777" spans="14:30" thickBot="1" x14ac:dyDescent="0.3">
      <c r="N777">
        <f t="shared" si="193"/>
        <v>0</v>
      </c>
      <c r="O777">
        <f t="shared" si="190"/>
        <v>0</v>
      </c>
      <c r="P777">
        <f t="shared" si="191"/>
        <v>0</v>
      </c>
      <c r="Q777">
        <f t="shared" si="192"/>
        <v>0</v>
      </c>
      <c r="X777" t="str">
        <f t="shared" si="194"/>
        <v/>
      </c>
      <c r="Y777" t="str">
        <f t="shared" si="195"/>
        <v/>
      </c>
      <c r="Z777" t="str">
        <f t="shared" si="196"/>
        <v/>
      </c>
      <c r="AA777" t="str">
        <f t="shared" si="197"/>
        <v/>
      </c>
      <c r="AB777" t="str">
        <f t="shared" si="198"/>
        <v/>
      </c>
      <c r="AC777" t="str">
        <f t="shared" si="199"/>
        <v/>
      </c>
      <c r="AD777" t="str">
        <f t="shared" si="200"/>
        <v/>
      </c>
    </row>
    <row r="778" spans="14:30" thickBot="1" x14ac:dyDescent="0.3">
      <c r="N778">
        <f t="shared" si="193"/>
        <v>0</v>
      </c>
      <c r="O778">
        <f t="shared" si="190"/>
        <v>0</v>
      </c>
      <c r="P778">
        <f t="shared" si="191"/>
        <v>0</v>
      </c>
      <c r="Q778">
        <f t="shared" si="192"/>
        <v>0</v>
      </c>
      <c r="X778" t="str">
        <f t="shared" si="194"/>
        <v/>
      </c>
      <c r="Y778" t="str">
        <f t="shared" si="195"/>
        <v/>
      </c>
      <c r="Z778" t="str">
        <f t="shared" si="196"/>
        <v/>
      </c>
      <c r="AA778" t="str">
        <f t="shared" si="197"/>
        <v/>
      </c>
      <c r="AB778" t="str">
        <f t="shared" si="198"/>
        <v/>
      </c>
      <c r="AC778" t="str">
        <f t="shared" si="199"/>
        <v/>
      </c>
      <c r="AD778" t="str">
        <f t="shared" si="200"/>
        <v/>
      </c>
    </row>
    <row r="779" spans="14:30" thickBot="1" x14ac:dyDescent="0.3">
      <c r="N779">
        <f t="shared" si="193"/>
        <v>0</v>
      </c>
      <c r="O779">
        <f t="shared" si="190"/>
        <v>0</v>
      </c>
      <c r="P779">
        <f t="shared" si="191"/>
        <v>0</v>
      </c>
      <c r="Q779">
        <f t="shared" si="192"/>
        <v>0</v>
      </c>
      <c r="X779" t="str">
        <f t="shared" si="194"/>
        <v/>
      </c>
      <c r="Y779" t="str">
        <f t="shared" si="195"/>
        <v/>
      </c>
      <c r="Z779" t="str">
        <f t="shared" si="196"/>
        <v/>
      </c>
      <c r="AA779" t="str">
        <f t="shared" si="197"/>
        <v/>
      </c>
      <c r="AB779" t="str">
        <f t="shared" si="198"/>
        <v/>
      </c>
      <c r="AC779" t="str">
        <f t="shared" si="199"/>
        <v/>
      </c>
      <c r="AD779" t="str">
        <f t="shared" si="200"/>
        <v/>
      </c>
    </row>
    <row r="780" spans="14:30" thickBot="1" x14ac:dyDescent="0.3">
      <c r="N780">
        <f t="shared" si="193"/>
        <v>0</v>
      </c>
      <c r="O780">
        <f t="shared" si="190"/>
        <v>0</v>
      </c>
      <c r="P780">
        <f t="shared" si="191"/>
        <v>0</v>
      </c>
      <c r="Q780">
        <f t="shared" si="192"/>
        <v>0</v>
      </c>
      <c r="X780" t="str">
        <f t="shared" si="194"/>
        <v/>
      </c>
      <c r="Y780" t="str">
        <f t="shared" si="195"/>
        <v/>
      </c>
      <c r="Z780" t="str">
        <f t="shared" si="196"/>
        <v/>
      </c>
      <c r="AA780" t="str">
        <f t="shared" si="197"/>
        <v/>
      </c>
      <c r="AB780" t="str">
        <f t="shared" si="198"/>
        <v/>
      </c>
      <c r="AC780" t="str">
        <f t="shared" si="199"/>
        <v/>
      </c>
      <c r="AD780" t="str">
        <f t="shared" si="200"/>
        <v/>
      </c>
    </row>
    <row r="781" spans="14:30" thickBot="1" x14ac:dyDescent="0.3">
      <c r="N781">
        <f t="shared" si="193"/>
        <v>0</v>
      </c>
      <c r="O781">
        <f t="shared" si="190"/>
        <v>0</v>
      </c>
      <c r="P781">
        <f t="shared" si="191"/>
        <v>0</v>
      </c>
      <c r="Q781">
        <f t="shared" si="192"/>
        <v>0</v>
      </c>
      <c r="X781" t="str">
        <f t="shared" si="194"/>
        <v/>
      </c>
      <c r="Y781" t="str">
        <f t="shared" si="195"/>
        <v/>
      </c>
      <c r="Z781" t="str">
        <f t="shared" si="196"/>
        <v/>
      </c>
      <c r="AA781" t="str">
        <f t="shared" si="197"/>
        <v/>
      </c>
      <c r="AB781" t="str">
        <f t="shared" si="198"/>
        <v/>
      </c>
      <c r="AC781" t="str">
        <f t="shared" si="199"/>
        <v/>
      </c>
      <c r="AD781" t="str">
        <f t="shared" si="200"/>
        <v/>
      </c>
    </row>
    <row r="782" spans="14:30" thickBot="1" x14ac:dyDescent="0.3">
      <c r="N782">
        <f t="shared" si="193"/>
        <v>0</v>
      </c>
      <c r="O782">
        <f t="shared" si="190"/>
        <v>0</v>
      </c>
      <c r="P782">
        <f t="shared" si="191"/>
        <v>0</v>
      </c>
      <c r="Q782">
        <f t="shared" si="192"/>
        <v>0</v>
      </c>
      <c r="X782" t="str">
        <f t="shared" si="194"/>
        <v/>
      </c>
      <c r="Y782" t="str">
        <f t="shared" si="195"/>
        <v/>
      </c>
      <c r="Z782" t="str">
        <f t="shared" si="196"/>
        <v/>
      </c>
      <c r="AA782" t="str">
        <f t="shared" si="197"/>
        <v/>
      </c>
      <c r="AB782" t="str">
        <f t="shared" si="198"/>
        <v/>
      </c>
      <c r="AC782" t="str">
        <f t="shared" si="199"/>
        <v/>
      </c>
      <c r="AD782" t="str">
        <f t="shared" si="200"/>
        <v/>
      </c>
    </row>
    <row r="783" spans="14:30" thickBot="1" x14ac:dyDescent="0.3">
      <c r="N783">
        <f t="shared" si="193"/>
        <v>0</v>
      </c>
      <c r="O783">
        <f t="shared" si="190"/>
        <v>0</v>
      </c>
      <c r="P783">
        <f t="shared" si="191"/>
        <v>0</v>
      </c>
      <c r="Q783">
        <f t="shared" si="192"/>
        <v>0</v>
      </c>
      <c r="X783" t="str">
        <f t="shared" si="194"/>
        <v/>
      </c>
      <c r="Y783" t="str">
        <f t="shared" si="195"/>
        <v/>
      </c>
      <c r="Z783" t="str">
        <f t="shared" si="196"/>
        <v/>
      </c>
      <c r="AA783" t="str">
        <f t="shared" si="197"/>
        <v/>
      </c>
      <c r="AB783" t="str">
        <f t="shared" si="198"/>
        <v/>
      </c>
      <c r="AC783" t="str">
        <f t="shared" si="199"/>
        <v/>
      </c>
      <c r="AD783" t="str">
        <f t="shared" si="200"/>
        <v/>
      </c>
    </row>
    <row r="784" spans="14:30" thickBot="1" x14ac:dyDescent="0.3">
      <c r="N784">
        <f t="shared" si="193"/>
        <v>0</v>
      </c>
      <c r="O784">
        <f t="shared" si="190"/>
        <v>0</v>
      </c>
      <c r="P784">
        <f t="shared" si="191"/>
        <v>0</v>
      </c>
      <c r="Q784">
        <f t="shared" si="192"/>
        <v>0</v>
      </c>
      <c r="X784" t="str">
        <f t="shared" si="194"/>
        <v/>
      </c>
      <c r="Y784" t="str">
        <f t="shared" si="195"/>
        <v/>
      </c>
      <c r="Z784" t="str">
        <f t="shared" si="196"/>
        <v/>
      </c>
      <c r="AA784" t="str">
        <f t="shared" si="197"/>
        <v/>
      </c>
      <c r="AB784" t="str">
        <f t="shared" si="198"/>
        <v/>
      </c>
      <c r="AC784" t="str">
        <f t="shared" si="199"/>
        <v/>
      </c>
      <c r="AD784" t="str">
        <f t="shared" si="200"/>
        <v/>
      </c>
    </row>
    <row r="785" spans="14:30" thickBot="1" x14ac:dyDescent="0.3">
      <c r="N785">
        <f t="shared" si="193"/>
        <v>0</v>
      </c>
      <c r="O785">
        <f t="shared" si="190"/>
        <v>0</v>
      </c>
      <c r="P785">
        <f t="shared" si="191"/>
        <v>0</v>
      </c>
      <c r="Q785">
        <f t="shared" si="192"/>
        <v>0</v>
      </c>
      <c r="X785" t="str">
        <f t="shared" si="194"/>
        <v/>
      </c>
      <c r="Y785" t="str">
        <f t="shared" si="195"/>
        <v/>
      </c>
      <c r="Z785" t="str">
        <f t="shared" si="196"/>
        <v/>
      </c>
      <c r="AA785" t="str">
        <f t="shared" si="197"/>
        <v/>
      </c>
      <c r="AB785" t="str">
        <f t="shared" si="198"/>
        <v/>
      </c>
      <c r="AC785" t="str">
        <f t="shared" si="199"/>
        <v/>
      </c>
      <c r="AD785" t="str">
        <f t="shared" si="200"/>
        <v/>
      </c>
    </row>
    <row r="786" spans="14:30" thickBot="1" x14ac:dyDescent="0.3">
      <c r="N786">
        <f t="shared" si="193"/>
        <v>0</v>
      </c>
      <c r="O786">
        <f t="shared" si="190"/>
        <v>0</v>
      </c>
      <c r="P786">
        <f t="shared" si="191"/>
        <v>0</v>
      </c>
      <c r="Q786">
        <f t="shared" si="192"/>
        <v>0</v>
      </c>
      <c r="X786" t="str">
        <f t="shared" si="194"/>
        <v/>
      </c>
      <c r="Y786" t="str">
        <f t="shared" si="195"/>
        <v/>
      </c>
      <c r="Z786" t="str">
        <f t="shared" si="196"/>
        <v/>
      </c>
      <c r="AA786" t="str">
        <f t="shared" si="197"/>
        <v/>
      </c>
      <c r="AB786" t="str">
        <f t="shared" si="198"/>
        <v/>
      </c>
      <c r="AC786" t="str">
        <f t="shared" si="199"/>
        <v/>
      </c>
      <c r="AD786" t="str">
        <f t="shared" si="200"/>
        <v/>
      </c>
    </row>
    <row r="787" spans="14:30" thickBot="1" x14ac:dyDescent="0.3">
      <c r="N787">
        <f t="shared" si="193"/>
        <v>0</v>
      </c>
      <c r="O787">
        <f t="shared" si="190"/>
        <v>0</v>
      </c>
      <c r="P787">
        <f t="shared" si="191"/>
        <v>0</v>
      </c>
      <c r="Q787">
        <f t="shared" si="192"/>
        <v>0</v>
      </c>
      <c r="X787" t="str">
        <f t="shared" si="194"/>
        <v/>
      </c>
      <c r="Y787" t="str">
        <f t="shared" si="195"/>
        <v/>
      </c>
      <c r="Z787" t="str">
        <f t="shared" si="196"/>
        <v/>
      </c>
      <c r="AA787" t="str">
        <f t="shared" si="197"/>
        <v/>
      </c>
      <c r="AB787" t="str">
        <f t="shared" si="198"/>
        <v/>
      </c>
      <c r="AC787" t="str">
        <f t="shared" si="199"/>
        <v/>
      </c>
      <c r="AD787" t="str">
        <f t="shared" si="200"/>
        <v/>
      </c>
    </row>
    <row r="788" spans="14:30" thickBot="1" x14ac:dyDescent="0.3">
      <c r="N788">
        <f t="shared" si="193"/>
        <v>0</v>
      </c>
      <c r="O788">
        <f t="shared" si="190"/>
        <v>0</v>
      </c>
      <c r="P788">
        <f t="shared" si="191"/>
        <v>0</v>
      </c>
      <c r="Q788">
        <f t="shared" si="192"/>
        <v>0</v>
      </c>
      <c r="X788" t="str">
        <f t="shared" si="194"/>
        <v/>
      </c>
      <c r="Y788" t="str">
        <f t="shared" si="195"/>
        <v/>
      </c>
      <c r="Z788" t="str">
        <f t="shared" si="196"/>
        <v/>
      </c>
      <c r="AA788" t="str">
        <f t="shared" si="197"/>
        <v/>
      </c>
      <c r="AB788" t="str">
        <f t="shared" si="198"/>
        <v/>
      </c>
      <c r="AC788" t="str">
        <f t="shared" si="199"/>
        <v/>
      </c>
      <c r="AD788" t="str">
        <f t="shared" si="200"/>
        <v/>
      </c>
    </row>
    <row r="789" spans="14:30" thickBot="1" x14ac:dyDescent="0.3">
      <c r="N789">
        <f t="shared" si="193"/>
        <v>0</v>
      </c>
      <c r="O789">
        <f t="shared" si="190"/>
        <v>0</v>
      </c>
      <c r="P789">
        <f t="shared" si="191"/>
        <v>0</v>
      </c>
      <c r="Q789">
        <f t="shared" si="192"/>
        <v>0</v>
      </c>
      <c r="X789" t="str">
        <f t="shared" si="194"/>
        <v/>
      </c>
      <c r="Y789" t="str">
        <f t="shared" si="195"/>
        <v/>
      </c>
      <c r="Z789" t="str">
        <f t="shared" si="196"/>
        <v/>
      </c>
      <c r="AA789" t="str">
        <f t="shared" si="197"/>
        <v/>
      </c>
      <c r="AB789" t="str">
        <f t="shared" si="198"/>
        <v/>
      </c>
      <c r="AC789" t="str">
        <f t="shared" si="199"/>
        <v/>
      </c>
      <c r="AD789" t="str">
        <f t="shared" si="200"/>
        <v/>
      </c>
    </row>
    <row r="790" spans="14:30" thickBot="1" x14ac:dyDescent="0.3">
      <c r="N790">
        <f t="shared" si="193"/>
        <v>0</v>
      </c>
      <c r="O790">
        <f t="shared" si="190"/>
        <v>0</v>
      </c>
      <c r="P790">
        <f t="shared" si="191"/>
        <v>0</v>
      </c>
      <c r="Q790">
        <f t="shared" si="192"/>
        <v>0</v>
      </c>
      <c r="X790" t="str">
        <f t="shared" si="194"/>
        <v/>
      </c>
      <c r="Y790" t="str">
        <f t="shared" si="195"/>
        <v/>
      </c>
      <c r="Z790" t="str">
        <f t="shared" si="196"/>
        <v/>
      </c>
      <c r="AA790" t="str">
        <f t="shared" si="197"/>
        <v/>
      </c>
      <c r="AB790" t="str">
        <f t="shared" si="198"/>
        <v/>
      </c>
      <c r="AC790" t="str">
        <f t="shared" si="199"/>
        <v/>
      </c>
      <c r="AD790" t="str">
        <f t="shared" si="200"/>
        <v/>
      </c>
    </row>
    <row r="791" spans="14:30" thickBot="1" x14ac:dyDescent="0.3">
      <c r="N791">
        <f t="shared" si="193"/>
        <v>0</v>
      </c>
      <c r="O791">
        <f t="shared" si="190"/>
        <v>0</v>
      </c>
      <c r="P791">
        <f t="shared" si="191"/>
        <v>0</v>
      </c>
      <c r="Q791">
        <f t="shared" si="192"/>
        <v>0</v>
      </c>
      <c r="X791" t="str">
        <f t="shared" si="194"/>
        <v/>
      </c>
      <c r="Y791" t="str">
        <f t="shared" si="195"/>
        <v/>
      </c>
      <c r="Z791" t="str">
        <f t="shared" si="196"/>
        <v/>
      </c>
      <c r="AA791" t="str">
        <f t="shared" si="197"/>
        <v/>
      </c>
      <c r="AB791" t="str">
        <f t="shared" si="198"/>
        <v/>
      </c>
      <c r="AC791" t="str">
        <f t="shared" si="199"/>
        <v/>
      </c>
      <c r="AD791" t="str">
        <f t="shared" si="200"/>
        <v/>
      </c>
    </row>
    <row r="792" spans="14:30" thickBot="1" x14ac:dyDescent="0.3">
      <c r="N792">
        <f t="shared" si="193"/>
        <v>0</v>
      </c>
      <c r="O792">
        <f t="shared" si="190"/>
        <v>0</v>
      </c>
      <c r="P792">
        <f t="shared" si="191"/>
        <v>0</v>
      </c>
      <c r="Q792">
        <f t="shared" si="192"/>
        <v>0</v>
      </c>
      <c r="X792" t="str">
        <f t="shared" si="194"/>
        <v/>
      </c>
      <c r="Y792" t="str">
        <f t="shared" si="195"/>
        <v/>
      </c>
      <c r="Z792" t="str">
        <f t="shared" si="196"/>
        <v/>
      </c>
      <c r="AA792" t="str">
        <f t="shared" si="197"/>
        <v/>
      </c>
      <c r="AB792" t="str">
        <f t="shared" si="198"/>
        <v/>
      </c>
      <c r="AC792" t="str">
        <f t="shared" si="199"/>
        <v/>
      </c>
      <c r="AD792" t="str">
        <f t="shared" si="200"/>
        <v/>
      </c>
    </row>
    <row r="793" spans="14:30" thickBot="1" x14ac:dyDescent="0.3">
      <c r="N793">
        <f t="shared" si="193"/>
        <v>0</v>
      </c>
      <c r="O793">
        <f t="shared" si="190"/>
        <v>0</v>
      </c>
      <c r="P793">
        <f t="shared" si="191"/>
        <v>0</v>
      </c>
      <c r="Q793">
        <f t="shared" si="192"/>
        <v>0</v>
      </c>
      <c r="X793" t="str">
        <f t="shared" si="194"/>
        <v/>
      </c>
      <c r="Y793" t="str">
        <f t="shared" si="195"/>
        <v/>
      </c>
      <c r="Z793" t="str">
        <f t="shared" si="196"/>
        <v/>
      </c>
      <c r="AA793" t="str">
        <f t="shared" si="197"/>
        <v/>
      </c>
      <c r="AB793" t="str">
        <f t="shared" si="198"/>
        <v/>
      </c>
      <c r="AC793" t="str">
        <f t="shared" si="199"/>
        <v/>
      </c>
      <c r="AD793" t="str">
        <f t="shared" si="200"/>
        <v/>
      </c>
    </row>
    <row r="794" spans="14:30" thickBot="1" x14ac:dyDescent="0.3">
      <c r="N794">
        <f t="shared" si="193"/>
        <v>0</v>
      </c>
      <c r="O794">
        <f t="shared" si="190"/>
        <v>0</v>
      </c>
      <c r="P794">
        <f t="shared" si="191"/>
        <v>0</v>
      </c>
      <c r="Q794">
        <f t="shared" si="192"/>
        <v>0</v>
      </c>
      <c r="X794" t="str">
        <f t="shared" si="194"/>
        <v/>
      </c>
      <c r="Y794" t="str">
        <f t="shared" si="195"/>
        <v/>
      </c>
      <c r="Z794" t="str">
        <f t="shared" si="196"/>
        <v/>
      </c>
      <c r="AA794" t="str">
        <f t="shared" si="197"/>
        <v/>
      </c>
      <c r="AB794" t="str">
        <f t="shared" si="198"/>
        <v/>
      </c>
      <c r="AC794" t="str">
        <f t="shared" si="199"/>
        <v/>
      </c>
      <c r="AD794" t="str">
        <f t="shared" si="200"/>
        <v/>
      </c>
    </row>
    <row r="795" spans="14:30" thickBot="1" x14ac:dyDescent="0.3">
      <c r="N795">
        <f t="shared" si="193"/>
        <v>0</v>
      </c>
      <c r="O795">
        <f t="shared" si="190"/>
        <v>0</v>
      </c>
      <c r="P795">
        <f t="shared" si="191"/>
        <v>0</v>
      </c>
      <c r="Q795">
        <f t="shared" si="192"/>
        <v>0</v>
      </c>
      <c r="X795" t="str">
        <f t="shared" si="194"/>
        <v/>
      </c>
      <c r="Y795" t="str">
        <f t="shared" si="195"/>
        <v/>
      </c>
      <c r="Z795" t="str">
        <f t="shared" si="196"/>
        <v/>
      </c>
      <c r="AA795" t="str">
        <f t="shared" si="197"/>
        <v/>
      </c>
      <c r="AB795" t="str">
        <f t="shared" si="198"/>
        <v/>
      </c>
      <c r="AC795" t="str">
        <f t="shared" si="199"/>
        <v/>
      </c>
      <c r="AD795" t="str">
        <f t="shared" si="200"/>
        <v/>
      </c>
    </row>
    <row r="796" spans="14:30" thickBot="1" x14ac:dyDescent="0.3">
      <c r="N796">
        <f t="shared" si="193"/>
        <v>0</v>
      </c>
      <c r="O796">
        <f t="shared" si="190"/>
        <v>0</v>
      </c>
      <c r="P796">
        <f t="shared" si="191"/>
        <v>0</v>
      </c>
      <c r="Q796">
        <f t="shared" si="192"/>
        <v>0</v>
      </c>
      <c r="X796" t="str">
        <f t="shared" si="194"/>
        <v/>
      </c>
      <c r="Y796" t="str">
        <f t="shared" si="195"/>
        <v/>
      </c>
      <c r="Z796" t="str">
        <f t="shared" si="196"/>
        <v/>
      </c>
      <c r="AA796" t="str">
        <f t="shared" si="197"/>
        <v/>
      </c>
      <c r="AB796" t="str">
        <f t="shared" si="198"/>
        <v/>
      </c>
      <c r="AC796" t="str">
        <f t="shared" si="199"/>
        <v/>
      </c>
      <c r="AD796" t="str">
        <f t="shared" si="200"/>
        <v/>
      </c>
    </row>
    <row r="797" spans="14:30" thickBot="1" x14ac:dyDescent="0.3">
      <c r="N797">
        <f t="shared" si="193"/>
        <v>0</v>
      </c>
      <c r="O797">
        <f t="shared" si="190"/>
        <v>0</v>
      </c>
      <c r="P797">
        <f t="shared" si="191"/>
        <v>0</v>
      </c>
      <c r="Q797">
        <f t="shared" si="192"/>
        <v>0</v>
      </c>
      <c r="X797" t="str">
        <f t="shared" si="194"/>
        <v/>
      </c>
      <c r="Y797" t="str">
        <f t="shared" si="195"/>
        <v/>
      </c>
      <c r="Z797" t="str">
        <f t="shared" si="196"/>
        <v/>
      </c>
      <c r="AA797" t="str">
        <f t="shared" si="197"/>
        <v/>
      </c>
      <c r="AB797" t="str">
        <f t="shared" si="198"/>
        <v/>
      </c>
      <c r="AC797" t="str">
        <f t="shared" si="199"/>
        <v/>
      </c>
      <c r="AD797" t="str">
        <f t="shared" si="200"/>
        <v/>
      </c>
    </row>
    <row r="798" spans="14:30" thickBot="1" x14ac:dyDescent="0.3">
      <c r="N798">
        <f t="shared" si="193"/>
        <v>0</v>
      </c>
      <c r="O798">
        <f t="shared" si="190"/>
        <v>0</v>
      </c>
      <c r="P798">
        <f t="shared" si="191"/>
        <v>0</v>
      </c>
      <c r="Q798">
        <f t="shared" si="192"/>
        <v>0</v>
      </c>
      <c r="X798" t="str">
        <f t="shared" si="194"/>
        <v/>
      </c>
      <c r="Y798" t="str">
        <f t="shared" si="195"/>
        <v/>
      </c>
      <c r="Z798" t="str">
        <f t="shared" si="196"/>
        <v/>
      </c>
      <c r="AA798" t="str">
        <f t="shared" si="197"/>
        <v/>
      </c>
      <c r="AB798" t="str">
        <f t="shared" si="198"/>
        <v/>
      </c>
      <c r="AC798" t="str">
        <f t="shared" si="199"/>
        <v/>
      </c>
      <c r="AD798" t="str">
        <f t="shared" si="200"/>
        <v/>
      </c>
    </row>
    <row r="799" spans="14:30" thickBot="1" x14ac:dyDescent="0.3">
      <c r="N799">
        <f t="shared" si="193"/>
        <v>0</v>
      </c>
      <c r="O799">
        <f t="shared" si="190"/>
        <v>0</v>
      </c>
      <c r="P799">
        <f t="shared" si="191"/>
        <v>0</v>
      </c>
      <c r="Q799">
        <f t="shared" si="192"/>
        <v>0</v>
      </c>
      <c r="X799" t="str">
        <f t="shared" si="194"/>
        <v/>
      </c>
      <c r="Y799" t="str">
        <f t="shared" si="195"/>
        <v/>
      </c>
      <c r="Z799" t="str">
        <f t="shared" si="196"/>
        <v/>
      </c>
      <c r="AA799" t="str">
        <f t="shared" si="197"/>
        <v/>
      </c>
      <c r="AB799" t="str">
        <f t="shared" si="198"/>
        <v/>
      </c>
      <c r="AC799" t="str">
        <f t="shared" si="199"/>
        <v/>
      </c>
      <c r="AD799" t="str">
        <f t="shared" si="200"/>
        <v/>
      </c>
    </row>
    <row r="800" spans="14:30" thickBot="1" x14ac:dyDescent="0.3">
      <c r="N800">
        <f t="shared" si="193"/>
        <v>0</v>
      </c>
      <c r="O800">
        <f t="shared" si="190"/>
        <v>0</v>
      </c>
      <c r="P800">
        <f t="shared" si="191"/>
        <v>0</v>
      </c>
      <c r="Q800">
        <f t="shared" si="192"/>
        <v>0</v>
      </c>
      <c r="X800" t="str">
        <f t="shared" si="194"/>
        <v/>
      </c>
      <c r="Y800" t="str">
        <f t="shared" si="195"/>
        <v/>
      </c>
      <c r="Z800" t="str">
        <f t="shared" si="196"/>
        <v/>
      </c>
      <c r="AA800" t="str">
        <f t="shared" si="197"/>
        <v/>
      </c>
      <c r="AB800" t="str">
        <f t="shared" si="198"/>
        <v/>
      </c>
      <c r="AC800" t="str">
        <f t="shared" si="199"/>
        <v/>
      </c>
      <c r="AD800" t="str">
        <f t="shared" si="200"/>
        <v/>
      </c>
    </row>
    <row r="801" spans="14:30" thickBot="1" x14ac:dyDescent="0.3">
      <c r="N801">
        <f t="shared" si="193"/>
        <v>0</v>
      </c>
      <c r="O801">
        <f t="shared" si="190"/>
        <v>0</v>
      </c>
      <c r="P801">
        <f t="shared" si="191"/>
        <v>0</v>
      </c>
      <c r="Q801">
        <f t="shared" si="192"/>
        <v>0</v>
      </c>
      <c r="X801" t="str">
        <f t="shared" si="194"/>
        <v/>
      </c>
      <c r="Y801" t="str">
        <f t="shared" si="195"/>
        <v/>
      </c>
      <c r="Z801" t="str">
        <f t="shared" si="196"/>
        <v/>
      </c>
      <c r="AA801" t="str">
        <f t="shared" si="197"/>
        <v/>
      </c>
      <c r="AB801" t="str">
        <f t="shared" si="198"/>
        <v/>
      </c>
      <c r="AC801" t="str">
        <f t="shared" si="199"/>
        <v/>
      </c>
      <c r="AD801" t="str">
        <f t="shared" si="200"/>
        <v/>
      </c>
    </row>
    <row r="802" spans="14:30" thickBot="1" x14ac:dyDescent="0.3">
      <c r="N802">
        <f t="shared" si="193"/>
        <v>0</v>
      </c>
      <c r="O802">
        <f t="shared" si="190"/>
        <v>0</v>
      </c>
      <c r="P802">
        <f t="shared" si="191"/>
        <v>0</v>
      </c>
      <c r="Q802">
        <f t="shared" si="192"/>
        <v>0</v>
      </c>
      <c r="X802" t="str">
        <f t="shared" si="194"/>
        <v/>
      </c>
      <c r="Y802" t="str">
        <f t="shared" si="195"/>
        <v/>
      </c>
      <c r="Z802" t="str">
        <f t="shared" si="196"/>
        <v/>
      </c>
      <c r="AA802" t="str">
        <f t="shared" si="197"/>
        <v/>
      </c>
      <c r="AB802" t="str">
        <f t="shared" si="198"/>
        <v/>
      </c>
      <c r="AC802" t="str">
        <f t="shared" si="199"/>
        <v/>
      </c>
      <c r="AD802" t="str">
        <f t="shared" si="200"/>
        <v/>
      </c>
    </row>
    <row r="803" spans="14:30" thickBot="1" x14ac:dyDescent="0.3">
      <c r="N803">
        <f t="shared" si="193"/>
        <v>0</v>
      </c>
      <c r="O803">
        <f t="shared" si="190"/>
        <v>0</v>
      </c>
      <c r="P803">
        <f t="shared" si="191"/>
        <v>0</v>
      </c>
      <c r="Q803">
        <f t="shared" si="192"/>
        <v>0</v>
      </c>
      <c r="X803" t="str">
        <f t="shared" si="194"/>
        <v/>
      </c>
      <c r="Y803" t="str">
        <f t="shared" si="195"/>
        <v/>
      </c>
      <c r="Z803" t="str">
        <f t="shared" si="196"/>
        <v/>
      </c>
      <c r="AA803" t="str">
        <f t="shared" si="197"/>
        <v/>
      </c>
      <c r="AB803" t="str">
        <f t="shared" si="198"/>
        <v/>
      </c>
      <c r="AC803" t="str">
        <f t="shared" si="199"/>
        <v/>
      </c>
      <c r="AD803" t="str">
        <f t="shared" si="200"/>
        <v/>
      </c>
    </row>
    <row r="804" spans="14:30" thickBot="1" x14ac:dyDescent="0.3">
      <c r="N804">
        <f t="shared" si="193"/>
        <v>0</v>
      </c>
      <c r="O804">
        <f t="shared" si="190"/>
        <v>0</v>
      </c>
      <c r="P804">
        <f t="shared" si="191"/>
        <v>0</v>
      </c>
      <c r="Q804">
        <f t="shared" si="192"/>
        <v>0</v>
      </c>
      <c r="X804" t="str">
        <f t="shared" si="194"/>
        <v/>
      </c>
      <c r="Y804" t="str">
        <f t="shared" si="195"/>
        <v/>
      </c>
      <c r="Z804" t="str">
        <f t="shared" si="196"/>
        <v/>
      </c>
      <c r="AA804" t="str">
        <f t="shared" si="197"/>
        <v/>
      </c>
      <c r="AB804" t="str">
        <f t="shared" si="198"/>
        <v/>
      </c>
      <c r="AC804" t="str">
        <f t="shared" si="199"/>
        <v/>
      </c>
      <c r="AD804" t="str">
        <f t="shared" si="200"/>
        <v/>
      </c>
    </row>
    <row r="805" spans="14:30" thickBot="1" x14ac:dyDescent="0.3">
      <c r="N805">
        <f t="shared" si="193"/>
        <v>0</v>
      </c>
      <c r="O805">
        <f t="shared" si="190"/>
        <v>0</v>
      </c>
      <c r="P805">
        <f t="shared" si="191"/>
        <v>0</v>
      </c>
      <c r="Q805">
        <f t="shared" si="192"/>
        <v>0</v>
      </c>
      <c r="X805" t="str">
        <f t="shared" si="194"/>
        <v/>
      </c>
      <c r="Y805" t="str">
        <f t="shared" si="195"/>
        <v/>
      </c>
      <c r="Z805" t="str">
        <f t="shared" si="196"/>
        <v/>
      </c>
      <c r="AA805" t="str">
        <f t="shared" si="197"/>
        <v/>
      </c>
      <c r="AB805" t="str">
        <f t="shared" si="198"/>
        <v/>
      </c>
      <c r="AC805" t="str">
        <f t="shared" si="199"/>
        <v/>
      </c>
      <c r="AD805" t="str">
        <f t="shared" si="200"/>
        <v/>
      </c>
    </row>
    <row r="806" spans="14:30" thickBot="1" x14ac:dyDescent="0.3">
      <c r="N806">
        <f t="shared" si="193"/>
        <v>0</v>
      </c>
      <c r="O806">
        <f t="shared" si="190"/>
        <v>0</v>
      </c>
      <c r="P806">
        <f t="shared" si="191"/>
        <v>0</v>
      </c>
      <c r="Q806">
        <f t="shared" si="192"/>
        <v>0</v>
      </c>
      <c r="X806" t="str">
        <f t="shared" si="194"/>
        <v/>
      </c>
      <c r="Y806" t="str">
        <f t="shared" si="195"/>
        <v/>
      </c>
      <c r="Z806" t="str">
        <f t="shared" si="196"/>
        <v/>
      </c>
      <c r="AA806" t="str">
        <f t="shared" si="197"/>
        <v/>
      </c>
      <c r="AB806" t="str">
        <f t="shared" si="198"/>
        <v/>
      </c>
      <c r="AC806" t="str">
        <f t="shared" si="199"/>
        <v/>
      </c>
      <c r="AD806" t="str">
        <f t="shared" si="200"/>
        <v/>
      </c>
    </row>
    <row r="807" spans="14:30" thickBot="1" x14ac:dyDescent="0.3">
      <c r="N807">
        <f t="shared" si="193"/>
        <v>0</v>
      </c>
      <c r="O807">
        <f t="shared" si="190"/>
        <v>0</v>
      </c>
      <c r="P807">
        <f t="shared" si="191"/>
        <v>0</v>
      </c>
      <c r="Q807">
        <f t="shared" si="192"/>
        <v>0</v>
      </c>
      <c r="X807" t="str">
        <f t="shared" si="194"/>
        <v/>
      </c>
      <c r="Y807" t="str">
        <f t="shared" si="195"/>
        <v/>
      </c>
      <c r="Z807" t="str">
        <f t="shared" si="196"/>
        <v/>
      </c>
      <c r="AA807" t="str">
        <f t="shared" si="197"/>
        <v/>
      </c>
      <c r="AB807" t="str">
        <f t="shared" si="198"/>
        <v/>
      </c>
      <c r="AC807" t="str">
        <f t="shared" si="199"/>
        <v/>
      </c>
      <c r="AD807" t="str">
        <f t="shared" si="200"/>
        <v/>
      </c>
    </row>
    <row r="808" spans="14:30" thickBot="1" x14ac:dyDescent="0.3">
      <c r="N808">
        <f t="shared" si="193"/>
        <v>0</v>
      </c>
      <c r="O808">
        <f t="shared" si="190"/>
        <v>0</v>
      </c>
      <c r="P808">
        <f t="shared" si="191"/>
        <v>0</v>
      </c>
      <c r="Q808">
        <f t="shared" si="192"/>
        <v>0</v>
      </c>
      <c r="X808" t="str">
        <f t="shared" si="194"/>
        <v/>
      </c>
      <c r="Y808" t="str">
        <f t="shared" si="195"/>
        <v/>
      </c>
      <c r="Z808" t="str">
        <f t="shared" si="196"/>
        <v/>
      </c>
      <c r="AA808" t="str">
        <f t="shared" si="197"/>
        <v/>
      </c>
      <c r="AB808" t="str">
        <f t="shared" si="198"/>
        <v/>
      </c>
      <c r="AC808" t="str">
        <f t="shared" si="199"/>
        <v/>
      </c>
      <c r="AD808" t="str">
        <f t="shared" si="200"/>
        <v/>
      </c>
    </row>
    <row r="809" spans="14:30" thickBot="1" x14ac:dyDescent="0.3">
      <c r="N809">
        <f t="shared" si="193"/>
        <v>0</v>
      </c>
      <c r="O809">
        <f t="shared" si="190"/>
        <v>0</v>
      </c>
      <c r="P809">
        <f t="shared" si="191"/>
        <v>0</v>
      </c>
      <c r="Q809">
        <f t="shared" si="192"/>
        <v>0</v>
      </c>
      <c r="X809" t="str">
        <f t="shared" si="194"/>
        <v/>
      </c>
      <c r="Y809" t="str">
        <f t="shared" si="195"/>
        <v/>
      </c>
      <c r="Z809" t="str">
        <f t="shared" si="196"/>
        <v/>
      </c>
      <c r="AA809" t="str">
        <f t="shared" si="197"/>
        <v/>
      </c>
      <c r="AB809" t="str">
        <f t="shared" si="198"/>
        <v/>
      </c>
      <c r="AC809" t="str">
        <f t="shared" si="199"/>
        <v/>
      </c>
      <c r="AD809" t="str">
        <f t="shared" si="200"/>
        <v/>
      </c>
    </row>
    <row r="810" spans="14:30" thickBot="1" x14ac:dyDescent="0.3">
      <c r="N810">
        <f t="shared" si="193"/>
        <v>0</v>
      </c>
      <c r="O810">
        <f t="shared" si="190"/>
        <v>0</v>
      </c>
      <c r="P810">
        <f t="shared" si="191"/>
        <v>0</v>
      </c>
      <c r="Q810">
        <f t="shared" si="192"/>
        <v>0</v>
      </c>
      <c r="X810" t="str">
        <f t="shared" si="194"/>
        <v/>
      </c>
      <c r="Y810" t="str">
        <f t="shared" si="195"/>
        <v/>
      </c>
      <c r="Z810" t="str">
        <f t="shared" si="196"/>
        <v/>
      </c>
      <c r="AA810" t="str">
        <f t="shared" si="197"/>
        <v/>
      </c>
      <c r="AB810" t="str">
        <f t="shared" si="198"/>
        <v/>
      </c>
      <c r="AC810" t="str">
        <f t="shared" si="199"/>
        <v/>
      </c>
      <c r="AD810" t="str">
        <f t="shared" si="200"/>
        <v/>
      </c>
    </row>
    <row r="811" spans="14:30" thickBot="1" x14ac:dyDescent="0.3">
      <c r="N811">
        <f t="shared" si="193"/>
        <v>0</v>
      </c>
      <c r="O811">
        <f t="shared" si="190"/>
        <v>0</v>
      </c>
      <c r="P811">
        <f t="shared" si="191"/>
        <v>0</v>
      </c>
      <c r="Q811">
        <f t="shared" si="192"/>
        <v>0</v>
      </c>
      <c r="X811" t="str">
        <f t="shared" si="194"/>
        <v/>
      </c>
      <c r="Y811" t="str">
        <f t="shared" si="195"/>
        <v/>
      </c>
      <c r="Z811" t="str">
        <f t="shared" si="196"/>
        <v/>
      </c>
      <c r="AA811" t="str">
        <f t="shared" si="197"/>
        <v/>
      </c>
      <c r="AB811" t="str">
        <f t="shared" si="198"/>
        <v/>
      </c>
      <c r="AC811" t="str">
        <f t="shared" si="199"/>
        <v/>
      </c>
      <c r="AD811" t="str">
        <f t="shared" si="200"/>
        <v/>
      </c>
    </row>
    <row r="812" spans="14:30" thickBot="1" x14ac:dyDescent="0.3">
      <c r="N812">
        <f t="shared" si="193"/>
        <v>0</v>
      </c>
      <c r="O812">
        <f t="shared" si="190"/>
        <v>0</v>
      </c>
      <c r="P812">
        <f t="shared" si="191"/>
        <v>0</v>
      </c>
      <c r="Q812">
        <f t="shared" si="192"/>
        <v>0</v>
      </c>
      <c r="X812" t="str">
        <f t="shared" si="194"/>
        <v/>
      </c>
      <c r="Y812" t="str">
        <f t="shared" si="195"/>
        <v/>
      </c>
      <c r="Z812" t="str">
        <f t="shared" si="196"/>
        <v/>
      </c>
      <c r="AA812" t="str">
        <f t="shared" si="197"/>
        <v/>
      </c>
      <c r="AB812" t="str">
        <f t="shared" si="198"/>
        <v/>
      </c>
      <c r="AC812" t="str">
        <f t="shared" si="199"/>
        <v/>
      </c>
      <c r="AD812" t="str">
        <f t="shared" si="200"/>
        <v/>
      </c>
    </row>
    <row r="813" spans="14:30" thickBot="1" x14ac:dyDescent="0.3">
      <c r="N813">
        <f t="shared" si="193"/>
        <v>0</v>
      </c>
      <c r="O813">
        <f t="shared" si="190"/>
        <v>0</v>
      </c>
      <c r="P813">
        <f t="shared" si="191"/>
        <v>0</v>
      </c>
      <c r="Q813">
        <f t="shared" si="192"/>
        <v>0</v>
      </c>
      <c r="X813" t="str">
        <f t="shared" si="194"/>
        <v/>
      </c>
      <c r="Y813" t="str">
        <f t="shared" si="195"/>
        <v/>
      </c>
      <c r="Z813" t="str">
        <f t="shared" si="196"/>
        <v/>
      </c>
      <c r="AA813" t="str">
        <f t="shared" si="197"/>
        <v/>
      </c>
      <c r="AB813" t="str">
        <f t="shared" si="198"/>
        <v/>
      </c>
      <c r="AC813" t="str">
        <f t="shared" si="199"/>
        <v/>
      </c>
      <c r="AD813" t="str">
        <f t="shared" si="200"/>
        <v/>
      </c>
    </row>
    <row r="814" spans="14:30" thickBot="1" x14ac:dyDescent="0.3">
      <c r="N814">
        <f t="shared" si="193"/>
        <v>0</v>
      </c>
      <c r="O814">
        <f t="shared" si="190"/>
        <v>0</v>
      </c>
      <c r="P814">
        <f t="shared" si="191"/>
        <v>0</v>
      </c>
      <c r="Q814">
        <f t="shared" si="192"/>
        <v>0</v>
      </c>
      <c r="X814" t="str">
        <f t="shared" si="194"/>
        <v/>
      </c>
      <c r="Y814" t="str">
        <f t="shared" si="195"/>
        <v/>
      </c>
      <c r="Z814" t="str">
        <f t="shared" si="196"/>
        <v/>
      </c>
      <c r="AA814" t="str">
        <f t="shared" si="197"/>
        <v/>
      </c>
      <c r="AB814" t="str">
        <f t="shared" si="198"/>
        <v/>
      </c>
      <c r="AC814" t="str">
        <f t="shared" si="199"/>
        <v/>
      </c>
      <c r="AD814" t="str">
        <f t="shared" si="200"/>
        <v/>
      </c>
    </row>
    <row r="815" spans="14:30" thickBot="1" x14ac:dyDescent="0.3">
      <c r="N815">
        <f t="shared" si="193"/>
        <v>0</v>
      </c>
      <c r="O815">
        <f t="shared" si="190"/>
        <v>0</v>
      </c>
      <c r="P815">
        <f t="shared" si="191"/>
        <v>0</v>
      </c>
      <c r="Q815">
        <f t="shared" si="192"/>
        <v>0</v>
      </c>
      <c r="X815" t="str">
        <f t="shared" si="194"/>
        <v/>
      </c>
      <c r="Y815" t="str">
        <f t="shared" si="195"/>
        <v/>
      </c>
      <c r="Z815" t="str">
        <f t="shared" si="196"/>
        <v/>
      </c>
      <c r="AA815" t="str">
        <f t="shared" si="197"/>
        <v/>
      </c>
      <c r="AB815" t="str">
        <f t="shared" si="198"/>
        <v/>
      </c>
      <c r="AC815" t="str">
        <f t="shared" si="199"/>
        <v/>
      </c>
      <c r="AD815" t="str">
        <f t="shared" si="200"/>
        <v/>
      </c>
    </row>
    <row r="816" spans="14:30" thickBot="1" x14ac:dyDescent="0.3">
      <c r="N816">
        <f t="shared" si="193"/>
        <v>0</v>
      </c>
      <c r="O816">
        <f t="shared" si="190"/>
        <v>0</v>
      </c>
      <c r="P816">
        <f t="shared" si="191"/>
        <v>0</v>
      </c>
      <c r="Q816">
        <f t="shared" si="192"/>
        <v>0</v>
      </c>
      <c r="X816" t="str">
        <f t="shared" si="194"/>
        <v/>
      </c>
      <c r="Y816" t="str">
        <f t="shared" si="195"/>
        <v/>
      </c>
      <c r="Z816" t="str">
        <f t="shared" si="196"/>
        <v/>
      </c>
      <c r="AA816" t="str">
        <f t="shared" si="197"/>
        <v/>
      </c>
      <c r="AB816" t="str">
        <f t="shared" si="198"/>
        <v/>
      </c>
      <c r="AC816" t="str">
        <f t="shared" si="199"/>
        <v/>
      </c>
      <c r="AD816" t="str">
        <f t="shared" si="200"/>
        <v/>
      </c>
    </row>
    <row r="817" spans="14:30" thickBot="1" x14ac:dyDescent="0.3">
      <c r="N817">
        <f t="shared" si="193"/>
        <v>0</v>
      </c>
      <c r="O817">
        <f t="shared" si="190"/>
        <v>0</v>
      </c>
      <c r="P817">
        <f t="shared" si="191"/>
        <v>0</v>
      </c>
      <c r="Q817">
        <f t="shared" si="192"/>
        <v>0</v>
      </c>
      <c r="X817" t="str">
        <f t="shared" si="194"/>
        <v/>
      </c>
      <c r="Y817" t="str">
        <f t="shared" si="195"/>
        <v/>
      </c>
      <c r="Z817" t="str">
        <f t="shared" si="196"/>
        <v/>
      </c>
      <c r="AA817" t="str">
        <f t="shared" si="197"/>
        <v/>
      </c>
      <c r="AB817" t="str">
        <f t="shared" si="198"/>
        <v/>
      </c>
      <c r="AC817" t="str">
        <f t="shared" si="199"/>
        <v/>
      </c>
      <c r="AD817" t="str">
        <f t="shared" si="200"/>
        <v/>
      </c>
    </row>
    <row r="818" spans="14:30" thickBot="1" x14ac:dyDescent="0.3">
      <c r="N818">
        <f t="shared" si="193"/>
        <v>0</v>
      </c>
      <c r="O818">
        <f t="shared" si="190"/>
        <v>0</v>
      </c>
      <c r="P818">
        <f t="shared" si="191"/>
        <v>0</v>
      </c>
      <c r="Q818">
        <f t="shared" si="192"/>
        <v>0</v>
      </c>
      <c r="X818" t="str">
        <f t="shared" si="194"/>
        <v/>
      </c>
      <c r="Y818" t="str">
        <f t="shared" si="195"/>
        <v/>
      </c>
      <c r="Z818" t="str">
        <f t="shared" si="196"/>
        <v/>
      </c>
      <c r="AA818" t="str">
        <f t="shared" si="197"/>
        <v/>
      </c>
      <c r="AB818" t="str">
        <f t="shared" si="198"/>
        <v/>
      </c>
      <c r="AC818" t="str">
        <f t="shared" si="199"/>
        <v/>
      </c>
      <c r="AD818" t="str">
        <f t="shared" si="200"/>
        <v/>
      </c>
    </row>
    <row r="819" spans="14:30" thickBot="1" x14ac:dyDescent="0.3">
      <c r="N819">
        <f t="shared" si="193"/>
        <v>0</v>
      </c>
      <c r="O819">
        <f t="shared" si="190"/>
        <v>0</v>
      </c>
      <c r="P819">
        <f t="shared" si="191"/>
        <v>0</v>
      </c>
      <c r="Q819">
        <f t="shared" si="192"/>
        <v>0</v>
      </c>
      <c r="X819" t="str">
        <f t="shared" si="194"/>
        <v/>
      </c>
      <c r="Y819" t="str">
        <f t="shared" si="195"/>
        <v/>
      </c>
      <c r="Z819" t="str">
        <f t="shared" si="196"/>
        <v/>
      </c>
      <c r="AA819" t="str">
        <f t="shared" si="197"/>
        <v/>
      </c>
      <c r="AB819" t="str">
        <f t="shared" si="198"/>
        <v/>
      </c>
      <c r="AC819" t="str">
        <f t="shared" si="199"/>
        <v/>
      </c>
      <c r="AD819" t="str">
        <f t="shared" si="200"/>
        <v/>
      </c>
    </row>
    <row r="820" spans="14:30" thickBot="1" x14ac:dyDescent="0.3">
      <c r="N820">
        <f t="shared" si="193"/>
        <v>0</v>
      </c>
      <c r="O820">
        <f t="shared" si="190"/>
        <v>0</v>
      </c>
      <c r="P820">
        <f t="shared" si="191"/>
        <v>0</v>
      </c>
      <c r="Q820">
        <f t="shared" si="192"/>
        <v>0</v>
      </c>
      <c r="X820" t="str">
        <f t="shared" si="194"/>
        <v/>
      </c>
      <c r="Y820" t="str">
        <f t="shared" si="195"/>
        <v/>
      </c>
      <c r="Z820" t="str">
        <f t="shared" si="196"/>
        <v/>
      </c>
      <c r="AA820" t="str">
        <f t="shared" si="197"/>
        <v/>
      </c>
      <c r="AB820" t="str">
        <f t="shared" si="198"/>
        <v/>
      </c>
      <c r="AC820" t="str">
        <f t="shared" si="199"/>
        <v/>
      </c>
      <c r="AD820" t="str">
        <f t="shared" si="200"/>
        <v/>
      </c>
    </row>
    <row r="821" spans="14:30" thickBot="1" x14ac:dyDescent="0.3">
      <c r="N821">
        <f t="shared" si="193"/>
        <v>0</v>
      </c>
      <c r="O821">
        <f t="shared" si="190"/>
        <v>0</v>
      </c>
      <c r="P821">
        <f t="shared" si="191"/>
        <v>0</v>
      </c>
      <c r="Q821">
        <f t="shared" si="192"/>
        <v>0</v>
      </c>
      <c r="X821" t="str">
        <f t="shared" si="194"/>
        <v/>
      </c>
      <c r="Y821" t="str">
        <f t="shared" si="195"/>
        <v/>
      </c>
      <c r="Z821" t="str">
        <f t="shared" si="196"/>
        <v/>
      </c>
      <c r="AA821" t="str">
        <f t="shared" si="197"/>
        <v/>
      </c>
      <c r="AB821" t="str">
        <f t="shared" si="198"/>
        <v/>
      </c>
      <c r="AC821" t="str">
        <f t="shared" si="199"/>
        <v/>
      </c>
      <c r="AD821" t="str">
        <f t="shared" si="200"/>
        <v/>
      </c>
    </row>
    <row r="822" spans="14:30" thickBot="1" x14ac:dyDescent="0.3">
      <c r="N822">
        <f t="shared" si="193"/>
        <v>0</v>
      </c>
      <c r="O822">
        <f t="shared" si="190"/>
        <v>0</v>
      </c>
      <c r="P822">
        <f t="shared" si="191"/>
        <v>0</v>
      </c>
      <c r="Q822">
        <f t="shared" si="192"/>
        <v>0</v>
      </c>
      <c r="X822" t="str">
        <f t="shared" si="194"/>
        <v/>
      </c>
      <c r="Y822" t="str">
        <f t="shared" si="195"/>
        <v/>
      </c>
      <c r="Z822" t="str">
        <f t="shared" si="196"/>
        <v/>
      </c>
      <c r="AA822" t="str">
        <f t="shared" si="197"/>
        <v/>
      </c>
      <c r="AB822" t="str">
        <f t="shared" si="198"/>
        <v/>
      </c>
      <c r="AC822" t="str">
        <f t="shared" si="199"/>
        <v/>
      </c>
      <c r="AD822" t="str">
        <f t="shared" si="200"/>
        <v/>
      </c>
    </row>
    <row r="823" spans="14:30" thickBot="1" x14ac:dyDescent="0.3">
      <c r="N823">
        <f t="shared" si="193"/>
        <v>0</v>
      </c>
      <c r="O823">
        <f t="shared" si="190"/>
        <v>0</v>
      </c>
      <c r="P823">
        <f t="shared" si="191"/>
        <v>0</v>
      </c>
      <c r="Q823">
        <f t="shared" si="192"/>
        <v>0</v>
      </c>
      <c r="X823" t="str">
        <f t="shared" si="194"/>
        <v/>
      </c>
      <c r="Y823" t="str">
        <f t="shared" si="195"/>
        <v/>
      </c>
      <c r="Z823" t="str">
        <f t="shared" si="196"/>
        <v/>
      </c>
      <c r="AA823" t="str">
        <f t="shared" si="197"/>
        <v/>
      </c>
      <c r="AB823" t="str">
        <f t="shared" si="198"/>
        <v/>
      </c>
      <c r="AC823" t="str">
        <f t="shared" si="199"/>
        <v/>
      </c>
      <c r="AD823" t="str">
        <f t="shared" si="200"/>
        <v/>
      </c>
    </row>
    <row r="824" spans="14:30" thickBot="1" x14ac:dyDescent="0.3">
      <c r="N824">
        <f t="shared" si="193"/>
        <v>0</v>
      </c>
      <c r="O824">
        <f t="shared" si="190"/>
        <v>0</v>
      </c>
      <c r="P824">
        <f t="shared" si="191"/>
        <v>0</v>
      </c>
      <c r="Q824">
        <f t="shared" si="192"/>
        <v>0</v>
      </c>
      <c r="X824" t="str">
        <f t="shared" si="194"/>
        <v/>
      </c>
      <c r="Y824" t="str">
        <f t="shared" si="195"/>
        <v/>
      </c>
      <c r="Z824" t="str">
        <f t="shared" si="196"/>
        <v/>
      </c>
      <c r="AA824" t="str">
        <f t="shared" si="197"/>
        <v/>
      </c>
      <c r="AB824" t="str">
        <f t="shared" si="198"/>
        <v/>
      </c>
      <c r="AC824" t="str">
        <f t="shared" si="199"/>
        <v/>
      </c>
      <c r="AD824" t="str">
        <f t="shared" si="200"/>
        <v/>
      </c>
    </row>
    <row r="825" spans="14:30" thickBot="1" x14ac:dyDescent="0.3">
      <c r="N825">
        <f t="shared" si="193"/>
        <v>0</v>
      </c>
      <c r="O825">
        <f t="shared" si="190"/>
        <v>0</v>
      </c>
      <c r="P825">
        <f t="shared" si="191"/>
        <v>0</v>
      </c>
      <c r="Q825">
        <f t="shared" si="192"/>
        <v>0</v>
      </c>
      <c r="X825" t="str">
        <f t="shared" si="194"/>
        <v/>
      </c>
      <c r="Y825" t="str">
        <f t="shared" si="195"/>
        <v/>
      </c>
      <c r="Z825" t="str">
        <f t="shared" si="196"/>
        <v/>
      </c>
      <c r="AA825" t="str">
        <f t="shared" si="197"/>
        <v/>
      </c>
      <c r="AB825" t="str">
        <f t="shared" si="198"/>
        <v/>
      </c>
      <c r="AC825" t="str">
        <f t="shared" si="199"/>
        <v/>
      </c>
      <c r="AD825" t="str">
        <f t="shared" si="200"/>
        <v/>
      </c>
    </row>
    <row r="826" spans="14:30" thickBot="1" x14ac:dyDescent="0.3">
      <c r="N826">
        <f t="shared" si="193"/>
        <v>0</v>
      </c>
      <c r="O826">
        <f t="shared" si="190"/>
        <v>0</v>
      </c>
      <c r="P826">
        <f t="shared" si="191"/>
        <v>0</v>
      </c>
      <c r="Q826">
        <f t="shared" si="192"/>
        <v>0</v>
      </c>
      <c r="X826" t="str">
        <f t="shared" si="194"/>
        <v/>
      </c>
      <c r="Y826" t="str">
        <f t="shared" si="195"/>
        <v/>
      </c>
      <c r="Z826" t="str">
        <f t="shared" si="196"/>
        <v/>
      </c>
      <c r="AA826" t="str">
        <f t="shared" si="197"/>
        <v/>
      </c>
      <c r="AB826" t="str">
        <f t="shared" si="198"/>
        <v/>
      </c>
      <c r="AC826" t="str">
        <f t="shared" si="199"/>
        <v/>
      </c>
      <c r="AD826" t="str">
        <f t="shared" si="200"/>
        <v/>
      </c>
    </row>
    <row r="827" spans="14:30" thickBot="1" x14ac:dyDescent="0.3">
      <c r="N827">
        <f t="shared" si="193"/>
        <v>0</v>
      </c>
      <c r="O827">
        <f t="shared" si="190"/>
        <v>0</v>
      </c>
      <c r="P827">
        <f t="shared" si="191"/>
        <v>0</v>
      </c>
      <c r="Q827">
        <f t="shared" si="192"/>
        <v>0</v>
      </c>
      <c r="X827" t="str">
        <f t="shared" si="194"/>
        <v/>
      </c>
      <c r="Y827" t="str">
        <f t="shared" si="195"/>
        <v/>
      </c>
      <c r="Z827" t="str">
        <f t="shared" si="196"/>
        <v/>
      </c>
      <c r="AA827" t="str">
        <f t="shared" si="197"/>
        <v/>
      </c>
      <c r="AB827" t="str">
        <f t="shared" si="198"/>
        <v/>
      </c>
      <c r="AC827" t="str">
        <f t="shared" si="199"/>
        <v/>
      </c>
      <c r="AD827" t="str">
        <f t="shared" si="200"/>
        <v/>
      </c>
    </row>
    <row r="828" spans="14:30" thickBot="1" x14ac:dyDescent="0.3">
      <c r="N828">
        <f t="shared" si="193"/>
        <v>0</v>
      </c>
      <c r="O828">
        <f t="shared" si="190"/>
        <v>0</v>
      </c>
      <c r="P828">
        <f t="shared" si="191"/>
        <v>0</v>
      </c>
      <c r="Q828">
        <f t="shared" si="192"/>
        <v>0</v>
      </c>
      <c r="X828" t="str">
        <f t="shared" si="194"/>
        <v/>
      </c>
      <c r="Y828" t="str">
        <f t="shared" si="195"/>
        <v/>
      </c>
      <c r="Z828" t="str">
        <f t="shared" si="196"/>
        <v/>
      </c>
      <c r="AA828" t="str">
        <f t="shared" si="197"/>
        <v/>
      </c>
      <c r="AB828" t="str">
        <f t="shared" si="198"/>
        <v/>
      </c>
      <c r="AC828" t="str">
        <f t="shared" si="199"/>
        <v/>
      </c>
      <c r="AD828" t="str">
        <f t="shared" si="200"/>
        <v/>
      </c>
    </row>
    <row r="829" spans="14:30" thickBot="1" x14ac:dyDescent="0.3">
      <c r="N829">
        <f t="shared" si="193"/>
        <v>0</v>
      </c>
      <c r="O829">
        <f t="shared" si="190"/>
        <v>0</v>
      </c>
      <c r="P829">
        <f t="shared" si="191"/>
        <v>0</v>
      </c>
      <c r="Q829">
        <f t="shared" si="192"/>
        <v>0</v>
      </c>
      <c r="X829" t="str">
        <f t="shared" si="194"/>
        <v/>
      </c>
      <c r="Y829" t="str">
        <f t="shared" si="195"/>
        <v/>
      </c>
      <c r="Z829" t="str">
        <f t="shared" si="196"/>
        <v/>
      </c>
      <c r="AA829" t="str">
        <f t="shared" si="197"/>
        <v/>
      </c>
      <c r="AB829" t="str">
        <f t="shared" si="198"/>
        <v/>
      </c>
      <c r="AC829" t="str">
        <f t="shared" si="199"/>
        <v/>
      </c>
      <c r="AD829" t="str">
        <f t="shared" si="200"/>
        <v/>
      </c>
    </row>
    <row r="830" spans="14:30" thickBot="1" x14ac:dyDescent="0.3">
      <c r="N830">
        <f t="shared" si="193"/>
        <v>0</v>
      </c>
      <c r="O830">
        <f t="shared" si="190"/>
        <v>0</v>
      </c>
      <c r="P830">
        <f t="shared" si="191"/>
        <v>0</v>
      </c>
      <c r="Q830">
        <f t="shared" si="192"/>
        <v>0</v>
      </c>
      <c r="X830" t="str">
        <f t="shared" si="194"/>
        <v/>
      </c>
      <c r="Y830" t="str">
        <f t="shared" si="195"/>
        <v/>
      </c>
      <c r="Z830" t="str">
        <f t="shared" si="196"/>
        <v/>
      </c>
      <c r="AA830" t="str">
        <f t="shared" si="197"/>
        <v/>
      </c>
      <c r="AB830" t="str">
        <f t="shared" si="198"/>
        <v/>
      </c>
      <c r="AC830" t="str">
        <f t="shared" si="199"/>
        <v/>
      </c>
      <c r="AD830" t="str">
        <f t="shared" si="200"/>
        <v/>
      </c>
    </row>
    <row r="831" spans="14:30" thickBot="1" x14ac:dyDescent="0.3">
      <c r="N831">
        <f t="shared" si="193"/>
        <v>0</v>
      </c>
      <c r="O831">
        <f t="shared" si="190"/>
        <v>0</v>
      </c>
      <c r="P831">
        <f t="shared" si="191"/>
        <v>0</v>
      </c>
      <c r="Q831">
        <f t="shared" si="192"/>
        <v>0</v>
      </c>
      <c r="X831" t="str">
        <f t="shared" si="194"/>
        <v/>
      </c>
      <c r="Y831" t="str">
        <f t="shared" si="195"/>
        <v/>
      </c>
      <c r="Z831" t="str">
        <f t="shared" si="196"/>
        <v/>
      </c>
      <c r="AA831" t="str">
        <f t="shared" si="197"/>
        <v/>
      </c>
      <c r="AB831" t="str">
        <f t="shared" si="198"/>
        <v/>
      </c>
      <c r="AC831" t="str">
        <f t="shared" si="199"/>
        <v/>
      </c>
      <c r="AD831" t="str">
        <f t="shared" si="200"/>
        <v/>
      </c>
    </row>
    <row r="832" spans="14:30" thickBot="1" x14ac:dyDescent="0.3">
      <c r="N832">
        <f t="shared" si="193"/>
        <v>0</v>
      </c>
      <c r="O832">
        <f t="shared" si="190"/>
        <v>0</v>
      </c>
      <c r="P832">
        <f t="shared" si="191"/>
        <v>0</v>
      </c>
      <c r="Q832">
        <f t="shared" si="192"/>
        <v>0</v>
      </c>
      <c r="X832" t="str">
        <f t="shared" si="194"/>
        <v/>
      </c>
      <c r="Y832" t="str">
        <f t="shared" si="195"/>
        <v/>
      </c>
      <c r="Z832" t="str">
        <f t="shared" si="196"/>
        <v/>
      </c>
      <c r="AA832" t="str">
        <f t="shared" si="197"/>
        <v/>
      </c>
      <c r="AB832" t="str">
        <f t="shared" si="198"/>
        <v/>
      </c>
      <c r="AC832" t="str">
        <f t="shared" si="199"/>
        <v/>
      </c>
      <c r="AD832" t="str">
        <f t="shared" si="200"/>
        <v/>
      </c>
    </row>
    <row r="833" spans="14:30" thickBot="1" x14ac:dyDescent="0.3">
      <c r="N833">
        <f t="shared" si="193"/>
        <v>0</v>
      </c>
      <c r="O833">
        <f t="shared" ref="O833:O896" si="201">B833</f>
        <v>0</v>
      </c>
      <c r="P833">
        <f t="shared" ref="P833:P896" si="202">C833</f>
        <v>0</v>
      </c>
      <c r="Q833">
        <f t="shared" ref="Q833:Q896" si="203">D833</f>
        <v>0</v>
      </c>
      <c r="X833" t="str">
        <f t="shared" si="194"/>
        <v/>
      </c>
      <c r="Y833" t="str">
        <f t="shared" si="195"/>
        <v/>
      </c>
      <c r="Z833" t="str">
        <f t="shared" si="196"/>
        <v/>
      </c>
      <c r="AA833" t="str">
        <f t="shared" si="197"/>
        <v/>
      </c>
      <c r="AB833" t="str">
        <f t="shared" si="198"/>
        <v/>
      </c>
      <c r="AC833" t="str">
        <f t="shared" si="199"/>
        <v/>
      </c>
      <c r="AD833" t="str">
        <f t="shared" si="200"/>
        <v/>
      </c>
    </row>
    <row r="834" spans="14:30" thickBot="1" x14ac:dyDescent="0.3">
      <c r="N834">
        <f t="shared" ref="N834:N897" si="204">A834</f>
        <v>0</v>
      </c>
      <c r="O834">
        <f t="shared" si="201"/>
        <v>0</v>
      </c>
      <c r="P834">
        <f t="shared" si="202"/>
        <v>0</v>
      </c>
      <c r="Q834">
        <f t="shared" si="203"/>
        <v>0</v>
      </c>
      <c r="X834" t="str">
        <f t="shared" si="194"/>
        <v/>
      </c>
      <c r="Y834" t="str">
        <f t="shared" si="195"/>
        <v/>
      </c>
      <c r="Z834" t="str">
        <f t="shared" si="196"/>
        <v/>
      </c>
      <c r="AA834" t="str">
        <f t="shared" si="197"/>
        <v/>
      </c>
      <c r="AB834" t="str">
        <f t="shared" si="198"/>
        <v/>
      </c>
      <c r="AC834" t="str">
        <f t="shared" si="199"/>
        <v/>
      </c>
      <c r="AD834" t="str">
        <f t="shared" si="200"/>
        <v/>
      </c>
    </row>
    <row r="835" spans="14:30" thickBot="1" x14ac:dyDescent="0.3">
      <c r="N835">
        <f t="shared" si="204"/>
        <v>0</v>
      </c>
      <c r="O835">
        <f t="shared" si="201"/>
        <v>0</v>
      </c>
      <c r="P835">
        <f t="shared" si="202"/>
        <v>0</v>
      </c>
      <c r="Q835">
        <f t="shared" si="203"/>
        <v>0</v>
      </c>
      <c r="X835" t="str">
        <f t="shared" si="194"/>
        <v/>
      </c>
      <c r="Y835" t="str">
        <f t="shared" si="195"/>
        <v/>
      </c>
      <c r="Z835" t="str">
        <f t="shared" si="196"/>
        <v/>
      </c>
      <c r="AA835" t="str">
        <f t="shared" si="197"/>
        <v/>
      </c>
      <c r="AB835" t="str">
        <f t="shared" si="198"/>
        <v/>
      </c>
      <c r="AC835" t="str">
        <f t="shared" si="199"/>
        <v/>
      </c>
      <c r="AD835" t="str">
        <f t="shared" si="200"/>
        <v/>
      </c>
    </row>
    <row r="836" spans="14:30" thickBot="1" x14ac:dyDescent="0.3">
      <c r="N836">
        <f t="shared" si="204"/>
        <v>0</v>
      </c>
      <c r="O836">
        <f t="shared" si="201"/>
        <v>0</v>
      </c>
      <c r="P836">
        <f t="shared" si="202"/>
        <v>0</v>
      </c>
      <c r="Q836">
        <f t="shared" si="203"/>
        <v>0</v>
      </c>
      <c r="X836" t="str">
        <f t="shared" si="194"/>
        <v/>
      </c>
      <c r="Y836" t="str">
        <f t="shared" si="195"/>
        <v/>
      </c>
      <c r="Z836" t="str">
        <f t="shared" si="196"/>
        <v/>
      </c>
      <c r="AA836" t="str">
        <f t="shared" si="197"/>
        <v/>
      </c>
      <c r="AB836" t="str">
        <f t="shared" si="198"/>
        <v/>
      </c>
      <c r="AC836" t="str">
        <f t="shared" si="199"/>
        <v/>
      </c>
      <c r="AD836" t="str">
        <f t="shared" si="200"/>
        <v/>
      </c>
    </row>
    <row r="837" spans="14:30" thickBot="1" x14ac:dyDescent="0.3">
      <c r="N837">
        <f t="shared" si="204"/>
        <v>0</v>
      </c>
      <c r="O837">
        <f t="shared" si="201"/>
        <v>0</v>
      </c>
      <c r="P837">
        <f t="shared" si="202"/>
        <v>0</v>
      </c>
      <c r="Q837">
        <f t="shared" si="203"/>
        <v>0</v>
      </c>
      <c r="X837" t="str">
        <f t="shared" si="194"/>
        <v/>
      </c>
      <c r="Y837" t="str">
        <f t="shared" si="195"/>
        <v/>
      </c>
      <c r="Z837" t="str">
        <f t="shared" si="196"/>
        <v/>
      </c>
      <c r="AA837" t="str">
        <f t="shared" si="197"/>
        <v/>
      </c>
      <c r="AB837" t="str">
        <f t="shared" si="198"/>
        <v/>
      </c>
      <c r="AC837" t="str">
        <f t="shared" si="199"/>
        <v/>
      </c>
      <c r="AD837" t="str">
        <f t="shared" si="200"/>
        <v/>
      </c>
    </row>
    <row r="838" spans="14:30" thickBot="1" x14ac:dyDescent="0.3">
      <c r="N838">
        <f t="shared" si="204"/>
        <v>0</v>
      </c>
      <c r="O838">
        <f t="shared" si="201"/>
        <v>0</v>
      </c>
      <c r="P838">
        <f t="shared" si="202"/>
        <v>0</v>
      </c>
      <c r="Q838">
        <f t="shared" si="203"/>
        <v>0</v>
      </c>
      <c r="X838" t="str">
        <f t="shared" si="194"/>
        <v/>
      </c>
      <c r="Y838" t="str">
        <f t="shared" si="195"/>
        <v/>
      </c>
      <c r="Z838" t="str">
        <f t="shared" si="196"/>
        <v/>
      </c>
      <c r="AA838" t="str">
        <f t="shared" si="197"/>
        <v/>
      </c>
      <c r="AB838" t="str">
        <f t="shared" si="198"/>
        <v/>
      </c>
      <c r="AC838" t="str">
        <f t="shared" si="199"/>
        <v/>
      </c>
      <c r="AD838" t="str">
        <f t="shared" si="200"/>
        <v/>
      </c>
    </row>
    <row r="839" spans="14:30" thickBot="1" x14ac:dyDescent="0.3">
      <c r="N839">
        <f t="shared" si="204"/>
        <v>0</v>
      </c>
      <c r="O839">
        <f t="shared" si="201"/>
        <v>0</v>
      </c>
      <c r="P839">
        <f t="shared" si="202"/>
        <v>0</v>
      </c>
      <c r="Q839">
        <f t="shared" si="203"/>
        <v>0</v>
      </c>
      <c r="X839" t="str">
        <f t="shared" si="194"/>
        <v/>
      </c>
      <c r="Y839" t="str">
        <f t="shared" si="195"/>
        <v/>
      </c>
      <c r="Z839" t="str">
        <f t="shared" si="196"/>
        <v/>
      </c>
      <c r="AA839" t="str">
        <f t="shared" si="197"/>
        <v/>
      </c>
      <c r="AB839" t="str">
        <f t="shared" si="198"/>
        <v/>
      </c>
      <c r="AC839" t="str">
        <f t="shared" si="199"/>
        <v/>
      </c>
      <c r="AD839" t="str">
        <f t="shared" si="200"/>
        <v/>
      </c>
    </row>
    <row r="840" spans="14:30" thickBot="1" x14ac:dyDescent="0.3">
      <c r="N840">
        <f t="shared" si="204"/>
        <v>0</v>
      </c>
      <c r="O840">
        <f t="shared" si="201"/>
        <v>0</v>
      </c>
      <c r="P840">
        <f t="shared" si="202"/>
        <v>0</v>
      </c>
      <c r="Q840">
        <f t="shared" si="203"/>
        <v>0</v>
      </c>
      <c r="X840" t="str">
        <f t="shared" ref="X840:X903" si="205">IF(R840="","",",")</f>
        <v/>
      </c>
      <c r="Y840" t="str">
        <f t="shared" ref="Y840:Y903" si="206">IF(S840="","",",")</f>
        <v/>
      </c>
      <c r="Z840" t="str">
        <f t="shared" ref="Z840:Z903" si="207">IF(T840="","",",")</f>
        <v/>
      </c>
      <c r="AA840" t="str">
        <f t="shared" ref="AA840:AA903" si="208">IF(U840="","",",")</f>
        <v/>
      </c>
      <c r="AB840" t="str">
        <f t="shared" ref="AB840:AB903" si="209">IF(V840="","",",")</f>
        <v/>
      </c>
      <c r="AC840" t="str">
        <f t="shared" ref="AC840:AC903" si="210">IF(W840="","",",")</f>
        <v/>
      </c>
      <c r="AD840" t="str">
        <f t="shared" ref="AD840:AD903" si="211">IF(X840="","",",")</f>
        <v/>
      </c>
    </row>
    <row r="841" spans="14:30" thickBot="1" x14ac:dyDescent="0.3">
      <c r="N841">
        <f t="shared" si="204"/>
        <v>0</v>
      </c>
      <c r="O841">
        <f t="shared" si="201"/>
        <v>0</v>
      </c>
      <c r="P841">
        <f t="shared" si="202"/>
        <v>0</v>
      </c>
      <c r="Q841">
        <f t="shared" si="203"/>
        <v>0</v>
      </c>
      <c r="X841" t="str">
        <f t="shared" si="205"/>
        <v/>
      </c>
      <c r="Y841" t="str">
        <f t="shared" si="206"/>
        <v/>
      </c>
      <c r="Z841" t="str">
        <f t="shared" si="207"/>
        <v/>
      </c>
      <c r="AA841" t="str">
        <f t="shared" si="208"/>
        <v/>
      </c>
      <c r="AB841" t="str">
        <f t="shared" si="209"/>
        <v/>
      </c>
      <c r="AC841" t="str">
        <f t="shared" si="210"/>
        <v/>
      </c>
      <c r="AD841" t="str">
        <f t="shared" si="211"/>
        <v/>
      </c>
    </row>
    <row r="842" spans="14:30" thickBot="1" x14ac:dyDescent="0.3">
      <c r="N842">
        <f t="shared" si="204"/>
        <v>0</v>
      </c>
      <c r="O842">
        <f t="shared" si="201"/>
        <v>0</v>
      </c>
      <c r="P842">
        <f t="shared" si="202"/>
        <v>0</v>
      </c>
      <c r="Q842">
        <f t="shared" si="203"/>
        <v>0</v>
      </c>
      <c r="X842" t="str">
        <f t="shared" si="205"/>
        <v/>
      </c>
      <c r="Y842" t="str">
        <f t="shared" si="206"/>
        <v/>
      </c>
      <c r="Z842" t="str">
        <f t="shared" si="207"/>
        <v/>
      </c>
      <c r="AA842" t="str">
        <f t="shared" si="208"/>
        <v/>
      </c>
      <c r="AB842" t="str">
        <f t="shared" si="209"/>
        <v/>
      </c>
      <c r="AC842" t="str">
        <f t="shared" si="210"/>
        <v/>
      </c>
      <c r="AD842" t="str">
        <f t="shared" si="211"/>
        <v/>
      </c>
    </row>
    <row r="843" spans="14:30" thickBot="1" x14ac:dyDescent="0.3">
      <c r="N843">
        <f t="shared" si="204"/>
        <v>0</v>
      </c>
      <c r="O843">
        <f t="shared" si="201"/>
        <v>0</v>
      </c>
      <c r="P843">
        <f t="shared" si="202"/>
        <v>0</v>
      </c>
      <c r="Q843">
        <f t="shared" si="203"/>
        <v>0</v>
      </c>
      <c r="X843" t="str">
        <f t="shared" si="205"/>
        <v/>
      </c>
      <c r="Y843" t="str">
        <f t="shared" si="206"/>
        <v/>
      </c>
      <c r="Z843" t="str">
        <f t="shared" si="207"/>
        <v/>
      </c>
      <c r="AA843" t="str">
        <f t="shared" si="208"/>
        <v/>
      </c>
      <c r="AB843" t="str">
        <f t="shared" si="209"/>
        <v/>
      </c>
      <c r="AC843" t="str">
        <f t="shared" si="210"/>
        <v/>
      </c>
      <c r="AD843" t="str">
        <f t="shared" si="211"/>
        <v/>
      </c>
    </row>
    <row r="844" spans="14:30" thickBot="1" x14ac:dyDescent="0.3">
      <c r="N844">
        <f t="shared" si="204"/>
        <v>0</v>
      </c>
      <c r="O844">
        <f t="shared" si="201"/>
        <v>0</v>
      </c>
      <c r="P844">
        <f t="shared" si="202"/>
        <v>0</v>
      </c>
      <c r="Q844">
        <f t="shared" si="203"/>
        <v>0</v>
      </c>
      <c r="X844" t="str">
        <f t="shared" si="205"/>
        <v/>
      </c>
      <c r="Y844" t="str">
        <f t="shared" si="206"/>
        <v/>
      </c>
      <c r="Z844" t="str">
        <f t="shared" si="207"/>
        <v/>
      </c>
      <c r="AA844" t="str">
        <f t="shared" si="208"/>
        <v/>
      </c>
      <c r="AB844" t="str">
        <f t="shared" si="209"/>
        <v/>
      </c>
      <c r="AC844" t="str">
        <f t="shared" si="210"/>
        <v/>
      </c>
      <c r="AD844" t="str">
        <f t="shared" si="211"/>
        <v/>
      </c>
    </row>
    <row r="845" spans="14:30" thickBot="1" x14ac:dyDescent="0.3">
      <c r="N845">
        <f t="shared" si="204"/>
        <v>0</v>
      </c>
      <c r="O845">
        <f t="shared" si="201"/>
        <v>0</v>
      </c>
      <c r="P845">
        <f t="shared" si="202"/>
        <v>0</v>
      </c>
      <c r="Q845">
        <f t="shared" si="203"/>
        <v>0</v>
      </c>
      <c r="X845" t="str">
        <f t="shared" si="205"/>
        <v/>
      </c>
      <c r="Y845" t="str">
        <f t="shared" si="206"/>
        <v/>
      </c>
      <c r="Z845" t="str">
        <f t="shared" si="207"/>
        <v/>
      </c>
      <c r="AA845" t="str">
        <f t="shared" si="208"/>
        <v/>
      </c>
      <c r="AB845" t="str">
        <f t="shared" si="209"/>
        <v/>
      </c>
      <c r="AC845" t="str">
        <f t="shared" si="210"/>
        <v/>
      </c>
      <c r="AD845" t="str">
        <f t="shared" si="211"/>
        <v/>
      </c>
    </row>
    <row r="846" spans="14:30" thickBot="1" x14ac:dyDescent="0.3">
      <c r="N846">
        <f t="shared" si="204"/>
        <v>0</v>
      </c>
      <c r="O846">
        <f t="shared" si="201"/>
        <v>0</v>
      </c>
      <c r="P846">
        <f t="shared" si="202"/>
        <v>0</v>
      </c>
      <c r="Q846">
        <f t="shared" si="203"/>
        <v>0</v>
      </c>
      <c r="X846" t="str">
        <f t="shared" si="205"/>
        <v/>
      </c>
      <c r="Y846" t="str">
        <f t="shared" si="206"/>
        <v/>
      </c>
      <c r="Z846" t="str">
        <f t="shared" si="207"/>
        <v/>
      </c>
      <c r="AA846" t="str">
        <f t="shared" si="208"/>
        <v/>
      </c>
      <c r="AB846" t="str">
        <f t="shared" si="209"/>
        <v/>
      </c>
      <c r="AC846" t="str">
        <f t="shared" si="210"/>
        <v/>
      </c>
      <c r="AD846" t="str">
        <f t="shared" si="211"/>
        <v/>
      </c>
    </row>
    <row r="847" spans="14:30" thickBot="1" x14ac:dyDescent="0.3">
      <c r="N847">
        <f t="shared" si="204"/>
        <v>0</v>
      </c>
      <c r="O847">
        <f t="shared" si="201"/>
        <v>0</v>
      </c>
      <c r="P847">
        <f t="shared" si="202"/>
        <v>0</v>
      </c>
      <c r="Q847">
        <f t="shared" si="203"/>
        <v>0</v>
      </c>
      <c r="X847" t="str">
        <f t="shared" si="205"/>
        <v/>
      </c>
      <c r="Y847" t="str">
        <f t="shared" si="206"/>
        <v/>
      </c>
      <c r="Z847" t="str">
        <f t="shared" si="207"/>
        <v/>
      </c>
      <c r="AA847" t="str">
        <f t="shared" si="208"/>
        <v/>
      </c>
      <c r="AB847" t="str">
        <f t="shared" si="209"/>
        <v/>
      </c>
      <c r="AC847" t="str">
        <f t="shared" si="210"/>
        <v/>
      </c>
      <c r="AD847" t="str">
        <f t="shared" si="211"/>
        <v/>
      </c>
    </row>
    <row r="848" spans="14:30" thickBot="1" x14ac:dyDescent="0.3">
      <c r="N848">
        <f t="shared" si="204"/>
        <v>0</v>
      </c>
      <c r="O848">
        <f t="shared" si="201"/>
        <v>0</v>
      </c>
      <c r="P848">
        <f t="shared" si="202"/>
        <v>0</v>
      </c>
      <c r="Q848">
        <f t="shared" si="203"/>
        <v>0</v>
      </c>
      <c r="X848" t="str">
        <f t="shared" si="205"/>
        <v/>
      </c>
      <c r="Y848" t="str">
        <f t="shared" si="206"/>
        <v/>
      </c>
      <c r="Z848" t="str">
        <f t="shared" si="207"/>
        <v/>
      </c>
      <c r="AA848" t="str">
        <f t="shared" si="208"/>
        <v/>
      </c>
      <c r="AB848" t="str">
        <f t="shared" si="209"/>
        <v/>
      </c>
      <c r="AC848" t="str">
        <f t="shared" si="210"/>
        <v/>
      </c>
      <c r="AD848" t="str">
        <f t="shared" si="211"/>
        <v/>
      </c>
    </row>
    <row r="849" spans="14:30" thickBot="1" x14ac:dyDescent="0.3">
      <c r="N849">
        <f t="shared" si="204"/>
        <v>0</v>
      </c>
      <c r="O849">
        <f t="shared" si="201"/>
        <v>0</v>
      </c>
      <c r="P849">
        <f t="shared" si="202"/>
        <v>0</v>
      </c>
      <c r="Q849">
        <f t="shared" si="203"/>
        <v>0</v>
      </c>
      <c r="X849" t="str">
        <f t="shared" si="205"/>
        <v/>
      </c>
      <c r="Y849" t="str">
        <f t="shared" si="206"/>
        <v/>
      </c>
      <c r="Z849" t="str">
        <f t="shared" si="207"/>
        <v/>
      </c>
      <c r="AA849" t="str">
        <f t="shared" si="208"/>
        <v/>
      </c>
      <c r="AB849" t="str">
        <f t="shared" si="209"/>
        <v/>
      </c>
      <c r="AC849" t="str">
        <f t="shared" si="210"/>
        <v/>
      </c>
      <c r="AD849" t="str">
        <f t="shared" si="211"/>
        <v/>
      </c>
    </row>
    <row r="850" spans="14:30" thickBot="1" x14ac:dyDescent="0.3">
      <c r="N850">
        <f t="shared" si="204"/>
        <v>0</v>
      </c>
      <c r="O850">
        <f t="shared" si="201"/>
        <v>0</v>
      </c>
      <c r="P850">
        <f t="shared" si="202"/>
        <v>0</v>
      </c>
      <c r="Q850">
        <f t="shared" si="203"/>
        <v>0</v>
      </c>
      <c r="X850" t="str">
        <f t="shared" si="205"/>
        <v/>
      </c>
      <c r="Y850" t="str">
        <f t="shared" si="206"/>
        <v/>
      </c>
      <c r="Z850" t="str">
        <f t="shared" si="207"/>
        <v/>
      </c>
      <c r="AA850" t="str">
        <f t="shared" si="208"/>
        <v/>
      </c>
      <c r="AB850" t="str">
        <f t="shared" si="209"/>
        <v/>
      </c>
      <c r="AC850" t="str">
        <f t="shared" si="210"/>
        <v/>
      </c>
      <c r="AD850" t="str">
        <f t="shared" si="211"/>
        <v/>
      </c>
    </row>
    <row r="851" spans="14:30" thickBot="1" x14ac:dyDescent="0.3">
      <c r="N851">
        <f t="shared" si="204"/>
        <v>0</v>
      </c>
      <c r="O851">
        <f t="shared" si="201"/>
        <v>0</v>
      </c>
      <c r="P851">
        <f t="shared" si="202"/>
        <v>0</v>
      </c>
      <c r="Q851">
        <f t="shared" si="203"/>
        <v>0</v>
      </c>
      <c r="X851" t="str">
        <f t="shared" si="205"/>
        <v/>
      </c>
      <c r="Y851" t="str">
        <f t="shared" si="206"/>
        <v/>
      </c>
      <c r="Z851" t="str">
        <f t="shared" si="207"/>
        <v/>
      </c>
      <c r="AA851" t="str">
        <f t="shared" si="208"/>
        <v/>
      </c>
      <c r="AB851" t="str">
        <f t="shared" si="209"/>
        <v/>
      </c>
      <c r="AC851" t="str">
        <f t="shared" si="210"/>
        <v/>
      </c>
      <c r="AD851" t="str">
        <f t="shared" si="211"/>
        <v/>
      </c>
    </row>
    <row r="852" spans="14:30" thickBot="1" x14ac:dyDescent="0.3">
      <c r="N852">
        <f t="shared" si="204"/>
        <v>0</v>
      </c>
      <c r="O852">
        <f t="shared" si="201"/>
        <v>0</v>
      </c>
      <c r="P852">
        <f t="shared" si="202"/>
        <v>0</v>
      </c>
      <c r="Q852">
        <f t="shared" si="203"/>
        <v>0</v>
      </c>
      <c r="X852" t="str">
        <f t="shared" si="205"/>
        <v/>
      </c>
      <c r="Y852" t="str">
        <f t="shared" si="206"/>
        <v/>
      </c>
      <c r="Z852" t="str">
        <f t="shared" si="207"/>
        <v/>
      </c>
      <c r="AA852" t="str">
        <f t="shared" si="208"/>
        <v/>
      </c>
      <c r="AB852" t="str">
        <f t="shared" si="209"/>
        <v/>
      </c>
      <c r="AC852" t="str">
        <f t="shared" si="210"/>
        <v/>
      </c>
      <c r="AD852" t="str">
        <f t="shared" si="211"/>
        <v/>
      </c>
    </row>
    <row r="853" spans="14:30" thickBot="1" x14ac:dyDescent="0.3">
      <c r="N853">
        <f t="shared" si="204"/>
        <v>0</v>
      </c>
      <c r="O853">
        <f t="shared" si="201"/>
        <v>0</v>
      </c>
      <c r="P853">
        <f t="shared" si="202"/>
        <v>0</v>
      </c>
      <c r="Q853">
        <f t="shared" si="203"/>
        <v>0</v>
      </c>
      <c r="X853" t="str">
        <f t="shared" si="205"/>
        <v/>
      </c>
      <c r="Y853" t="str">
        <f t="shared" si="206"/>
        <v/>
      </c>
      <c r="Z853" t="str">
        <f t="shared" si="207"/>
        <v/>
      </c>
      <c r="AA853" t="str">
        <f t="shared" si="208"/>
        <v/>
      </c>
      <c r="AB853" t="str">
        <f t="shared" si="209"/>
        <v/>
      </c>
      <c r="AC853" t="str">
        <f t="shared" si="210"/>
        <v/>
      </c>
      <c r="AD853" t="str">
        <f t="shared" si="211"/>
        <v/>
      </c>
    </row>
    <row r="854" spans="14:30" thickBot="1" x14ac:dyDescent="0.3">
      <c r="N854">
        <f t="shared" si="204"/>
        <v>0</v>
      </c>
      <c r="O854">
        <f t="shared" si="201"/>
        <v>0</v>
      </c>
      <c r="P854">
        <f t="shared" si="202"/>
        <v>0</v>
      </c>
      <c r="Q854">
        <f t="shared" si="203"/>
        <v>0</v>
      </c>
      <c r="X854" t="str">
        <f t="shared" si="205"/>
        <v/>
      </c>
      <c r="Y854" t="str">
        <f t="shared" si="206"/>
        <v/>
      </c>
      <c r="Z854" t="str">
        <f t="shared" si="207"/>
        <v/>
      </c>
      <c r="AA854" t="str">
        <f t="shared" si="208"/>
        <v/>
      </c>
      <c r="AB854" t="str">
        <f t="shared" si="209"/>
        <v/>
      </c>
      <c r="AC854" t="str">
        <f t="shared" si="210"/>
        <v/>
      </c>
      <c r="AD854" t="str">
        <f t="shared" si="211"/>
        <v/>
      </c>
    </row>
    <row r="855" spans="14:30" thickBot="1" x14ac:dyDescent="0.3">
      <c r="N855">
        <f t="shared" si="204"/>
        <v>0</v>
      </c>
      <c r="O855">
        <f t="shared" si="201"/>
        <v>0</v>
      </c>
      <c r="P855">
        <f t="shared" si="202"/>
        <v>0</v>
      </c>
      <c r="Q855">
        <f t="shared" si="203"/>
        <v>0</v>
      </c>
      <c r="X855" t="str">
        <f t="shared" si="205"/>
        <v/>
      </c>
      <c r="Y855" t="str">
        <f t="shared" si="206"/>
        <v/>
      </c>
      <c r="Z855" t="str">
        <f t="shared" si="207"/>
        <v/>
      </c>
      <c r="AA855" t="str">
        <f t="shared" si="208"/>
        <v/>
      </c>
      <c r="AB855" t="str">
        <f t="shared" si="209"/>
        <v/>
      </c>
      <c r="AC855" t="str">
        <f t="shared" si="210"/>
        <v/>
      </c>
      <c r="AD855" t="str">
        <f t="shared" si="211"/>
        <v/>
      </c>
    </row>
    <row r="856" spans="14:30" thickBot="1" x14ac:dyDescent="0.3">
      <c r="N856">
        <f t="shared" si="204"/>
        <v>0</v>
      </c>
      <c r="O856">
        <f t="shared" si="201"/>
        <v>0</v>
      </c>
      <c r="P856">
        <f t="shared" si="202"/>
        <v>0</v>
      </c>
      <c r="Q856">
        <f t="shared" si="203"/>
        <v>0</v>
      </c>
      <c r="X856" t="str">
        <f t="shared" si="205"/>
        <v/>
      </c>
      <c r="Y856" t="str">
        <f t="shared" si="206"/>
        <v/>
      </c>
      <c r="Z856" t="str">
        <f t="shared" si="207"/>
        <v/>
      </c>
      <c r="AA856" t="str">
        <f t="shared" si="208"/>
        <v/>
      </c>
      <c r="AB856" t="str">
        <f t="shared" si="209"/>
        <v/>
      </c>
      <c r="AC856" t="str">
        <f t="shared" si="210"/>
        <v/>
      </c>
      <c r="AD856" t="str">
        <f t="shared" si="211"/>
        <v/>
      </c>
    </row>
    <row r="857" spans="14:30" thickBot="1" x14ac:dyDescent="0.3">
      <c r="N857">
        <f t="shared" si="204"/>
        <v>0</v>
      </c>
      <c r="O857">
        <f t="shared" si="201"/>
        <v>0</v>
      </c>
      <c r="P857">
        <f t="shared" si="202"/>
        <v>0</v>
      </c>
      <c r="Q857">
        <f t="shared" si="203"/>
        <v>0</v>
      </c>
      <c r="X857" t="str">
        <f t="shared" si="205"/>
        <v/>
      </c>
      <c r="Y857" t="str">
        <f t="shared" si="206"/>
        <v/>
      </c>
      <c r="Z857" t="str">
        <f t="shared" si="207"/>
        <v/>
      </c>
      <c r="AA857" t="str">
        <f t="shared" si="208"/>
        <v/>
      </c>
      <c r="AB857" t="str">
        <f t="shared" si="209"/>
        <v/>
      </c>
      <c r="AC857" t="str">
        <f t="shared" si="210"/>
        <v/>
      </c>
      <c r="AD857" t="str">
        <f t="shared" si="211"/>
        <v/>
      </c>
    </row>
    <row r="858" spans="14:30" thickBot="1" x14ac:dyDescent="0.3">
      <c r="N858">
        <f t="shared" si="204"/>
        <v>0</v>
      </c>
      <c r="O858">
        <f t="shared" si="201"/>
        <v>0</v>
      </c>
      <c r="P858">
        <f t="shared" si="202"/>
        <v>0</v>
      </c>
      <c r="Q858">
        <f t="shared" si="203"/>
        <v>0</v>
      </c>
      <c r="X858" t="str">
        <f t="shared" si="205"/>
        <v/>
      </c>
      <c r="Y858" t="str">
        <f t="shared" si="206"/>
        <v/>
      </c>
      <c r="Z858" t="str">
        <f t="shared" si="207"/>
        <v/>
      </c>
      <c r="AA858" t="str">
        <f t="shared" si="208"/>
        <v/>
      </c>
      <c r="AB858" t="str">
        <f t="shared" si="209"/>
        <v/>
      </c>
      <c r="AC858" t="str">
        <f t="shared" si="210"/>
        <v/>
      </c>
      <c r="AD858" t="str">
        <f t="shared" si="211"/>
        <v/>
      </c>
    </row>
    <row r="859" spans="14:30" thickBot="1" x14ac:dyDescent="0.3">
      <c r="N859">
        <f t="shared" si="204"/>
        <v>0</v>
      </c>
      <c r="O859">
        <f t="shared" si="201"/>
        <v>0</v>
      </c>
      <c r="P859">
        <f t="shared" si="202"/>
        <v>0</v>
      </c>
      <c r="Q859">
        <f t="shared" si="203"/>
        <v>0</v>
      </c>
      <c r="X859" t="str">
        <f t="shared" si="205"/>
        <v/>
      </c>
      <c r="Y859" t="str">
        <f t="shared" si="206"/>
        <v/>
      </c>
      <c r="Z859" t="str">
        <f t="shared" si="207"/>
        <v/>
      </c>
      <c r="AA859" t="str">
        <f t="shared" si="208"/>
        <v/>
      </c>
      <c r="AB859" t="str">
        <f t="shared" si="209"/>
        <v/>
      </c>
      <c r="AC859" t="str">
        <f t="shared" si="210"/>
        <v/>
      </c>
      <c r="AD859" t="str">
        <f t="shared" si="211"/>
        <v/>
      </c>
    </row>
    <row r="860" spans="14:30" thickBot="1" x14ac:dyDescent="0.3">
      <c r="N860">
        <f t="shared" si="204"/>
        <v>0</v>
      </c>
      <c r="O860">
        <f t="shared" si="201"/>
        <v>0</v>
      </c>
      <c r="P860">
        <f t="shared" si="202"/>
        <v>0</v>
      </c>
      <c r="Q860">
        <f t="shared" si="203"/>
        <v>0</v>
      </c>
      <c r="X860" t="str">
        <f t="shared" si="205"/>
        <v/>
      </c>
      <c r="Y860" t="str">
        <f t="shared" si="206"/>
        <v/>
      </c>
      <c r="Z860" t="str">
        <f t="shared" si="207"/>
        <v/>
      </c>
      <c r="AA860" t="str">
        <f t="shared" si="208"/>
        <v/>
      </c>
      <c r="AB860" t="str">
        <f t="shared" si="209"/>
        <v/>
      </c>
      <c r="AC860" t="str">
        <f t="shared" si="210"/>
        <v/>
      </c>
      <c r="AD860" t="str">
        <f t="shared" si="211"/>
        <v/>
      </c>
    </row>
    <row r="861" spans="14:30" thickBot="1" x14ac:dyDescent="0.3">
      <c r="N861">
        <f t="shared" si="204"/>
        <v>0</v>
      </c>
      <c r="O861">
        <f t="shared" si="201"/>
        <v>0</v>
      </c>
      <c r="P861">
        <f t="shared" si="202"/>
        <v>0</v>
      </c>
      <c r="Q861">
        <f t="shared" si="203"/>
        <v>0</v>
      </c>
      <c r="X861" t="str">
        <f t="shared" si="205"/>
        <v/>
      </c>
      <c r="Y861" t="str">
        <f t="shared" si="206"/>
        <v/>
      </c>
      <c r="Z861" t="str">
        <f t="shared" si="207"/>
        <v/>
      </c>
      <c r="AA861" t="str">
        <f t="shared" si="208"/>
        <v/>
      </c>
      <c r="AB861" t="str">
        <f t="shared" si="209"/>
        <v/>
      </c>
      <c r="AC861" t="str">
        <f t="shared" si="210"/>
        <v/>
      </c>
      <c r="AD861" t="str">
        <f t="shared" si="211"/>
        <v/>
      </c>
    </row>
    <row r="862" spans="14:30" thickBot="1" x14ac:dyDescent="0.3">
      <c r="N862">
        <f t="shared" si="204"/>
        <v>0</v>
      </c>
      <c r="O862">
        <f t="shared" si="201"/>
        <v>0</v>
      </c>
      <c r="P862">
        <f t="shared" si="202"/>
        <v>0</v>
      </c>
      <c r="Q862">
        <f t="shared" si="203"/>
        <v>0</v>
      </c>
      <c r="X862" t="str">
        <f t="shared" si="205"/>
        <v/>
      </c>
      <c r="Y862" t="str">
        <f t="shared" si="206"/>
        <v/>
      </c>
      <c r="Z862" t="str">
        <f t="shared" si="207"/>
        <v/>
      </c>
      <c r="AA862" t="str">
        <f t="shared" si="208"/>
        <v/>
      </c>
      <c r="AB862" t="str">
        <f t="shared" si="209"/>
        <v/>
      </c>
      <c r="AC862" t="str">
        <f t="shared" si="210"/>
        <v/>
      </c>
      <c r="AD862" t="str">
        <f t="shared" si="211"/>
        <v/>
      </c>
    </row>
    <row r="863" spans="14:30" thickBot="1" x14ac:dyDescent="0.3">
      <c r="N863">
        <f t="shared" si="204"/>
        <v>0</v>
      </c>
      <c r="O863">
        <f t="shared" si="201"/>
        <v>0</v>
      </c>
      <c r="P863">
        <f t="shared" si="202"/>
        <v>0</v>
      </c>
      <c r="Q863">
        <f t="shared" si="203"/>
        <v>0</v>
      </c>
      <c r="X863" t="str">
        <f t="shared" si="205"/>
        <v/>
      </c>
      <c r="Y863" t="str">
        <f t="shared" si="206"/>
        <v/>
      </c>
      <c r="Z863" t="str">
        <f t="shared" si="207"/>
        <v/>
      </c>
      <c r="AA863" t="str">
        <f t="shared" si="208"/>
        <v/>
      </c>
      <c r="AB863" t="str">
        <f t="shared" si="209"/>
        <v/>
      </c>
      <c r="AC863" t="str">
        <f t="shared" si="210"/>
        <v/>
      </c>
      <c r="AD863" t="str">
        <f t="shared" si="211"/>
        <v/>
      </c>
    </row>
    <row r="864" spans="14:30" thickBot="1" x14ac:dyDescent="0.3">
      <c r="N864">
        <f t="shared" si="204"/>
        <v>0</v>
      </c>
      <c r="O864">
        <f t="shared" si="201"/>
        <v>0</v>
      </c>
      <c r="P864">
        <f t="shared" si="202"/>
        <v>0</v>
      </c>
      <c r="Q864">
        <f t="shared" si="203"/>
        <v>0</v>
      </c>
      <c r="X864" t="str">
        <f t="shared" si="205"/>
        <v/>
      </c>
      <c r="Y864" t="str">
        <f t="shared" si="206"/>
        <v/>
      </c>
      <c r="Z864" t="str">
        <f t="shared" si="207"/>
        <v/>
      </c>
      <c r="AA864" t="str">
        <f t="shared" si="208"/>
        <v/>
      </c>
      <c r="AB864" t="str">
        <f t="shared" si="209"/>
        <v/>
      </c>
      <c r="AC864" t="str">
        <f t="shared" si="210"/>
        <v/>
      </c>
      <c r="AD864" t="str">
        <f t="shared" si="211"/>
        <v/>
      </c>
    </row>
    <row r="865" spans="14:30" thickBot="1" x14ac:dyDescent="0.3">
      <c r="N865">
        <f t="shared" si="204"/>
        <v>0</v>
      </c>
      <c r="O865">
        <f t="shared" si="201"/>
        <v>0</v>
      </c>
      <c r="P865">
        <f t="shared" si="202"/>
        <v>0</v>
      </c>
      <c r="Q865">
        <f t="shared" si="203"/>
        <v>0</v>
      </c>
      <c r="X865" t="str">
        <f t="shared" si="205"/>
        <v/>
      </c>
      <c r="Y865" t="str">
        <f t="shared" si="206"/>
        <v/>
      </c>
      <c r="Z865" t="str">
        <f t="shared" si="207"/>
        <v/>
      </c>
      <c r="AA865" t="str">
        <f t="shared" si="208"/>
        <v/>
      </c>
      <c r="AB865" t="str">
        <f t="shared" si="209"/>
        <v/>
      </c>
      <c r="AC865" t="str">
        <f t="shared" si="210"/>
        <v/>
      </c>
      <c r="AD865" t="str">
        <f t="shared" si="211"/>
        <v/>
      </c>
    </row>
    <row r="866" spans="14:30" thickBot="1" x14ac:dyDescent="0.3">
      <c r="N866">
        <f t="shared" si="204"/>
        <v>0</v>
      </c>
      <c r="O866">
        <f t="shared" si="201"/>
        <v>0</v>
      </c>
      <c r="P866">
        <f t="shared" si="202"/>
        <v>0</v>
      </c>
      <c r="Q866">
        <f t="shared" si="203"/>
        <v>0</v>
      </c>
      <c r="X866" t="str">
        <f t="shared" si="205"/>
        <v/>
      </c>
      <c r="Y866" t="str">
        <f t="shared" si="206"/>
        <v/>
      </c>
      <c r="Z866" t="str">
        <f t="shared" si="207"/>
        <v/>
      </c>
      <c r="AA866" t="str">
        <f t="shared" si="208"/>
        <v/>
      </c>
      <c r="AB866" t="str">
        <f t="shared" si="209"/>
        <v/>
      </c>
      <c r="AC866" t="str">
        <f t="shared" si="210"/>
        <v/>
      </c>
      <c r="AD866" t="str">
        <f t="shared" si="211"/>
        <v/>
      </c>
    </row>
    <row r="867" spans="14:30" thickBot="1" x14ac:dyDescent="0.3">
      <c r="N867">
        <f t="shared" si="204"/>
        <v>0</v>
      </c>
      <c r="O867">
        <f t="shared" si="201"/>
        <v>0</v>
      </c>
      <c r="P867">
        <f t="shared" si="202"/>
        <v>0</v>
      </c>
      <c r="Q867">
        <f t="shared" si="203"/>
        <v>0</v>
      </c>
      <c r="X867" t="str">
        <f t="shared" si="205"/>
        <v/>
      </c>
      <c r="Y867" t="str">
        <f t="shared" si="206"/>
        <v/>
      </c>
      <c r="Z867" t="str">
        <f t="shared" si="207"/>
        <v/>
      </c>
      <c r="AA867" t="str">
        <f t="shared" si="208"/>
        <v/>
      </c>
      <c r="AB867" t="str">
        <f t="shared" si="209"/>
        <v/>
      </c>
      <c r="AC867" t="str">
        <f t="shared" si="210"/>
        <v/>
      </c>
      <c r="AD867" t="str">
        <f t="shared" si="211"/>
        <v/>
      </c>
    </row>
    <row r="868" spans="14:30" thickBot="1" x14ac:dyDescent="0.3">
      <c r="N868">
        <f t="shared" si="204"/>
        <v>0</v>
      </c>
      <c r="O868">
        <f t="shared" si="201"/>
        <v>0</v>
      </c>
      <c r="P868">
        <f t="shared" si="202"/>
        <v>0</v>
      </c>
      <c r="Q868">
        <f t="shared" si="203"/>
        <v>0</v>
      </c>
      <c r="X868" t="str">
        <f t="shared" si="205"/>
        <v/>
      </c>
      <c r="Y868" t="str">
        <f t="shared" si="206"/>
        <v/>
      </c>
      <c r="Z868" t="str">
        <f t="shared" si="207"/>
        <v/>
      </c>
      <c r="AA868" t="str">
        <f t="shared" si="208"/>
        <v/>
      </c>
      <c r="AB868" t="str">
        <f t="shared" si="209"/>
        <v/>
      </c>
      <c r="AC868" t="str">
        <f t="shared" si="210"/>
        <v/>
      </c>
      <c r="AD868" t="str">
        <f t="shared" si="211"/>
        <v/>
      </c>
    </row>
    <row r="869" spans="14:30" thickBot="1" x14ac:dyDescent="0.3">
      <c r="N869">
        <f t="shared" si="204"/>
        <v>0</v>
      </c>
      <c r="O869">
        <f t="shared" si="201"/>
        <v>0</v>
      </c>
      <c r="P869">
        <f t="shared" si="202"/>
        <v>0</v>
      </c>
      <c r="Q869">
        <f t="shared" si="203"/>
        <v>0</v>
      </c>
      <c r="X869" t="str">
        <f t="shared" si="205"/>
        <v/>
      </c>
      <c r="Y869" t="str">
        <f t="shared" si="206"/>
        <v/>
      </c>
      <c r="Z869" t="str">
        <f t="shared" si="207"/>
        <v/>
      </c>
      <c r="AA869" t="str">
        <f t="shared" si="208"/>
        <v/>
      </c>
      <c r="AB869" t="str">
        <f t="shared" si="209"/>
        <v/>
      </c>
      <c r="AC869" t="str">
        <f t="shared" si="210"/>
        <v/>
      </c>
      <c r="AD869" t="str">
        <f t="shared" si="211"/>
        <v/>
      </c>
    </row>
    <row r="870" spans="14:30" thickBot="1" x14ac:dyDescent="0.3">
      <c r="N870">
        <f t="shared" si="204"/>
        <v>0</v>
      </c>
      <c r="O870">
        <f t="shared" si="201"/>
        <v>0</v>
      </c>
      <c r="P870">
        <f t="shared" si="202"/>
        <v>0</v>
      </c>
      <c r="Q870">
        <f t="shared" si="203"/>
        <v>0</v>
      </c>
      <c r="X870" t="str">
        <f t="shared" si="205"/>
        <v/>
      </c>
      <c r="Y870" t="str">
        <f t="shared" si="206"/>
        <v/>
      </c>
      <c r="Z870" t="str">
        <f t="shared" si="207"/>
        <v/>
      </c>
      <c r="AA870" t="str">
        <f t="shared" si="208"/>
        <v/>
      </c>
      <c r="AB870" t="str">
        <f t="shared" si="209"/>
        <v/>
      </c>
      <c r="AC870" t="str">
        <f t="shared" si="210"/>
        <v/>
      </c>
      <c r="AD870" t="str">
        <f t="shared" si="211"/>
        <v/>
      </c>
    </row>
    <row r="871" spans="14:30" thickBot="1" x14ac:dyDescent="0.3">
      <c r="N871">
        <f t="shared" si="204"/>
        <v>0</v>
      </c>
      <c r="O871">
        <f t="shared" si="201"/>
        <v>0</v>
      </c>
      <c r="P871">
        <f t="shared" si="202"/>
        <v>0</v>
      </c>
      <c r="Q871">
        <f t="shared" si="203"/>
        <v>0</v>
      </c>
      <c r="X871" t="str">
        <f t="shared" si="205"/>
        <v/>
      </c>
      <c r="Y871" t="str">
        <f t="shared" si="206"/>
        <v/>
      </c>
      <c r="Z871" t="str">
        <f t="shared" si="207"/>
        <v/>
      </c>
      <c r="AA871" t="str">
        <f t="shared" si="208"/>
        <v/>
      </c>
      <c r="AB871" t="str">
        <f t="shared" si="209"/>
        <v/>
      </c>
      <c r="AC871" t="str">
        <f t="shared" si="210"/>
        <v/>
      </c>
      <c r="AD871" t="str">
        <f t="shared" si="211"/>
        <v/>
      </c>
    </row>
    <row r="872" spans="14:30" thickBot="1" x14ac:dyDescent="0.3">
      <c r="N872">
        <f t="shared" si="204"/>
        <v>0</v>
      </c>
      <c r="O872">
        <f t="shared" si="201"/>
        <v>0</v>
      </c>
      <c r="P872">
        <f t="shared" si="202"/>
        <v>0</v>
      </c>
      <c r="Q872">
        <f t="shared" si="203"/>
        <v>0</v>
      </c>
      <c r="X872" t="str">
        <f t="shared" si="205"/>
        <v/>
      </c>
      <c r="Y872" t="str">
        <f t="shared" si="206"/>
        <v/>
      </c>
      <c r="Z872" t="str">
        <f t="shared" si="207"/>
        <v/>
      </c>
      <c r="AA872" t="str">
        <f t="shared" si="208"/>
        <v/>
      </c>
      <c r="AB872" t="str">
        <f t="shared" si="209"/>
        <v/>
      </c>
      <c r="AC872" t="str">
        <f t="shared" si="210"/>
        <v/>
      </c>
      <c r="AD872" t="str">
        <f t="shared" si="211"/>
        <v/>
      </c>
    </row>
    <row r="873" spans="14:30" thickBot="1" x14ac:dyDescent="0.3">
      <c r="N873">
        <f t="shared" si="204"/>
        <v>0</v>
      </c>
      <c r="O873">
        <f t="shared" si="201"/>
        <v>0</v>
      </c>
      <c r="P873">
        <f t="shared" si="202"/>
        <v>0</v>
      </c>
      <c r="Q873">
        <f t="shared" si="203"/>
        <v>0</v>
      </c>
      <c r="X873" t="str">
        <f t="shared" si="205"/>
        <v/>
      </c>
      <c r="Y873" t="str">
        <f t="shared" si="206"/>
        <v/>
      </c>
      <c r="Z873" t="str">
        <f t="shared" si="207"/>
        <v/>
      </c>
      <c r="AA873" t="str">
        <f t="shared" si="208"/>
        <v/>
      </c>
      <c r="AB873" t="str">
        <f t="shared" si="209"/>
        <v/>
      </c>
      <c r="AC873" t="str">
        <f t="shared" si="210"/>
        <v/>
      </c>
      <c r="AD873" t="str">
        <f t="shared" si="211"/>
        <v/>
      </c>
    </row>
    <row r="874" spans="14:30" thickBot="1" x14ac:dyDescent="0.3">
      <c r="N874">
        <f t="shared" si="204"/>
        <v>0</v>
      </c>
      <c r="O874">
        <f t="shared" si="201"/>
        <v>0</v>
      </c>
      <c r="P874">
        <f t="shared" si="202"/>
        <v>0</v>
      </c>
      <c r="Q874">
        <f t="shared" si="203"/>
        <v>0</v>
      </c>
      <c r="X874" t="str">
        <f t="shared" si="205"/>
        <v/>
      </c>
      <c r="Y874" t="str">
        <f t="shared" si="206"/>
        <v/>
      </c>
      <c r="Z874" t="str">
        <f t="shared" si="207"/>
        <v/>
      </c>
      <c r="AA874" t="str">
        <f t="shared" si="208"/>
        <v/>
      </c>
      <c r="AB874" t="str">
        <f t="shared" si="209"/>
        <v/>
      </c>
      <c r="AC874" t="str">
        <f t="shared" si="210"/>
        <v/>
      </c>
      <c r="AD874" t="str">
        <f t="shared" si="211"/>
        <v/>
      </c>
    </row>
    <row r="875" spans="14:30" thickBot="1" x14ac:dyDescent="0.3">
      <c r="N875">
        <f t="shared" si="204"/>
        <v>0</v>
      </c>
      <c r="O875">
        <f t="shared" si="201"/>
        <v>0</v>
      </c>
      <c r="P875">
        <f t="shared" si="202"/>
        <v>0</v>
      </c>
      <c r="Q875">
        <f t="shared" si="203"/>
        <v>0</v>
      </c>
      <c r="X875" t="str">
        <f t="shared" si="205"/>
        <v/>
      </c>
      <c r="Y875" t="str">
        <f t="shared" si="206"/>
        <v/>
      </c>
      <c r="Z875" t="str">
        <f t="shared" si="207"/>
        <v/>
      </c>
      <c r="AA875" t="str">
        <f t="shared" si="208"/>
        <v/>
      </c>
      <c r="AB875" t="str">
        <f t="shared" si="209"/>
        <v/>
      </c>
      <c r="AC875" t="str">
        <f t="shared" si="210"/>
        <v/>
      </c>
      <c r="AD875" t="str">
        <f t="shared" si="211"/>
        <v/>
      </c>
    </row>
    <row r="876" spans="14:30" thickBot="1" x14ac:dyDescent="0.3">
      <c r="N876">
        <f t="shared" si="204"/>
        <v>0</v>
      </c>
      <c r="O876">
        <f t="shared" si="201"/>
        <v>0</v>
      </c>
      <c r="P876">
        <f t="shared" si="202"/>
        <v>0</v>
      </c>
      <c r="Q876">
        <f t="shared" si="203"/>
        <v>0</v>
      </c>
      <c r="X876" t="str">
        <f t="shared" si="205"/>
        <v/>
      </c>
      <c r="Y876" t="str">
        <f t="shared" si="206"/>
        <v/>
      </c>
      <c r="Z876" t="str">
        <f t="shared" si="207"/>
        <v/>
      </c>
      <c r="AA876" t="str">
        <f t="shared" si="208"/>
        <v/>
      </c>
      <c r="AB876" t="str">
        <f t="shared" si="209"/>
        <v/>
      </c>
      <c r="AC876" t="str">
        <f t="shared" si="210"/>
        <v/>
      </c>
      <c r="AD876" t="str">
        <f t="shared" si="211"/>
        <v/>
      </c>
    </row>
    <row r="877" spans="14:30" thickBot="1" x14ac:dyDescent="0.3">
      <c r="N877">
        <f t="shared" si="204"/>
        <v>0</v>
      </c>
      <c r="O877">
        <f t="shared" si="201"/>
        <v>0</v>
      </c>
      <c r="P877">
        <f t="shared" si="202"/>
        <v>0</v>
      </c>
      <c r="Q877">
        <f t="shared" si="203"/>
        <v>0</v>
      </c>
      <c r="X877" t="str">
        <f t="shared" si="205"/>
        <v/>
      </c>
      <c r="Y877" t="str">
        <f t="shared" si="206"/>
        <v/>
      </c>
      <c r="Z877" t="str">
        <f t="shared" si="207"/>
        <v/>
      </c>
      <c r="AA877" t="str">
        <f t="shared" si="208"/>
        <v/>
      </c>
      <c r="AB877" t="str">
        <f t="shared" si="209"/>
        <v/>
      </c>
      <c r="AC877" t="str">
        <f t="shared" si="210"/>
        <v/>
      </c>
      <c r="AD877" t="str">
        <f t="shared" si="211"/>
        <v/>
      </c>
    </row>
    <row r="878" spans="14:30" thickBot="1" x14ac:dyDescent="0.3">
      <c r="N878">
        <f t="shared" si="204"/>
        <v>0</v>
      </c>
      <c r="O878">
        <f t="shared" si="201"/>
        <v>0</v>
      </c>
      <c r="P878">
        <f t="shared" si="202"/>
        <v>0</v>
      </c>
      <c r="Q878">
        <f t="shared" si="203"/>
        <v>0</v>
      </c>
      <c r="X878" t="str">
        <f t="shared" si="205"/>
        <v/>
      </c>
      <c r="Y878" t="str">
        <f t="shared" si="206"/>
        <v/>
      </c>
      <c r="Z878" t="str">
        <f t="shared" si="207"/>
        <v/>
      </c>
      <c r="AA878" t="str">
        <f t="shared" si="208"/>
        <v/>
      </c>
      <c r="AB878" t="str">
        <f t="shared" si="209"/>
        <v/>
      </c>
      <c r="AC878" t="str">
        <f t="shared" si="210"/>
        <v/>
      </c>
      <c r="AD878" t="str">
        <f t="shared" si="211"/>
        <v/>
      </c>
    </row>
    <row r="879" spans="14:30" thickBot="1" x14ac:dyDescent="0.3">
      <c r="N879">
        <f t="shared" si="204"/>
        <v>0</v>
      </c>
      <c r="O879">
        <f t="shared" si="201"/>
        <v>0</v>
      </c>
      <c r="P879">
        <f t="shared" si="202"/>
        <v>0</v>
      </c>
      <c r="Q879">
        <f t="shared" si="203"/>
        <v>0</v>
      </c>
      <c r="X879" t="str">
        <f t="shared" si="205"/>
        <v/>
      </c>
      <c r="Y879" t="str">
        <f t="shared" si="206"/>
        <v/>
      </c>
      <c r="Z879" t="str">
        <f t="shared" si="207"/>
        <v/>
      </c>
      <c r="AA879" t="str">
        <f t="shared" si="208"/>
        <v/>
      </c>
      <c r="AB879" t="str">
        <f t="shared" si="209"/>
        <v/>
      </c>
      <c r="AC879" t="str">
        <f t="shared" si="210"/>
        <v/>
      </c>
      <c r="AD879" t="str">
        <f t="shared" si="211"/>
        <v/>
      </c>
    </row>
    <row r="880" spans="14:30" thickBot="1" x14ac:dyDescent="0.3">
      <c r="N880">
        <f t="shared" si="204"/>
        <v>0</v>
      </c>
      <c r="O880">
        <f t="shared" si="201"/>
        <v>0</v>
      </c>
      <c r="P880">
        <f t="shared" si="202"/>
        <v>0</v>
      </c>
      <c r="Q880">
        <f t="shared" si="203"/>
        <v>0</v>
      </c>
      <c r="X880" t="str">
        <f t="shared" si="205"/>
        <v/>
      </c>
      <c r="Y880" t="str">
        <f t="shared" si="206"/>
        <v/>
      </c>
      <c r="Z880" t="str">
        <f t="shared" si="207"/>
        <v/>
      </c>
      <c r="AA880" t="str">
        <f t="shared" si="208"/>
        <v/>
      </c>
      <c r="AB880" t="str">
        <f t="shared" si="209"/>
        <v/>
      </c>
      <c r="AC880" t="str">
        <f t="shared" si="210"/>
        <v/>
      </c>
      <c r="AD880" t="str">
        <f t="shared" si="211"/>
        <v/>
      </c>
    </row>
    <row r="881" spans="14:30" thickBot="1" x14ac:dyDescent="0.3">
      <c r="N881">
        <f t="shared" si="204"/>
        <v>0</v>
      </c>
      <c r="O881">
        <f t="shared" si="201"/>
        <v>0</v>
      </c>
      <c r="P881">
        <f t="shared" si="202"/>
        <v>0</v>
      </c>
      <c r="Q881">
        <f t="shared" si="203"/>
        <v>0</v>
      </c>
      <c r="X881" t="str">
        <f t="shared" si="205"/>
        <v/>
      </c>
      <c r="Y881" t="str">
        <f t="shared" si="206"/>
        <v/>
      </c>
      <c r="Z881" t="str">
        <f t="shared" si="207"/>
        <v/>
      </c>
      <c r="AA881" t="str">
        <f t="shared" si="208"/>
        <v/>
      </c>
      <c r="AB881" t="str">
        <f t="shared" si="209"/>
        <v/>
      </c>
      <c r="AC881" t="str">
        <f t="shared" si="210"/>
        <v/>
      </c>
      <c r="AD881" t="str">
        <f t="shared" si="211"/>
        <v/>
      </c>
    </row>
    <row r="882" spans="14:30" thickBot="1" x14ac:dyDescent="0.3">
      <c r="N882">
        <f t="shared" si="204"/>
        <v>0</v>
      </c>
      <c r="O882">
        <f t="shared" si="201"/>
        <v>0</v>
      </c>
      <c r="P882">
        <f t="shared" si="202"/>
        <v>0</v>
      </c>
      <c r="Q882">
        <f t="shared" si="203"/>
        <v>0</v>
      </c>
      <c r="X882" t="str">
        <f t="shared" si="205"/>
        <v/>
      </c>
      <c r="Y882" t="str">
        <f t="shared" si="206"/>
        <v/>
      </c>
      <c r="Z882" t="str">
        <f t="shared" si="207"/>
        <v/>
      </c>
      <c r="AA882" t="str">
        <f t="shared" si="208"/>
        <v/>
      </c>
      <c r="AB882" t="str">
        <f t="shared" si="209"/>
        <v/>
      </c>
      <c r="AC882" t="str">
        <f t="shared" si="210"/>
        <v/>
      </c>
      <c r="AD882" t="str">
        <f t="shared" si="211"/>
        <v/>
      </c>
    </row>
    <row r="883" spans="14:30" thickBot="1" x14ac:dyDescent="0.3">
      <c r="N883">
        <f t="shared" si="204"/>
        <v>0</v>
      </c>
      <c r="O883">
        <f t="shared" si="201"/>
        <v>0</v>
      </c>
      <c r="P883">
        <f t="shared" si="202"/>
        <v>0</v>
      </c>
      <c r="Q883">
        <f t="shared" si="203"/>
        <v>0</v>
      </c>
      <c r="X883" t="str">
        <f t="shared" si="205"/>
        <v/>
      </c>
      <c r="Y883" t="str">
        <f t="shared" si="206"/>
        <v/>
      </c>
      <c r="Z883" t="str">
        <f t="shared" si="207"/>
        <v/>
      </c>
      <c r="AA883" t="str">
        <f t="shared" si="208"/>
        <v/>
      </c>
      <c r="AB883" t="str">
        <f t="shared" si="209"/>
        <v/>
      </c>
      <c r="AC883" t="str">
        <f t="shared" si="210"/>
        <v/>
      </c>
      <c r="AD883" t="str">
        <f t="shared" si="211"/>
        <v/>
      </c>
    </row>
    <row r="884" spans="14:30" thickBot="1" x14ac:dyDescent="0.3">
      <c r="N884">
        <f t="shared" si="204"/>
        <v>0</v>
      </c>
      <c r="O884">
        <f t="shared" si="201"/>
        <v>0</v>
      </c>
      <c r="P884">
        <f t="shared" si="202"/>
        <v>0</v>
      </c>
      <c r="Q884">
        <f t="shared" si="203"/>
        <v>0</v>
      </c>
      <c r="X884" t="str">
        <f t="shared" si="205"/>
        <v/>
      </c>
      <c r="Y884" t="str">
        <f t="shared" si="206"/>
        <v/>
      </c>
      <c r="Z884" t="str">
        <f t="shared" si="207"/>
        <v/>
      </c>
      <c r="AA884" t="str">
        <f t="shared" si="208"/>
        <v/>
      </c>
      <c r="AB884" t="str">
        <f t="shared" si="209"/>
        <v/>
      </c>
      <c r="AC884" t="str">
        <f t="shared" si="210"/>
        <v/>
      </c>
      <c r="AD884" t="str">
        <f t="shared" si="211"/>
        <v/>
      </c>
    </row>
    <row r="885" spans="14:30" thickBot="1" x14ac:dyDescent="0.3">
      <c r="N885">
        <f t="shared" si="204"/>
        <v>0</v>
      </c>
      <c r="O885">
        <f t="shared" si="201"/>
        <v>0</v>
      </c>
      <c r="P885">
        <f t="shared" si="202"/>
        <v>0</v>
      </c>
      <c r="Q885">
        <f t="shared" si="203"/>
        <v>0</v>
      </c>
      <c r="X885" t="str">
        <f t="shared" si="205"/>
        <v/>
      </c>
      <c r="Y885" t="str">
        <f t="shared" si="206"/>
        <v/>
      </c>
      <c r="Z885" t="str">
        <f t="shared" si="207"/>
        <v/>
      </c>
      <c r="AA885" t="str">
        <f t="shared" si="208"/>
        <v/>
      </c>
      <c r="AB885" t="str">
        <f t="shared" si="209"/>
        <v/>
      </c>
      <c r="AC885" t="str">
        <f t="shared" si="210"/>
        <v/>
      </c>
      <c r="AD885" t="str">
        <f t="shared" si="211"/>
        <v/>
      </c>
    </row>
    <row r="886" spans="14:30" thickBot="1" x14ac:dyDescent="0.3">
      <c r="N886">
        <f t="shared" si="204"/>
        <v>0</v>
      </c>
      <c r="O886">
        <f t="shared" si="201"/>
        <v>0</v>
      </c>
      <c r="P886">
        <f t="shared" si="202"/>
        <v>0</v>
      </c>
      <c r="Q886">
        <f t="shared" si="203"/>
        <v>0</v>
      </c>
      <c r="X886" t="str">
        <f t="shared" si="205"/>
        <v/>
      </c>
      <c r="Y886" t="str">
        <f t="shared" si="206"/>
        <v/>
      </c>
      <c r="Z886" t="str">
        <f t="shared" si="207"/>
        <v/>
      </c>
      <c r="AA886" t="str">
        <f t="shared" si="208"/>
        <v/>
      </c>
      <c r="AB886" t="str">
        <f t="shared" si="209"/>
        <v/>
      </c>
      <c r="AC886" t="str">
        <f t="shared" si="210"/>
        <v/>
      </c>
      <c r="AD886" t="str">
        <f t="shared" si="211"/>
        <v/>
      </c>
    </row>
    <row r="887" spans="14:30" thickBot="1" x14ac:dyDescent="0.3">
      <c r="N887">
        <f t="shared" si="204"/>
        <v>0</v>
      </c>
      <c r="O887">
        <f t="shared" si="201"/>
        <v>0</v>
      </c>
      <c r="P887">
        <f t="shared" si="202"/>
        <v>0</v>
      </c>
      <c r="Q887">
        <f t="shared" si="203"/>
        <v>0</v>
      </c>
      <c r="X887" t="str">
        <f t="shared" si="205"/>
        <v/>
      </c>
      <c r="Y887" t="str">
        <f t="shared" si="206"/>
        <v/>
      </c>
      <c r="Z887" t="str">
        <f t="shared" si="207"/>
        <v/>
      </c>
      <c r="AA887" t="str">
        <f t="shared" si="208"/>
        <v/>
      </c>
      <c r="AB887" t="str">
        <f t="shared" si="209"/>
        <v/>
      </c>
      <c r="AC887" t="str">
        <f t="shared" si="210"/>
        <v/>
      </c>
      <c r="AD887" t="str">
        <f t="shared" si="211"/>
        <v/>
      </c>
    </row>
    <row r="888" spans="14:30" thickBot="1" x14ac:dyDescent="0.3">
      <c r="N888">
        <f t="shared" si="204"/>
        <v>0</v>
      </c>
      <c r="O888">
        <f t="shared" si="201"/>
        <v>0</v>
      </c>
      <c r="P888">
        <f t="shared" si="202"/>
        <v>0</v>
      </c>
      <c r="Q888">
        <f t="shared" si="203"/>
        <v>0</v>
      </c>
      <c r="X888" t="str">
        <f t="shared" si="205"/>
        <v/>
      </c>
      <c r="Y888" t="str">
        <f t="shared" si="206"/>
        <v/>
      </c>
      <c r="Z888" t="str">
        <f t="shared" si="207"/>
        <v/>
      </c>
      <c r="AA888" t="str">
        <f t="shared" si="208"/>
        <v/>
      </c>
      <c r="AB888" t="str">
        <f t="shared" si="209"/>
        <v/>
      </c>
      <c r="AC888" t="str">
        <f t="shared" si="210"/>
        <v/>
      </c>
      <c r="AD888" t="str">
        <f t="shared" si="211"/>
        <v/>
      </c>
    </row>
    <row r="889" spans="14:30" thickBot="1" x14ac:dyDescent="0.3">
      <c r="N889">
        <f t="shared" si="204"/>
        <v>0</v>
      </c>
      <c r="O889">
        <f t="shared" si="201"/>
        <v>0</v>
      </c>
      <c r="P889">
        <f t="shared" si="202"/>
        <v>0</v>
      </c>
      <c r="Q889">
        <f t="shared" si="203"/>
        <v>0</v>
      </c>
      <c r="X889" t="str">
        <f t="shared" si="205"/>
        <v/>
      </c>
      <c r="Y889" t="str">
        <f t="shared" si="206"/>
        <v/>
      </c>
      <c r="Z889" t="str">
        <f t="shared" si="207"/>
        <v/>
      </c>
      <c r="AA889" t="str">
        <f t="shared" si="208"/>
        <v/>
      </c>
      <c r="AB889" t="str">
        <f t="shared" si="209"/>
        <v/>
      </c>
      <c r="AC889" t="str">
        <f t="shared" si="210"/>
        <v/>
      </c>
      <c r="AD889" t="str">
        <f t="shared" si="211"/>
        <v/>
      </c>
    </row>
    <row r="890" spans="14:30" thickBot="1" x14ac:dyDescent="0.3">
      <c r="N890">
        <f t="shared" si="204"/>
        <v>0</v>
      </c>
      <c r="O890">
        <f t="shared" si="201"/>
        <v>0</v>
      </c>
      <c r="P890">
        <f t="shared" si="202"/>
        <v>0</v>
      </c>
      <c r="Q890">
        <f t="shared" si="203"/>
        <v>0</v>
      </c>
      <c r="X890" t="str">
        <f t="shared" si="205"/>
        <v/>
      </c>
      <c r="Y890" t="str">
        <f t="shared" si="206"/>
        <v/>
      </c>
      <c r="Z890" t="str">
        <f t="shared" si="207"/>
        <v/>
      </c>
      <c r="AA890" t="str">
        <f t="shared" si="208"/>
        <v/>
      </c>
      <c r="AB890" t="str">
        <f t="shared" si="209"/>
        <v/>
      </c>
      <c r="AC890" t="str">
        <f t="shared" si="210"/>
        <v/>
      </c>
      <c r="AD890" t="str">
        <f t="shared" si="211"/>
        <v/>
      </c>
    </row>
    <row r="891" spans="14:30" thickBot="1" x14ac:dyDescent="0.3">
      <c r="N891">
        <f t="shared" si="204"/>
        <v>0</v>
      </c>
      <c r="O891">
        <f t="shared" si="201"/>
        <v>0</v>
      </c>
      <c r="P891">
        <f t="shared" si="202"/>
        <v>0</v>
      </c>
      <c r="Q891">
        <f t="shared" si="203"/>
        <v>0</v>
      </c>
      <c r="X891" t="str">
        <f t="shared" si="205"/>
        <v/>
      </c>
      <c r="Y891" t="str">
        <f t="shared" si="206"/>
        <v/>
      </c>
      <c r="Z891" t="str">
        <f t="shared" si="207"/>
        <v/>
      </c>
      <c r="AA891" t="str">
        <f t="shared" si="208"/>
        <v/>
      </c>
      <c r="AB891" t="str">
        <f t="shared" si="209"/>
        <v/>
      </c>
      <c r="AC891" t="str">
        <f t="shared" si="210"/>
        <v/>
      </c>
      <c r="AD891" t="str">
        <f t="shared" si="211"/>
        <v/>
      </c>
    </row>
    <row r="892" spans="14:30" thickBot="1" x14ac:dyDescent="0.3">
      <c r="N892">
        <f t="shared" si="204"/>
        <v>0</v>
      </c>
      <c r="O892">
        <f t="shared" si="201"/>
        <v>0</v>
      </c>
      <c r="P892">
        <f t="shared" si="202"/>
        <v>0</v>
      </c>
      <c r="Q892">
        <f t="shared" si="203"/>
        <v>0</v>
      </c>
      <c r="X892" t="str">
        <f t="shared" si="205"/>
        <v/>
      </c>
      <c r="Y892" t="str">
        <f t="shared" si="206"/>
        <v/>
      </c>
      <c r="Z892" t="str">
        <f t="shared" si="207"/>
        <v/>
      </c>
      <c r="AA892" t="str">
        <f t="shared" si="208"/>
        <v/>
      </c>
      <c r="AB892" t="str">
        <f t="shared" si="209"/>
        <v/>
      </c>
      <c r="AC892" t="str">
        <f t="shared" si="210"/>
        <v/>
      </c>
      <c r="AD892" t="str">
        <f t="shared" si="211"/>
        <v/>
      </c>
    </row>
    <row r="893" spans="14:30" thickBot="1" x14ac:dyDescent="0.3">
      <c r="N893">
        <f t="shared" si="204"/>
        <v>0</v>
      </c>
      <c r="O893">
        <f t="shared" si="201"/>
        <v>0</v>
      </c>
      <c r="P893">
        <f t="shared" si="202"/>
        <v>0</v>
      </c>
      <c r="Q893">
        <f t="shared" si="203"/>
        <v>0</v>
      </c>
      <c r="X893" t="str">
        <f t="shared" si="205"/>
        <v/>
      </c>
      <c r="Y893" t="str">
        <f t="shared" si="206"/>
        <v/>
      </c>
      <c r="Z893" t="str">
        <f t="shared" si="207"/>
        <v/>
      </c>
      <c r="AA893" t="str">
        <f t="shared" si="208"/>
        <v/>
      </c>
      <c r="AB893" t="str">
        <f t="shared" si="209"/>
        <v/>
      </c>
      <c r="AC893" t="str">
        <f t="shared" si="210"/>
        <v/>
      </c>
      <c r="AD893" t="str">
        <f t="shared" si="211"/>
        <v/>
      </c>
    </row>
    <row r="894" spans="14:30" thickBot="1" x14ac:dyDescent="0.3">
      <c r="N894">
        <f t="shared" si="204"/>
        <v>0</v>
      </c>
      <c r="O894">
        <f t="shared" si="201"/>
        <v>0</v>
      </c>
      <c r="P894">
        <f t="shared" si="202"/>
        <v>0</v>
      </c>
      <c r="Q894">
        <f t="shared" si="203"/>
        <v>0</v>
      </c>
      <c r="X894" t="str">
        <f t="shared" si="205"/>
        <v/>
      </c>
      <c r="Y894" t="str">
        <f t="shared" si="206"/>
        <v/>
      </c>
      <c r="Z894" t="str">
        <f t="shared" si="207"/>
        <v/>
      </c>
      <c r="AA894" t="str">
        <f t="shared" si="208"/>
        <v/>
      </c>
      <c r="AB894" t="str">
        <f t="shared" si="209"/>
        <v/>
      </c>
      <c r="AC894" t="str">
        <f t="shared" si="210"/>
        <v/>
      </c>
      <c r="AD894" t="str">
        <f t="shared" si="211"/>
        <v/>
      </c>
    </row>
    <row r="895" spans="14:30" thickBot="1" x14ac:dyDescent="0.3">
      <c r="N895">
        <f t="shared" si="204"/>
        <v>0</v>
      </c>
      <c r="O895">
        <f t="shared" si="201"/>
        <v>0</v>
      </c>
      <c r="P895">
        <f t="shared" si="202"/>
        <v>0</v>
      </c>
      <c r="Q895">
        <f t="shared" si="203"/>
        <v>0</v>
      </c>
      <c r="X895" t="str">
        <f t="shared" si="205"/>
        <v/>
      </c>
      <c r="Y895" t="str">
        <f t="shared" si="206"/>
        <v/>
      </c>
      <c r="Z895" t="str">
        <f t="shared" si="207"/>
        <v/>
      </c>
      <c r="AA895" t="str">
        <f t="shared" si="208"/>
        <v/>
      </c>
      <c r="AB895" t="str">
        <f t="shared" si="209"/>
        <v/>
      </c>
      <c r="AC895" t="str">
        <f t="shared" si="210"/>
        <v/>
      </c>
      <c r="AD895" t="str">
        <f t="shared" si="211"/>
        <v/>
      </c>
    </row>
    <row r="896" spans="14:30" thickBot="1" x14ac:dyDescent="0.3">
      <c r="N896">
        <f t="shared" si="204"/>
        <v>0</v>
      </c>
      <c r="O896">
        <f t="shared" si="201"/>
        <v>0</v>
      </c>
      <c r="P896">
        <f t="shared" si="202"/>
        <v>0</v>
      </c>
      <c r="Q896">
        <f t="shared" si="203"/>
        <v>0</v>
      </c>
      <c r="X896" t="str">
        <f t="shared" si="205"/>
        <v/>
      </c>
      <c r="Y896" t="str">
        <f t="shared" si="206"/>
        <v/>
      </c>
      <c r="Z896" t="str">
        <f t="shared" si="207"/>
        <v/>
      </c>
      <c r="AA896" t="str">
        <f t="shared" si="208"/>
        <v/>
      </c>
      <c r="AB896" t="str">
        <f t="shared" si="209"/>
        <v/>
      </c>
      <c r="AC896" t="str">
        <f t="shared" si="210"/>
        <v/>
      </c>
      <c r="AD896" t="str">
        <f t="shared" si="211"/>
        <v/>
      </c>
    </row>
    <row r="897" spans="14:30" thickBot="1" x14ac:dyDescent="0.3">
      <c r="N897">
        <f t="shared" si="204"/>
        <v>0</v>
      </c>
      <c r="O897">
        <f t="shared" ref="O897:O960" si="212">B897</f>
        <v>0</v>
      </c>
      <c r="P897">
        <f t="shared" ref="P897:P960" si="213">C897</f>
        <v>0</v>
      </c>
      <c r="Q897">
        <f t="shared" ref="Q897:Q960" si="214">D897</f>
        <v>0</v>
      </c>
      <c r="X897" t="str">
        <f t="shared" si="205"/>
        <v/>
      </c>
      <c r="Y897" t="str">
        <f t="shared" si="206"/>
        <v/>
      </c>
      <c r="Z897" t="str">
        <f t="shared" si="207"/>
        <v/>
      </c>
      <c r="AA897" t="str">
        <f t="shared" si="208"/>
        <v/>
      </c>
      <c r="AB897" t="str">
        <f t="shared" si="209"/>
        <v/>
      </c>
      <c r="AC897" t="str">
        <f t="shared" si="210"/>
        <v/>
      </c>
      <c r="AD897" t="str">
        <f t="shared" si="211"/>
        <v/>
      </c>
    </row>
    <row r="898" spans="14:30" thickBot="1" x14ac:dyDescent="0.3">
      <c r="N898">
        <f t="shared" ref="N898:N961" si="215">A898</f>
        <v>0</v>
      </c>
      <c r="O898">
        <f t="shared" si="212"/>
        <v>0</v>
      </c>
      <c r="P898">
        <f t="shared" si="213"/>
        <v>0</v>
      </c>
      <c r="Q898">
        <f t="shared" si="214"/>
        <v>0</v>
      </c>
      <c r="X898" t="str">
        <f t="shared" si="205"/>
        <v/>
      </c>
      <c r="Y898" t="str">
        <f t="shared" si="206"/>
        <v/>
      </c>
      <c r="Z898" t="str">
        <f t="shared" si="207"/>
        <v/>
      </c>
      <c r="AA898" t="str">
        <f t="shared" si="208"/>
        <v/>
      </c>
      <c r="AB898" t="str">
        <f t="shared" si="209"/>
        <v/>
      </c>
      <c r="AC898" t="str">
        <f t="shared" si="210"/>
        <v/>
      </c>
      <c r="AD898" t="str">
        <f t="shared" si="211"/>
        <v/>
      </c>
    </row>
    <row r="899" spans="14:30" thickBot="1" x14ac:dyDescent="0.3">
      <c r="N899">
        <f t="shared" si="215"/>
        <v>0</v>
      </c>
      <c r="O899">
        <f t="shared" si="212"/>
        <v>0</v>
      </c>
      <c r="P899">
        <f t="shared" si="213"/>
        <v>0</v>
      </c>
      <c r="Q899">
        <f t="shared" si="214"/>
        <v>0</v>
      </c>
      <c r="X899" t="str">
        <f t="shared" si="205"/>
        <v/>
      </c>
      <c r="Y899" t="str">
        <f t="shared" si="206"/>
        <v/>
      </c>
      <c r="Z899" t="str">
        <f t="shared" si="207"/>
        <v/>
      </c>
      <c r="AA899" t="str">
        <f t="shared" si="208"/>
        <v/>
      </c>
      <c r="AB899" t="str">
        <f t="shared" si="209"/>
        <v/>
      </c>
      <c r="AC899" t="str">
        <f t="shared" si="210"/>
        <v/>
      </c>
      <c r="AD899" t="str">
        <f t="shared" si="211"/>
        <v/>
      </c>
    </row>
    <row r="900" spans="14:30" thickBot="1" x14ac:dyDescent="0.3">
      <c r="N900">
        <f t="shared" si="215"/>
        <v>0</v>
      </c>
      <c r="O900">
        <f t="shared" si="212"/>
        <v>0</v>
      </c>
      <c r="P900">
        <f t="shared" si="213"/>
        <v>0</v>
      </c>
      <c r="Q900">
        <f t="shared" si="214"/>
        <v>0</v>
      </c>
      <c r="X900" t="str">
        <f t="shared" si="205"/>
        <v/>
      </c>
      <c r="Y900" t="str">
        <f t="shared" si="206"/>
        <v/>
      </c>
      <c r="Z900" t="str">
        <f t="shared" si="207"/>
        <v/>
      </c>
      <c r="AA900" t="str">
        <f t="shared" si="208"/>
        <v/>
      </c>
      <c r="AB900" t="str">
        <f t="shared" si="209"/>
        <v/>
      </c>
      <c r="AC900" t="str">
        <f t="shared" si="210"/>
        <v/>
      </c>
      <c r="AD900" t="str">
        <f t="shared" si="211"/>
        <v/>
      </c>
    </row>
    <row r="901" spans="14:30" thickBot="1" x14ac:dyDescent="0.3">
      <c r="N901">
        <f t="shared" si="215"/>
        <v>0</v>
      </c>
      <c r="O901">
        <f t="shared" si="212"/>
        <v>0</v>
      </c>
      <c r="P901">
        <f t="shared" si="213"/>
        <v>0</v>
      </c>
      <c r="Q901">
        <f t="shared" si="214"/>
        <v>0</v>
      </c>
      <c r="X901" t="str">
        <f t="shared" si="205"/>
        <v/>
      </c>
      <c r="Y901" t="str">
        <f t="shared" si="206"/>
        <v/>
      </c>
      <c r="Z901" t="str">
        <f t="shared" si="207"/>
        <v/>
      </c>
      <c r="AA901" t="str">
        <f t="shared" si="208"/>
        <v/>
      </c>
      <c r="AB901" t="str">
        <f t="shared" si="209"/>
        <v/>
      </c>
      <c r="AC901" t="str">
        <f t="shared" si="210"/>
        <v/>
      </c>
      <c r="AD901" t="str">
        <f t="shared" si="211"/>
        <v/>
      </c>
    </row>
    <row r="902" spans="14:30" thickBot="1" x14ac:dyDescent="0.3">
      <c r="N902">
        <f t="shared" si="215"/>
        <v>0</v>
      </c>
      <c r="O902">
        <f t="shared" si="212"/>
        <v>0</v>
      </c>
      <c r="P902">
        <f t="shared" si="213"/>
        <v>0</v>
      </c>
      <c r="Q902">
        <f t="shared" si="214"/>
        <v>0</v>
      </c>
      <c r="X902" t="str">
        <f t="shared" si="205"/>
        <v/>
      </c>
      <c r="Y902" t="str">
        <f t="shared" si="206"/>
        <v/>
      </c>
      <c r="Z902" t="str">
        <f t="shared" si="207"/>
        <v/>
      </c>
      <c r="AA902" t="str">
        <f t="shared" si="208"/>
        <v/>
      </c>
      <c r="AB902" t="str">
        <f t="shared" si="209"/>
        <v/>
      </c>
      <c r="AC902" t="str">
        <f t="shared" si="210"/>
        <v/>
      </c>
      <c r="AD902" t="str">
        <f t="shared" si="211"/>
        <v/>
      </c>
    </row>
    <row r="903" spans="14:30" thickBot="1" x14ac:dyDescent="0.3">
      <c r="N903">
        <f t="shared" si="215"/>
        <v>0</v>
      </c>
      <c r="O903">
        <f t="shared" si="212"/>
        <v>0</v>
      </c>
      <c r="P903">
        <f t="shared" si="213"/>
        <v>0</v>
      </c>
      <c r="Q903">
        <f t="shared" si="214"/>
        <v>0</v>
      </c>
      <c r="X903" t="str">
        <f t="shared" si="205"/>
        <v/>
      </c>
      <c r="Y903" t="str">
        <f t="shared" si="206"/>
        <v/>
      </c>
      <c r="Z903" t="str">
        <f t="shared" si="207"/>
        <v/>
      </c>
      <c r="AA903" t="str">
        <f t="shared" si="208"/>
        <v/>
      </c>
      <c r="AB903" t="str">
        <f t="shared" si="209"/>
        <v/>
      </c>
      <c r="AC903" t="str">
        <f t="shared" si="210"/>
        <v/>
      </c>
      <c r="AD903" t="str">
        <f t="shared" si="211"/>
        <v/>
      </c>
    </row>
    <row r="904" spans="14:30" thickBot="1" x14ac:dyDescent="0.3">
      <c r="N904">
        <f t="shared" si="215"/>
        <v>0</v>
      </c>
      <c r="O904">
        <f t="shared" si="212"/>
        <v>0</v>
      </c>
      <c r="P904">
        <f t="shared" si="213"/>
        <v>0</v>
      </c>
      <c r="Q904">
        <f t="shared" si="214"/>
        <v>0</v>
      </c>
      <c r="X904" t="str">
        <f t="shared" ref="X904:X967" si="216">IF(R904="","",",")</f>
        <v/>
      </c>
      <c r="Y904" t="str">
        <f t="shared" ref="Y904:Y967" si="217">IF(S904="","",",")</f>
        <v/>
      </c>
      <c r="Z904" t="str">
        <f t="shared" ref="Z904:Z967" si="218">IF(T904="","",",")</f>
        <v/>
      </c>
      <c r="AA904" t="str">
        <f t="shared" ref="AA904:AA967" si="219">IF(U904="","",",")</f>
        <v/>
      </c>
      <c r="AB904" t="str">
        <f t="shared" ref="AB904:AB967" si="220">IF(V904="","",",")</f>
        <v/>
      </c>
      <c r="AC904" t="str">
        <f t="shared" ref="AC904:AC967" si="221">IF(W904="","",",")</f>
        <v/>
      </c>
      <c r="AD904" t="str">
        <f t="shared" ref="AD904:AD967" si="222">IF(X904="","",",")</f>
        <v/>
      </c>
    </row>
    <row r="905" spans="14:30" thickBot="1" x14ac:dyDescent="0.3">
      <c r="N905">
        <f t="shared" si="215"/>
        <v>0</v>
      </c>
      <c r="O905">
        <f t="shared" si="212"/>
        <v>0</v>
      </c>
      <c r="P905">
        <f t="shared" si="213"/>
        <v>0</v>
      </c>
      <c r="Q905">
        <f t="shared" si="214"/>
        <v>0</v>
      </c>
      <c r="X905" t="str">
        <f t="shared" si="216"/>
        <v/>
      </c>
      <c r="Y905" t="str">
        <f t="shared" si="217"/>
        <v/>
      </c>
      <c r="Z905" t="str">
        <f t="shared" si="218"/>
        <v/>
      </c>
      <c r="AA905" t="str">
        <f t="shared" si="219"/>
        <v/>
      </c>
      <c r="AB905" t="str">
        <f t="shared" si="220"/>
        <v/>
      </c>
      <c r="AC905" t="str">
        <f t="shared" si="221"/>
        <v/>
      </c>
      <c r="AD905" t="str">
        <f t="shared" si="222"/>
        <v/>
      </c>
    </row>
    <row r="906" spans="14:30" thickBot="1" x14ac:dyDescent="0.3">
      <c r="N906">
        <f t="shared" si="215"/>
        <v>0</v>
      </c>
      <c r="O906">
        <f t="shared" si="212"/>
        <v>0</v>
      </c>
      <c r="P906">
        <f t="shared" si="213"/>
        <v>0</v>
      </c>
      <c r="Q906">
        <f t="shared" si="214"/>
        <v>0</v>
      </c>
      <c r="X906" t="str">
        <f t="shared" si="216"/>
        <v/>
      </c>
      <c r="Y906" t="str">
        <f t="shared" si="217"/>
        <v/>
      </c>
      <c r="Z906" t="str">
        <f t="shared" si="218"/>
        <v/>
      </c>
      <c r="AA906" t="str">
        <f t="shared" si="219"/>
        <v/>
      </c>
      <c r="AB906" t="str">
        <f t="shared" si="220"/>
        <v/>
      </c>
      <c r="AC906" t="str">
        <f t="shared" si="221"/>
        <v/>
      </c>
      <c r="AD906" t="str">
        <f t="shared" si="222"/>
        <v/>
      </c>
    </row>
    <row r="907" spans="14:30" thickBot="1" x14ac:dyDescent="0.3">
      <c r="N907">
        <f t="shared" si="215"/>
        <v>0</v>
      </c>
      <c r="O907">
        <f t="shared" si="212"/>
        <v>0</v>
      </c>
      <c r="P907">
        <f t="shared" si="213"/>
        <v>0</v>
      </c>
      <c r="Q907">
        <f t="shared" si="214"/>
        <v>0</v>
      </c>
      <c r="X907" t="str">
        <f t="shared" si="216"/>
        <v/>
      </c>
      <c r="Y907" t="str">
        <f t="shared" si="217"/>
        <v/>
      </c>
      <c r="Z907" t="str">
        <f t="shared" si="218"/>
        <v/>
      </c>
      <c r="AA907" t="str">
        <f t="shared" si="219"/>
        <v/>
      </c>
      <c r="AB907" t="str">
        <f t="shared" si="220"/>
        <v/>
      </c>
      <c r="AC907" t="str">
        <f t="shared" si="221"/>
        <v/>
      </c>
      <c r="AD907" t="str">
        <f t="shared" si="222"/>
        <v/>
      </c>
    </row>
    <row r="908" spans="14:30" thickBot="1" x14ac:dyDescent="0.3">
      <c r="N908">
        <f t="shared" si="215"/>
        <v>0</v>
      </c>
      <c r="O908">
        <f t="shared" si="212"/>
        <v>0</v>
      </c>
      <c r="P908">
        <f t="shared" si="213"/>
        <v>0</v>
      </c>
      <c r="Q908">
        <f t="shared" si="214"/>
        <v>0</v>
      </c>
      <c r="X908" t="str">
        <f t="shared" si="216"/>
        <v/>
      </c>
      <c r="Y908" t="str">
        <f t="shared" si="217"/>
        <v/>
      </c>
      <c r="Z908" t="str">
        <f t="shared" si="218"/>
        <v/>
      </c>
      <c r="AA908" t="str">
        <f t="shared" si="219"/>
        <v/>
      </c>
      <c r="AB908" t="str">
        <f t="shared" si="220"/>
        <v/>
      </c>
      <c r="AC908" t="str">
        <f t="shared" si="221"/>
        <v/>
      </c>
      <c r="AD908" t="str">
        <f t="shared" si="222"/>
        <v/>
      </c>
    </row>
    <row r="909" spans="14:30" thickBot="1" x14ac:dyDescent="0.3">
      <c r="N909">
        <f t="shared" si="215"/>
        <v>0</v>
      </c>
      <c r="O909">
        <f t="shared" si="212"/>
        <v>0</v>
      </c>
      <c r="P909">
        <f t="shared" si="213"/>
        <v>0</v>
      </c>
      <c r="Q909">
        <f t="shared" si="214"/>
        <v>0</v>
      </c>
      <c r="X909" t="str">
        <f t="shared" si="216"/>
        <v/>
      </c>
      <c r="Y909" t="str">
        <f t="shared" si="217"/>
        <v/>
      </c>
      <c r="Z909" t="str">
        <f t="shared" si="218"/>
        <v/>
      </c>
      <c r="AA909" t="str">
        <f t="shared" si="219"/>
        <v/>
      </c>
      <c r="AB909" t="str">
        <f t="shared" si="220"/>
        <v/>
      </c>
      <c r="AC909" t="str">
        <f t="shared" si="221"/>
        <v/>
      </c>
      <c r="AD909" t="str">
        <f t="shared" si="222"/>
        <v/>
      </c>
    </row>
    <row r="910" spans="14:30" thickBot="1" x14ac:dyDescent="0.3">
      <c r="N910">
        <f t="shared" si="215"/>
        <v>0</v>
      </c>
      <c r="O910">
        <f t="shared" si="212"/>
        <v>0</v>
      </c>
      <c r="P910">
        <f t="shared" si="213"/>
        <v>0</v>
      </c>
      <c r="Q910">
        <f t="shared" si="214"/>
        <v>0</v>
      </c>
      <c r="X910" t="str">
        <f t="shared" si="216"/>
        <v/>
      </c>
      <c r="Y910" t="str">
        <f t="shared" si="217"/>
        <v/>
      </c>
      <c r="Z910" t="str">
        <f t="shared" si="218"/>
        <v/>
      </c>
      <c r="AA910" t="str">
        <f t="shared" si="219"/>
        <v/>
      </c>
      <c r="AB910" t="str">
        <f t="shared" si="220"/>
        <v/>
      </c>
      <c r="AC910" t="str">
        <f t="shared" si="221"/>
        <v/>
      </c>
      <c r="AD910" t="str">
        <f t="shared" si="222"/>
        <v/>
      </c>
    </row>
    <row r="911" spans="14:30" thickBot="1" x14ac:dyDescent="0.3">
      <c r="N911">
        <f t="shared" si="215"/>
        <v>0</v>
      </c>
      <c r="O911">
        <f t="shared" si="212"/>
        <v>0</v>
      </c>
      <c r="P911">
        <f t="shared" si="213"/>
        <v>0</v>
      </c>
      <c r="Q911">
        <f t="shared" si="214"/>
        <v>0</v>
      </c>
      <c r="X911" t="str">
        <f t="shared" si="216"/>
        <v/>
      </c>
      <c r="Y911" t="str">
        <f t="shared" si="217"/>
        <v/>
      </c>
      <c r="Z911" t="str">
        <f t="shared" si="218"/>
        <v/>
      </c>
      <c r="AA911" t="str">
        <f t="shared" si="219"/>
        <v/>
      </c>
      <c r="AB911" t="str">
        <f t="shared" si="220"/>
        <v/>
      </c>
      <c r="AC911" t="str">
        <f t="shared" si="221"/>
        <v/>
      </c>
      <c r="AD911" t="str">
        <f t="shared" si="222"/>
        <v/>
      </c>
    </row>
    <row r="912" spans="14:30" thickBot="1" x14ac:dyDescent="0.3">
      <c r="N912">
        <f t="shared" si="215"/>
        <v>0</v>
      </c>
      <c r="O912">
        <f t="shared" si="212"/>
        <v>0</v>
      </c>
      <c r="P912">
        <f t="shared" si="213"/>
        <v>0</v>
      </c>
      <c r="Q912">
        <f t="shared" si="214"/>
        <v>0</v>
      </c>
      <c r="X912" t="str">
        <f t="shared" si="216"/>
        <v/>
      </c>
      <c r="Y912" t="str">
        <f t="shared" si="217"/>
        <v/>
      </c>
      <c r="Z912" t="str">
        <f t="shared" si="218"/>
        <v/>
      </c>
      <c r="AA912" t="str">
        <f t="shared" si="219"/>
        <v/>
      </c>
      <c r="AB912" t="str">
        <f t="shared" si="220"/>
        <v/>
      </c>
      <c r="AC912" t="str">
        <f t="shared" si="221"/>
        <v/>
      </c>
      <c r="AD912" t="str">
        <f t="shared" si="222"/>
        <v/>
      </c>
    </row>
    <row r="913" spans="14:30" thickBot="1" x14ac:dyDescent="0.3">
      <c r="N913">
        <f t="shared" si="215"/>
        <v>0</v>
      </c>
      <c r="O913">
        <f t="shared" si="212"/>
        <v>0</v>
      </c>
      <c r="P913">
        <f t="shared" si="213"/>
        <v>0</v>
      </c>
      <c r="Q913">
        <f t="shared" si="214"/>
        <v>0</v>
      </c>
      <c r="X913" t="str">
        <f t="shared" si="216"/>
        <v/>
      </c>
      <c r="Y913" t="str">
        <f t="shared" si="217"/>
        <v/>
      </c>
      <c r="Z913" t="str">
        <f t="shared" si="218"/>
        <v/>
      </c>
      <c r="AA913" t="str">
        <f t="shared" si="219"/>
        <v/>
      </c>
      <c r="AB913" t="str">
        <f t="shared" si="220"/>
        <v/>
      </c>
      <c r="AC913" t="str">
        <f t="shared" si="221"/>
        <v/>
      </c>
      <c r="AD913" t="str">
        <f t="shared" si="222"/>
        <v/>
      </c>
    </row>
    <row r="914" spans="14:30" thickBot="1" x14ac:dyDescent="0.3">
      <c r="N914">
        <f t="shared" si="215"/>
        <v>0</v>
      </c>
      <c r="O914">
        <f t="shared" si="212"/>
        <v>0</v>
      </c>
      <c r="P914">
        <f t="shared" si="213"/>
        <v>0</v>
      </c>
      <c r="Q914">
        <f t="shared" si="214"/>
        <v>0</v>
      </c>
      <c r="X914" t="str">
        <f t="shared" si="216"/>
        <v/>
      </c>
      <c r="Y914" t="str">
        <f t="shared" si="217"/>
        <v/>
      </c>
      <c r="Z914" t="str">
        <f t="shared" si="218"/>
        <v/>
      </c>
      <c r="AA914" t="str">
        <f t="shared" si="219"/>
        <v/>
      </c>
      <c r="AB914" t="str">
        <f t="shared" si="220"/>
        <v/>
      </c>
      <c r="AC914" t="str">
        <f t="shared" si="221"/>
        <v/>
      </c>
      <c r="AD914" t="str">
        <f t="shared" si="222"/>
        <v/>
      </c>
    </row>
    <row r="915" spans="14:30" thickBot="1" x14ac:dyDescent="0.3">
      <c r="N915">
        <f t="shared" si="215"/>
        <v>0</v>
      </c>
      <c r="O915">
        <f t="shared" si="212"/>
        <v>0</v>
      </c>
      <c r="P915">
        <f t="shared" si="213"/>
        <v>0</v>
      </c>
      <c r="Q915">
        <f t="shared" si="214"/>
        <v>0</v>
      </c>
      <c r="X915" t="str">
        <f t="shared" si="216"/>
        <v/>
      </c>
      <c r="Y915" t="str">
        <f t="shared" si="217"/>
        <v/>
      </c>
      <c r="Z915" t="str">
        <f t="shared" si="218"/>
        <v/>
      </c>
      <c r="AA915" t="str">
        <f t="shared" si="219"/>
        <v/>
      </c>
      <c r="AB915" t="str">
        <f t="shared" si="220"/>
        <v/>
      </c>
      <c r="AC915" t="str">
        <f t="shared" si="221"/>
        <v/>
      </c>
      <c r="AD915" t="str">
        <f t="shared" si="222"/>
        <v/>
      </c>
    </row>
    <row r="916" spans="14:30" thickBot="1" x14ac:dyDescent="0.3">
      <c r="N916">
        <f t="shared" si="215"/>
        <v>0</v>
      </c>
      <c r="O916">
        <f t="shared" si="212"/>
        <v>0</v>
      </c>
      <c r="P916">
        <f t="shared" si="213"/>
        <v>0</v>
      </c>
      <c r="Q916">
        <f t="shared" si="214"/>
        <v>0</v>
      </c>
      <c r="X916" t="str">
        <f t="shared" si="216"/>
        <v/>
      </c>
      <c r="Y916" t="str">
        <f t="shared" si="217"/>
        <v/>
      </c>
      <c r="Z916" t="str">
        <f t="shared" si="218"/>
        <v/>
      </c>
      <c r="AA916" t="str">
        <f t="shared" si="219"/>
        <v/>
      </c>
      <c r="AB916" t="str">
        <f t="shared" si="220"/>
        <v/>
      </c>
      <c r="AC916" t="str">
        <f t="shared" si="221"/>
        <v/>
      </c>
      <c r="AD916" t="str">
        <f t="shared" si="222"/>
        <v/>
      </c>
    </row>
    <row r="917" spans="14:30" thickBot="1" x14ac:dyDescent="0.3">
      <c r="N917">
        <f t="shared" si="215"/>
        <v>0</v>
      </c>
      <c r="O917">
        <f t="shared" si="212"/>
        <v>0</v>
      </c>
      <c r="P917">
        <f t="shared" si="213"/>
        <v>0</v>
      </c>
      <c r="Q917">
        <f t="shared" si="214"/>
        <v>0</v>
      </c>
      <c r="X917" t="str">
        <f t="shared" si="216"/>
        <v/>
      </c>
      <c r="Y917" t="str">
        <f t="shared" si="217"/>
        <v/>
      </c>
      <c r="Z917" t="str">
        <f t="shared" si="218"/>
        <v/>
      </c>
      <c r="AA917" t="str">
        <f t="shared" si="219"/>
        <v/>
      </c>
      <c r="AB917" t="str">
        <f t="shared" si="220"/>
        <v/>
      </c>
      <c r="AC917" t="str">
        <f t="shared" si="221"/>
        <v/>
      </c>
      <c r="AD917" t="str">
        <f t="shared" si="222"/>
        <v/>
      </c>
    </row>
    <row r="918" spans="14:30" thickBot="1" x14ac:dyDescent="0.3">
      <c r="N918">
        <f t="shared" si="215"/>
        <v>0</v>
      </c>
      <c r="O918">
        <f t="shared" si="212"/>
        <v>0</v>
      </c>
      <c r="P918">
        <f t="shared" si="213"/>
        <v>0</v>
      </c>
      <c r="Q918">
        <f t="shared" si="214"/>
        <v>0</v>
      </c>
      <c r="X918" t="str">
        <f t="shared" si="216"/>
        <v/>
      </c>
      <c r="Y918" t="str">
        <f t="shared" si="217"/>
        <v/>
      </c>
      <c r="Z918" t="str">
        <f t="shared" si="218"/>
        <v/>
      </c>
      <c r="AA918" t="str">
        <f t="shared" si="219"/>
        <v/>
      </c>
      <c r="AB918" t="str">
        <f t="shared" si="220"/>
        <v/>
      </c>
      <c r="AC918" t="str">
        <f t="shared" si="221"/>
        <v/>
      </c>
      <c r="AD918" t="str">
        <f t="shared" si="222"/>
        <v/>
      </c>
    </row>
    <row r="919" spans="14:30" thickBot="1" x14ac:dyDescent="0.3">
      <c r="N919">
        <f t="shared" si="215"/>
        <v>0</v>
      </c>
      <c r="O919">
        <f t="shared" si="212"/>
        <v>0</v>
      </c>
      <c r="P919">
        <f t="shared" si="213"/>
        <v>0</v>
      </c>
      <c r="Q919">
        <f t="shared" si="214"/>
        <v>0</v>
      </c>
      <c r="X919" t="str">
        <f t="shared" si="216"/>
        <v/>
      </c>
      <c r="Y919" t="str">
        <f t="shared" si="217"/>
        <v/>
      </c>
      <c r="Z919" t="str">
        <f t="shared" si="218"/>
        <v/>
      </c>
      <c r="AA919" t="str">
        <f t="shared" si="219"/>
        <v/>
      </c>
      <c r="AB919" t="str">
        <f t="shared" si="220"/>
        <v/>
      </c>
      <c r="AC919" t="str">
        <f t="shared" si="221"/>
        <v/>
      </c>
      <c r="AD919" t="str">
        <f t="shared" si="222"/>
        <v/>
      </c>
    </row>
    <row r="920" spans="14:30" thickBot="1" x14ac:dyDescent="0.3">
      <c r="N920">
        <f t="shared" si="215"/>
        <v>0</v>
      </c>
      <c r="O920">
        <f t="shared" si="212"/>
        <v>0</v>
      </c>
      <c r="P920">
        <f t="shared" si="213"/>
        <v>0</v>
      </c>
      <c r="Q920">
        <f t="shared" si="214"/>
        <v>0</v>
      </c>
      <c r="X920" t="str">
        <f t="shared" si="216"/>
        <v/>
      </c>
      <c r="Y920" t="str">
        <f t="shared" si="217"/>
        <v/>
      </c>
      <c r="Z920" t="str">
        <f t="shared" si="218"/>
        <v/>
      </c>
      <c r="AA920" t="str">
        <f t="shared" si="219"/>
        <v/>
      </c>
      <c r="AB920" t="str">
        <f t="shared" si="220"/>
        <v/>
      </c>
      <c r="AC920" t="str">
        <f t="shared" si="221"/>
        <v/>
      </c>
      <c r="AD920" t="str">
        <f t="shared" si="222"/>
        <v/>
      </c>
    </row>
    <row r="921" spans="14:30" thickBot="1" x14ac:dyDescent="0.3">
      <c r="N921">
        <f t="shared" si="215"/>
        <v>0</v>
      </c>
      <c r="O921">
        <f t="shared" si="212"/>
        <v>0</v>
      </c>
      <c r="P921">
        <f t="shared" si="213"/>
        <v>0</v>
      </c>
      <c r="Q921">
        <f t="shared" si="214"/>
        <v>0</v>
      </c>
      <c r="X921" t="str">
        <f t="shared" si="216"/>
        <v/>
      </c>
      <c r="Y921" t="str">
        <f t="shared" si="217"/>
        <v/>
      </c>
      <c r="Z921" t="str">
        <f t="shared" si="218"/>
        <v/>
      </c>
      <c r="AA921" t="str">
        <f t="shared" si="219"/>
        <v/>
      </c>
      <c r="AB921" t="str">
        <f t="shared" si="220"/>
        <v/>
      </c>
      <c r="AC921" t="str">
        <f t="shared" si="221"/>
        <v/>
      </c>
      <c r="AD921" t="str">
        <f t="shared" si="222"/>
        <v/>
      </c>
    </row>
    <row r="922" spans="14:30" thickBot="1" x14ac:dyDescent="0.3">
      <c r="N922">
        <f t="shared" si="215"/>
        <v>0</v>
      </c>
      <c r="O922">
        <f t="shared" si="212"/>
        <v>0</v>
      </c>
      <c r="P922">
        <f t="shared" si="213"/>
        <v>0</v>
      </c>
      <c r="Q922">
        <f t="shared" si="214"/>
        <v>0</v>
      </c>
      <c r="X922" t="str">
        <f t="shared" si="216"/>
        <v/>
      </c>
      <c r="Y922" t="str">
        <f t="shared" si="217"/>
        <v/>
      </c>
      <c r="Z922" t="str">
        <f t="shared" si="218"/>
        <v/>
      </c>
      <c r="AA922" t="str">
        <f t="shared" si="219"/>
        <v/>
      </c>
      <c r="AB922" t="str">
        <f t="shared" si="220"/>
        <v/>
      </c>
      <c r="AC922" t="str">
        <f t="shared" si="221"/>
        <v/>
      </c>
      <c r="AD922" t="str">
        <f t="shared" si="222"/>
        <v/>
      </c>
    </row>
    <row r="923" spans="14:30" thickBot="1" x14ac:dyDescent="0.3">
      <c r="N923">
        <f t="shared" si="215"/>
        <v>0</v>
      </c>
      <c r="O923">
        <f t="shared" si="212"/>
        <v>0</v>
      </c>
      <c r="P923">
        <f t="shared" si="213"/>
        <v>0</v>
      </c>
      <c r="Q923">
        <f t="shared" si="214"/>
        <v>0</v>
      </c>
      <c r="X923" t="str">
        <f t="shared" si="216"/>
        <v/>
      </c>
      <c r="Y923" t="str">
        <f t="shared" si="217"/>
        <v/>
      </c>
      <c r="Z923" t="str">
        <f t="shared" si="218"/>
        <v/>
      </c>
      <c r="AA923" t="str">
        <f t="shared" si="219"/>
        <v/>
      </c>
      <c r="AB923" t="str">
        <f t="shared" si="220"/>
        <v/>
      </c>
      <c r="AC923" t="str">
        <f t="shared" si="221"/>
        <v/>
      </c>
      <c r="AD923" t="str">
        <f t="shared" si="222"/>
        <v/>
      </c>
    </row>
    <row r="924" spans="14:30" thickBot="1" x14ac:dyDescent="0.3">
      <c r="N924">
        <f t="shared" si="215"/>
        <v>0</v>
      </c>
      <c r="O924">
        <f t="shared" si="212"/>
        <v>0</v>
      </c>
      <c r="P924">
        <f t="shared" si="213"/>
        <v>0</v>
      </c>
      <c r="Q924">
        <f t="shared" si="214"/>
        <v>0</v>
      </c>
      <c r="X924" t="str">
        <f t="shared" si="216"/>
        <v/>
      </c>
      <c r="Y924" t="str">
        <f t="shared" si="217"/>
        <v/>
      </c>
      <c r="Z924" t="str">
        <f t="shared" si="218"/>
        <v/>
      </c>
      <c r="AA924" t="str">
        <f t="shared" si="219"/>
        <v/>
      </c>
      <c r="AB924" t="str">
        <f t="shared" si="220"/>
        <v/>
      </c>
      <c r="AC924" t="str">
        <f t="shared" si="221"/>
        <v/>
      </c>
      <c r="AD924" t="str">
        <f t="shared" si="222"/>
        <v/>
      </c>
    </row>
    <row r="925" spans="14:30" thickBot="1" x14ac:dyDescent="0.3">
      <c r="N925">
        <f t="shared" si="215"/>
        <v>0</v>
      </c>
      <c r="O925">
        <f t="shared" si="212"/>
        <v>0</v>
      </c>
      <c r="P925">
        <f t="shared" si="213"/>
        <v>0</v>
      </c>
      <c r="Q925">
        <f t="shared" si="214"/>
        <v>0</v>
      </c>
      <c r="X925" t="str">
        <f t="shared" si="216"/>
        <v/>
      </c>
      <c r="Y925" t="str">
        <f t="shared" si="217"/>
        <v/>
      </c>
      <c r="Z925" t="str">
        <f t="shared" si="218"/>
        <v/>
      </c>
      <c r="AA925" t="str">
        <f t="shared" si="219"/>
        <v/>
      </c>
      <c r="AB925" t="str">
        <f t="shared" si="220"/>
        <v/>
      </c>
      <c r="AC925" t="str">
        <f t="shared" si="221"/>
        <v/>
      </c>
      <c r="AD925" t="str">
        <f t="shared" si="222"/>
        <v/>
      </c>
    </row>
    <row r="926" spans="14:30" thickBot="1" x14ac:dyDescent="0.3">
      <c r="N926">
        <f t="shared" si="215"/>
        <v>0</v>
      </c>
      <c r="O926">
        <f t="shared" si="212"/>
        <v>0</v>
      </c>
      <c r="P926">
        <f t="shared" si="213"/>
        <v>0</v>
      </c>
      <c r="Q926">
        <f t="shared" si="214"/>
        <v>0</v>
      </c>
      <c r="X926" t="str">
        <f t="shared" si="216"/>
        <v/>
      </c>
      <c r="Y926" t="str">
        <f t="shared" si="217"/>
        <v/>
      </c>
      <c r="Z926" t="str">
        <f t="shared" si="218"/>
        <v/>
      </c>
      <c r="AA926" t="str">
        <f t="shared" si="219"/>
        <v/>
      </c>
      <c r="AB926" t="str">
        <f t="shared" si="220"/>
        <v/>
      </c>
      <c r="AC926" t="str">
        <f t="shared" si="221"/>
        <v/>
      </c>
      <c r="AD926" t="str">
        <f t="shared" si="222"/>
        <v/>
      </c>
    </row>
    <row r="927" spans="14:30" thickBot="1" x14ac:dyDescent="0.3">
      <c r="N927">
        <f t="shared" si="215"/>
        <v>0</v>
      </c>
      <c r="O927">
        <f t="shared" si="212"/>
        <v>0</v>
      </c>
      <c r="P927">
        <f t="shared" si="213"/>
        <v>0</v>
      </c>
      <c r="Q927">
        <f t="shared" si="214"/>
        <v>0</v>
      </c>
      <c r="X927" t="str">
        <f t="shared" si="216"/>
        <v/>
      </c>
      <c r="Y927" t="str">
        <f t="shared" si="217"/>
        <v/>
      </c>
      <c r="Z927" t="str">
        <f t="shared" si="218"/>
        <v/>
      </c>
      <c r="AA927" t="str">
        <f t="shared" si="219"/>
        <v/>
      </c>
      <c r="AB927" t="str">
        <f t="shared" si="220"/>
        <v/>
      </c>
      <c r="AC927" t="str">
        <f t="shared" si="221"/>
        <v/>
      </c>
      <c r="AD927" t="str">
        <f t="shared" si="222"/>
        <v/>
      </c>
    </row>
    <row r="928" spans="14:30" thickBot="1" x14ac:dyDescent="0.3">
      <c r="N928">
        <f t="shared" si="215"/>
        <v>0</v>
      </c>
      <c r="O928">
        <f t="shared" si="212"/>
        <v>0</v>
      </c>
      <c r="P928">
        <f t="shared" si="213"/>
        <v>0</v>
      </c>
      <c r="Q928">
        <f t="shared" si="214"/>
        <v>0</v>
      </c>
      <c r="X928" t="str">
        <f t="shared" si="216"/>
        <v/>
      </c>
      <c r="Y928" t="str">
        <f t="shared" si="217"/>
        <v/>
      </c>
      <c r="Z928" t="str">
        <f t="shared" si="218"/>
        <v/>
      </c>
      <c r="AA928" t="str">
        <f t="shared" si="219"/>
        <v/>
      </c>
      <c r="AB928" t="str">
        <f t="shared" si="220"/>
        <v/>
      </c>
      <c r="AC928" t="str">
        <f t="shared" si="221"/>
        <v/>
      </c>
      <c r="AD928" t="str">
        <f t="shared" si="222"/>
        <v/>
      </c>
    </row>
    <row r="929" spans="14:30" thickBot="1" x14ac:dyDescent="0.3">
      <c r="N929">
        <f t="shared" si="215"/>
        <v>0</v>
      </c>
      <c r="O929">
        <f t="shared" si="212"/>
        <v>0</v>
      </c>
      <c r="P929">
        <f t="shared" si="213"/>
        <v>0</v>
      </c>
      <c r="Q929">
        <f t="shared" si="214"/>
        <v>0</v>
      </c>
      <c r="X929" t="str">
        <f t="shared" si="216"/>
        <v/>
      </c>
      <c r="Y929" t="str">
        <f t="shared" si="217"/>
        <v/>
      </c>
      <c r="Z929" t="str">
        <f t="shared" si="218"/>
        <v/>
      </c>
      <c r="AA929" t="str">
        <f t="shared" si="219"/>
        <v/>
      </c>
      <c r="AB929" t="str">
        <f t="shared" si="220"/>
        <v/>
      </c>
      <c r="AC929" t="str">
        <f t="shared" si="221"/>
        <v/>
      </c>
      <c r="AD929" t="str">
        <f t="shared" si="222"/>
        <v/>
      </c>
    </row>
    <row r="930" spans="14:30" thickBot="1" x14ac:dyDescent="0.3">
      <c r="N930">
        <f t="shared" si="215"/>
        <v>0</v>
      </c>
      <c r="O930">
        <f t="shared" si="212"/>
        <v>0</v>
      </c>
      <c r="P930">
        <f t="shared" si="213"/>
        <v>0</v>
      </c>
      <c r="Q930">
        <f t="shared" si="214"/>
        <v>0</v>
      </c>
      <c r="X930" t="str">
        <f t="shared" si="216"/>
        <v/>
      </c>
      <c r="Y930" t="str">
        <f t="shared" si="217"/>
        <v/>
      </c>
      <c r="Z930" t="str">
        <f t="shared" si="218"/>
        <v/>
      </c>
      <c r="AA930" t="str">
        <f t="shared" si="219"/>
        <v/>
      </c>
      <c r="AB930" t="str">
        <f t="shared" si="220"/>
        <v/>
      </c>
      <c r="AC930" t="str">
        <f t="shared" si="221"/>
        <v/>
      </c>
      <c r="AD930" t="str">
        <f t="shared" si="222"/>
        <v/>
      </c>
    </row>
    <row r="931" spans="14:30" thickBot="1" x14ac:dyDescent="0.3">
      <c r="N931">
        <f t="shared" si="215"/>
        <v>0</v>
      </c>
      <c r="O931">
        <f t="shared" si="212"/>
        <v>0</v>
      </c>
      <c r="P931">
        <f t="shared" si="213"/>
        <v>0</v>
      </c>
      <c r="Q931">
        <f t="shared" si="214"/>
        <v>0</v>
      </c>
      <c r="X931" t="str">
        <f t="shared" si="216"/>
        <v/>
      </c>
      <c r="Y931" t="str">
        <f t="shared" si="217"/>
        <v/>
      </c>
      <c r="Z931" t="str">
        <f t="shared" si="218"/>
        <v/>
      </c>
      <c r="AA931" t="str">
        <f t="shared" si="219"/>
        <v/>
      </c>
      <c r="AB931" t="str">
        <f t="shared" si="220"/>
        <v/>
      </c>
      <c r="AC931" t="str">
        <f t="shared" si="221"/>
        <v/>
      </c>
      <c r="AD931" t="str">
        <f t="shared" si="222"/>
        <v/>
      </c>
    </row>
    <row r="932" spans="14:30" thickBot="1" x14ac:dyDescent="0.3">
      <c r="N932">
        <f t="shared" si="215"/>
        <v>0</v>
      </c>
      <c r="O932">
        <f t="shared" si="212"/>
        <v>0</v>
      </c>
      <c r="P932">
        <f t="shared" si="213"/>
        <v>0</v>
      </c>
      <c r="Q932">
        <f t="shared" si="214"/>
        <v>0</v>
      </c>
      <c r="X932" t="str">
        <f t="shared" si="216"/>
        <v/>
      </c>
      <c r="Y932" t="str">
        <f t="shared" si="217"/>
        <v/>
      </c>
      <c r="Z932" t="str">
        <f t="shared" si="218"/>
        <v/>
      </c>
      <c r="AA932" t="str">
        <f t="shared" si="219"/>
        <v/>
      </c>
      <c r="AB932" t="str">
        <f t="shared" si="220"/>
        <v/>
      </c>
      <c r="AC932" t="str">
        <f t="shared" si="221"/>
        <v/>
      </c>
      <c r="AD932" t="str">
        <f t="shared" si="222"/>
        <v/>
      </c>
    </row>
    <row r="933" spans="14:30" thickBot="1" x14ac:dyDescent="0.3">
      <c r="N933">
        <f t="shared" si="215"/>
        <v>0</v>
      </c>
      <c r="O933">
        <f t="shared" si="212"/>
        <v>0</v>
      </c>
      <c r="P933">
        <f t="shared" si="213"/>
        <v>0</v>
      </c>
      <c r="Q933">
        <f t="shared" si="214"/>
        <v>0</v>
      </c>
      <c r="X933" t="str">
        <f t="shared" si="216"/>
        <v/>
      </c>
      <c r="Y933" t="str">
        <f t="shared" si="217"/>
        <v/>
      </c>
      <c r="Z933" t="str">
        <f t="shared" si="218"/>
        <v/>
      </c>
      <c r="AA933" t="str">
        <f t="shared" si="219"/>
        <v/>
      </c>
      <c r="AB933" t="str">
        <f t="shared" si="220"/>
        <v/>
      </c>
      <c r="AC933" t="str">
        <f t="shared" si="221"/>
        <v/>
      </c>
      <c r="AD933" t="str">
        <f t="shared" si="222"/>
        <v/>
      </c>
    </row>
    <row r="934" spans="14:30" thickBot="1" x14ac:dyDescent="0.3">
      <c r="N934">
        <f t="shared" si="215"/>
        <v>0</v>
      </c>
      <c r="O934">
        <f t="shared" si="212"/>
        <v>0</v>
      </c>
      <c r="P934">
        <f t="shared" si="213"/>
        <v>0</v>
      </c>
      <c r="Q934">
        <f t="shared" si="214"/>
        <v>0</v>
      </c>
      <c r="X934" t="str">
        <f t="shared" si="216"/>
        <v/>
      </c>
      <c r="Y934" t="str">
        <f t="shared" si="217"/>
        <v/>
      </c>
      <c r="Z934" t="str">
        <f t="shared" si="218"/>
        <v/>
      </c>
      <c r="AA934" t="str">
        <f t="shared" si="219"/>
        <v/>
      </c>
      <c r="AB934" t="str">
        <f t="shared" si="220"/>
        <v/>
      </c>
      <c r="AC934" t="str">
        <f t="shared" si="221"/>
        <v/>
      </c>
      <c r="AD934" t="str">
        <f t="shared" si="222"/>
        <v/>
      </c>
    </row>
    <row r="935" spans="14:30" thickBot="1" x14ac:dyDescent="0.3">
      <c r="N935">
        <f t="shared" si="215"/>
        <v>0</v>
      </c>
      <c r="O935">
        <f t="shared" si="212"/>
        <v>0</v>
      </c>
      <c r="P935">
        <f t="shared" si="213"/>
        <v>0</v>
      </c>
      <c r="Q935">
        <f t="shared" si="214"/>
        <v>0</v>
      </c>
      <c r="X935" t="str">
        <f t="shared" si="216"/>
        <v/>
      </c>
      <c r="Y935" t="str">
        <f t="shared" si="217"/>
        <v/>
      </c>
      <c r="Z935" t="str">
        <f t="shared" si="218"/>
        <v/>
      </c>
      <c r="AA935" t="str">
        <f t="shared" si="219"/>
        <v/>
      </c>
      <c r="AB935" t="str">
        <f t="shared" si="220"/>
        <v/>
      </c>
      <c r="AC935" t="str">
        <f t="shared" si="221"/>
        <v/>
      </c>
      <c r="AD935" t="str">
        <f t="shared" si="222"/>
        <v/>
      </c>
    </row>
    <row r="936" spans="14:30" thickBot="1" x14ac:dyDescent="0.3">
      <c r="N936">
        <f t="shared" si="215"/>
        <v>0</v>
      </c>
      <c r="O936">
        <f t="shared" si="212"/>
        <v>0</v>
      </c>
      <c r="P936">
        <f t="shared" si="213"/>
        <v>0</v>
      </c>
      <c r="Q936">
        <f t="shared" si="214"/>
        <v>0</v>
      </c>
      <c r="X936" t="str">
        <f t="shared" si="216"/>
        <v/>
      </c>
      <c r="Y936" t="str">
        <f t="shared" si="217"/>
        <v/>
      </c>
      <c r="Z936" t="str">
        <f t="shared" si="218"/>
        <v/>
      </c>
      <c r="AA936" t="str">
        <f t="shared" si="219"/>
        <v/>
      </c>
      <c r="AB936" t="str">
        <f t="shared" si="220"/>
        <v/>
      </c>
      <c r="AC936" t="str">
        <f t="shared" si="221"/>
        <v/>
      </c>
      <c r="AD936" t="str">
        <f t="shared" si="222"/>
        <v/>
      </c>
    </row>
    <row r="937" spans="14:30" thickBot="1" x14ac:dyDescent="0.3">
      <c r="N937">
        <f t="shared" si="215"/>
        <v>0</v>
      </c>
      <c r="O937">
        <f t="shared" si="212"/>
        <v>0</v>
      </c>
      <c r="P937">
        <f t="shared" si="213"/>
        <v>0</v>
      </c>
      <c r="Q937">
        <f t="shared" si="214"/>
        <v>0</v>
      </c>
      <c r="X937" t="str">
        <f t="shared" si="216"/>
        <v/>
      </c>
      <c r="Y937" t="str">
        <f t="shared" si="217"/>
        <v/>
      </c>
      <c r="Z937" t="str">
        <f t="shared" si="218"/>
        <v/>
      </c>
      <c r="AA937" t="str">
        <f t="shared" si="219"/>
        <v/>
      </c>
      <c r="AB937" t="str">
        <f t="shared" si="220"/>
        <v/>
      </c>
      <c r="AC937" t="str">
        <f t="shared" si="221"/>
        <v/>
      </c>
      <c r="AD937" t="str">
        <f t="shared" si="222"/>
        <v/>
      </c>
    </row>
    <row r="938" spans="14:30" thickBot="1" x14ac:dyDescent="0.3">
      <c r="N938">
        <f t="shared" si="215"/>
        <v>0</v>
      </c>
      <c r="O938">
        <f t="shared" si="212"/>
        <v>0</v>
      </c>
      <c r="P938">
        <f t="shared" si="213"/>
        <v>0</v>
      </c>
      <c r="Q938">
        <f t="shared" si="214"/>
        <v>0</v>
      </c>
      <c r="X938" t="str">
        <f t="shared" si="216"/>
        <v/>
      </c>
      <c r="Y938" t="str">
        <f t="shared" si="217"/>
        <v/>
      </c>
      <c r="Z938" t="str">
        <f t="shared" si="218"/>
        <v/>
      </c>
      <c r="AA938" t="str">
        <f t="shared" si="219"/>
        <v/>
      </c>
      <c r="AB938" t="str">
        <f t="shared" si="220"/>
        <v/>
      </c>
      <c r="AC938" t="str">
        <f t="shared" si="221"/>
        <v/>
      </c>
      <c r="AD938" t="str">
        <f t="shared" si="222"/>
        <v/>
      </c>
    </row>
    <row r="939" spans="14:30" thickBot="1" x14ac:dyDescent="0.3">
      <c r="N939">
        <f t="shared" si="215"/>
        <v>0</v>
      </c>
      <c r="O939">
        <f t="shared" si="212"/>
        <v>0</v>
      </c>
      <c r="P939">
        <f t="shared" si="213"/>
        <v>0</v>
      </c>
      <c r="Q939">
        <f t="shared" si="214"/>
        <v>0</v>
      </c>
      <c r="X939" t="str">
        <f t="shared" si="216"/>
        <v/>
      </c>
      <c r="Y939" t="str">
        <f t="shared" si="217"/>
        <v/>
      </c>
      <c r="Z939" t="str">
        <f t="shared" si="218"/>
        <v/>
      </c>
      <c r="AA939" t="str">
        <f t="shared" si="219"/>
        <v/>
      </c>
      <c r="AB939" t="str">
        <f t="shared" si="220"/>
        <v/>
      </c>
      <c r="AC939" t="str">
        <f t="shared" si="221"/>
        <v/>
      </c>
      <c r="AD939" t="str">
        <f t="shared" si="222"/>
        <v/>
      </c>
    </row>
    <row r="940" spans="14:30" thickBot="1" x14ac:dyDescent="0.3">
      <c r="N940">
        <f t="shared" si="215"/>
        <v>0</v>
      </c>
      <c r="O940">
        <f t="shared" si="212"/>
        <v>0</v>
      </c>
      <c r="P940">
        <f t="shared" si="213"/>
        <v>0</v>
      </c>
      <c r="Q940">
        <f t="shared" si="214"/>
        <v>0</v>
      </c>
      <c r="X940" t="str">
        <f t="shared" si="216"/>
        <v/>
      </c>
      <c r="Y940" t="str">
        <f t="shared" si="217"/>
        <v/>
      </c>
      <c r="Z940" t="str">
        <f t="shared" si="218"/>
        <v/>
      </c>
      <c r="AA940" t="str">
        <f t="shared" si="219"/>
        <v/>
      </c>
      <c r="AB940" t="str">
        <f t="shared" si="220"/>
        <v/>
      </c>
      <c r="AC940" t="str">
        <f t="shared" si="221"/>
        <v/>
      </c>
      <c r="AD940" t="str">
        <f t="shared" si="222"/>
        <v/>
      </c>
    </row>
    <row r="941" spans="14:30" thickBot="1" x14ac:dyDescent="0.3">
      <c r="N941">
        <f t="shared" si="215"/>
        <v>0</v>
      </c>
      <c r="O941">
        <f t="shared" si="212"/>
        <v>0</v>
      </c>
      <c r="P941">
        <f t="shared" si="213"/>
        <v>0</v>
      </c>
      <c r="Q941">
        <f t="shared" si="214"/>
        <v>0</v>
      </c>
      <c r="X941" t="str">
        <f t="shared" si="216"/>
        <v/>
      </c>
      <c r="Y941" t="str">
        <f t="shared" si="217"/>
        <v/>
      </c>
      <c r="Z941" t="str">
        <f t="shared" si="218"/>
        <v/>
      </c>
      <c r="AA941" t="str">
        <f t="shared" si="219"/>
        <v/>
      </c>
      <c r="AB941" t="str">
        <f t="shared" si="220"/>
        <v/>
      </c>
      <c r="AC941" t="str">
        <f t="shared" si="221"/>
        <v/>
      </c>
      <c r="AD941" t="str">
        <f t="shared" si="222"/>
        <v/>
      </c>
    </row>
    <row r="942" spans="14:30" thickBot="1" x14ac:dyDescent="0.3">
      <c r="N942">
        <f t="shared" si="215"/>
        <v>0</v>
      </c>
      <c r="O942">
        <f t="shared" si="212"/>
        <v>0</v>
      </c>
      <c r="P942">
        <f t="shared" si="213"/>
        <v>0</v>
      </c>
      <c r="Q942">
        <f t="shared" si="214"/>
        <v>0</v>
      </c>
      <c r="X942" t="str">
        <f t="shared" si="216"/>
        <v/>
      </c>
      <c r="Y942" t="str">
        <f t="shared" si="217"/>
        <v/>
      </c>
      <c r="Z942" t="str">
        <f t="shared" si="218"/>
        <v/>
      </c>
      <c r="AA942" t="str">
        <f t="shared" si="219"/>
        <v/>
      </c>
      <c r="AB942" t="str">
        <f t="shared" si="220"/>
        <v/>
      </c>
      <c r="AC942" t="str">
        <f t="shared" si="221"/>
        <v/>
      </c>
      <c r="AD942" t="str">
        <f t="shared" si="222"/>
        <v/>
      </c>
    </row>
    <row r="943" spans="14:30" thickBot="1" x14ac:dyDescent="0.3">
      <c r="N943">
        <f t="shared" si="215"/>
        <v>0</v>
      </c>
      <c r="O943">
        <f t="shared" si="212"/>
        <v>0</v>
      </c>
      <c r="P943">
        <f t="shared" si="213"/>
        <v>0</v>
      </c>
      <c r="Q943">
        <f t="shared" si="214"/>
        <v>0</v>
      </c>
      <c r="X943" t="str">
        <f t="shared" si="216"/>
        <v/>
      </c>
      <c r="Y943" t="str">
        <f t="shared" si="217"/>
        <v/>
      </c>
      <c r="Z943" t="str">
        <f t="shared" si="218"/>
        <v/>
      </c>
      <c r="AA943" t="str">
        <f t="shared" si="219"/>
        <v/>
      </c>
      <c r="AB943" t="str">
        <f t="shared" si="220"/>
        <v/>
      </c>
      <c r="AC943" t="str">
        <f t="shared" si="221"/>
        <v/>
      </c>
      <c r="AD943" t="str">
        <f t="shared" si="222"/>
        <v/>
      </c>
    </row>
    <row r="944" spans="14:30" thickBot="1" x14ac:dyDescent="0.3">
      <c r="N944">
        <f t="shared" si="215"/>
        <v>0</v>
      </c>
      <c r="O944">
        <f t="shared" si="212"/>
        <v>0</v>
      </c>
      <c r="P944">
        <f t="shared" si="213"/>
        <v>0</v>
      </c>
      <c r="Q944">
        <f t="shared" si="214"/>
        <v>0</v>
      </c>
      <c r="X944" t="str">
        <f t="shared" si="216"/>
        <v/>
      </c>
      <c r="Y944" t="str">
        <f t="shared" si="217"/>
        <v/>
      </c>
      <c r="Z944" t="str">
        <f t="shared" si="218"/>
        <v/>
      </c>
      <c r="AA944" t="str">
        <f t="shared" si="219"/>
        <v/>
      </c>
      <c r="AB944" t="str">
        <f t="shared" si="220"/>
        <v/>
      </c>
      <c r="AC944" t="str">
        <f t="shared" si="221"/>
        <v/>
      </c>
      <c r="AD944" t="str">
        <f t="shared" si="222"/>
        <v/>
      </c>
    </row>
    <row r="945" spans="14:30" thickBot="1" x14ac:dyDescent="0.3">
      <c r="N945">
        <f t="shared" si="215"/>
        <v>0</v>
      </c>
      <c r="O945">
        <f t="shared" si="212"/>
        <v>0</v>
      </c>
      <c r="P945">
        <f t="shared" si="213"/>
        <v>0</v>
      </c>
      <c r="Q945">
        <f t="shared" si="214"/>
        <v>0</v>
      </c>
      <c r="X945" t="str">
        <f t="shared" si="216"/>
        <v/>
      </c>
      <c r="Y945" t="str">
        <f t="shared" si="217"/>
        <v/>
      </c>
      <c r="Z945" t="str">
        <f t="shared" si="218"/>
        <v/>
      </c>
      <c r="AA945" t="str">
        <f t="shared" si="219"/>
        <v/>
      </c>
      <c r="AB945" t="str">
        <f t="shared" si="220"/>
        <v/>
      </c>
      <c r="AC945" t="str">
        <f t="shared" si="221"/>
        <v/>
      </c>
      <c r="AD945" t="str">
        <f t="shared" si="222"/>
        <v/>
      </c>
    </row>
    <row r="946" spans="14:30" thickBot="1" x14ac:dyDescent="0.3">
      <c r="N946">
        <f t="shared" si="215"/>
        <v>0</v>
      </c>
      <c r="O946">
        <f t="shared" si="212"/>
        <v>0</v>
      </c>
      <c r="P946">
        <f t="shared" si="213"/>
        <v>0</v>
      </c>
      <c r="Q946">
        <f t="shared" si="214"/>
        <v>0</v>
      </c>
      <c r="X946" t="str">
        <f t="shared" si="216"/>
        <v/>
      </c>
      <c r="Y946" t="str">
        <f t="shared" si="217"/>
        <v/>
      </c>
      <c r="Z946" t="str">
        <f t="shared" si="218"/>
        <v/>
      </c>
      <c r="AA946" t="str">
        <f t="shared" si="219"/>
        <v/>
      </c>
      <c r="AB946" t="str">
        <f t="shared" si="220"/>
        <v/>
      </c>
      <c r="AC946" t="str">
        <f t="shared" si="221"/>
        <v/>
      </c>
      <c r="AD946" t="str">
        <f t="shared" si="222"/>
        <v/>
      </c>
    </row>
    <row r="947" spans="14:30" thickBot="1" x14ac:dyDescent="0.3">
      <c r="N947">
        <f t="shared" si="215"/>
        <v>0</v>
      </c>
      <c r="O947">
        <f t="shared" si="212"/>
        <v>0</v>
      </c>
      <c r="P947">
        <f t="shared" si="213"/>
        <v>0</v>
      </c>
      <c r="Q947">
        <f t="shared" si="214"/>
        <v>0</v>
      </c>
      <c r="X947" t="str">
        <f t="shared" si="216"/>
        <v/>
      </c>
      <c r="Y947" t="str">
        <f t="shared" si="217"/>
        <v/>
      </c>
      <c r="Z947" t="str">
        <f t="shared" si="218"/>
        <v/>
      </c>
      <c r="AA947" t="str">
        <f t="shared" si="219"/>
        <v/>
      </c>
      <c r="AB947" t="str">
        <f t="shared" si="220"/>
        <v/>
      </c>
      <c r="AC947" t="str">
        <f t="shared" si="221"/>
        <v/>
      </c>
      <c r="AD947" t="str">
        <f t="shared" si="222"/>
        <v/>
      </c>
    </row>
    <row r="948" spans="14:30" thickBot="1" x14ac:dyDescent="0.3">
      <c r="N948">
        <f t="shared" si="215"/>
        <v>0</v>
      </c>
      <c r="O948">
        <f t="shared" si="212"/>
        <v>0</v>
      </c>
      <c r="P948">
        <f t="shared" si="213"/>
        <v>0</v>
      </c>
      <c r="Q948">
        <f t="shared" si="214"/>
        <v>0</v>
      </c>
      <c r="X948" t="str">
        <f t="shared" si="216"/>
        <v/>
      </c>
      <c r="Y948" t="str">
        <f t="shared" si="217"/>
        <v/>
      </c>
      <c r="Z948" t="str">
        <f t="shared" si="218"/>
        <v/>
      </c>
      <c r="AA948" t="str">
        <f t="shared" si="219"/>
        <v/>
      </c>
      <c r="AB948" t="str">
        <f t="shared" si="220"/>
        <v/>
      </c>
      <c r="AC948" t="str">
        <f t="shared" si="221"/>
        <v/>
      </c>
      <c r="AD948" t="str">
        <f t="shared" si="222"/>
        <v/>
      </c>
    </row>
    <row r="949" spans="14:30" thickBot="1" x14ac:dyDescent="0.3">
      <c r="N949">
        <f t="shared" si="215"/>
        <v>0</v>
      </c>
      <c r="O949">
        <f t="shared" si="212"/>
        <v>0</v>
      </c>
      <c r="P949">
        <f t="shared" si="213"/>
        <v>0</v>
      </c>
      <c r="Q949">
        <f t="shared" si="214"/>
        <v>0</v>
      </c>
      <c r="X949" t="str">
        <f t="shared" si="216"/>
        <v/>
      </c>
      <c r="Y949" t="str">
        <f t="shared" si="217"/>
        <v/>
      </c>
      <c r="Z949" t="str">
        <f t="shared" si="218"/>
        <v/>
      </c>
      <c r="AA949" t="str">
        <f t="shared" si="219"/>
        <v/>
      </c>
      <c r="AB949" t="str">
        <f t="shared" si="220"/>
        <v/>
      </c>
      <c r="AC949" t="str">
        <f t="shared" si="221"/>
        <v/>
      </c>
      <c r="AD949" t="str">
        <f t="shared" si="222"/>
        <v/>
      </c>
    </row>
    <row r="950" spans="14:30" thickBot="1" x14ac:dyDescent="0.3">
      <c r="N950">
        <f t="shared" si="215"/>
        <v>0</v>
      </c>
      <c r="O950">
        <f t="shared" si="212"/>
        <v>0</v>
      </c>
      <c r="P950">
        <f t="shared" si="213"/>
        <v>0</v>
      </c>
      <c r="Q950">
        <f t="shared" si="214"/>
        <v>0</v>
      </c>
      <c r="X950" t="str">
        <f t="shared" si="216"/>
        <v/>
      </c>
      <c r="Y950" t="str">
        <f t="shared" si="217"/>
        <v/>
      </c>
      <c r="Z950" t="str">
        <f t="shared" si="218"/>
        <v/>
      </c>
      <c r="AA950" t="str">
        <f t="shared" si="219"/>
        <v/>
      </c>
      <c r="AB950" t="str">
        <f t="shared" si="220"/>
        <v/>
      </c>
      <c r="AC950" t="str">
        <f t="shared" si="221"/>
        <v/>
      </c>
      <c r="AD950" t="str">
        <f t="shared" si="222"/>
        <v/>
      </c>
    </row>
    <row r="951" spans="14:30" thickBot="1" x14ac:dyDescent="0.3">
      <c r="N951">
        <f t="shared" si="215"/>
        <v>0</v>
      </c>
      <c r="O951">
        <f t="shared" si="212"/>
        <v>0</v>
      </c>
      <c r="P951">
        <f t="shared" si="213"/>
        <v>0</v>
      </c>
      <c r="Q951">
        <f t="shared" si="214"/>
        <v>0</v>
      </c>
      <c r="X951" t="str">
        <f t="shared" si="216"/>
        <v/>
      </c>
      <c r="Y951" t="str">
        <f t="shared" si="217"/>
        <v/>
      </c>
      <c r="Z951" t="str">
        <f t="shared" si="218"/>
        <v/>
      </c>
      <c r="AA951" t="str">
        <f t="shared" si="219"/>
        <v/>
      </c>
      <c r="AB951" t="str">
        <f t="shared" si="220"/>
        <v/>
      </c>
      <c r="AC951" t="str">
        <f t="shared" si="221"/>
        <v/>
      </c>
      <c r="AD951" t="str">
        <f t="shared" si="222"/>
        <v/>
      </c>
    </row>
    <row r="952" spans="14:30" thickBot="1" x14ac:dyDescent="0.3">
      <c r="N952">
        <f t="shared" si="215"/>
        <v>0</v>
      </c>
      <c r="O952">
        <f t="shared" si="212"/>
        <v>0</v>
      </c>
      <c r="P952">
        <f t="shared" si="213"/>
        <v>0</v>
      </c>
      <c r="Q952">
        <f t="shared" si="214"/>
        <v>0</v>
      </c>
      <c r="X952" t="str">
        <f t="shared" si="216"/>
        <v/>
      </c>
      <c r="Y952" t="str">
        <f t="shared" si="217"/>
        <v/>
      </c>
      <c r="Z952" t="str">
        <f t="shared" si="218"/>
        <v/>
      </c>
      <c r="AA952" t="str">
        <f t="shared" si="219"/>
        <v/>
      </c>
      <c r="AB952" t="str">
        <f t="shared" si="220"/>
        <v/>
      </c>
      <c r="AC952" t="str">
        <f t="shared" si="221"/>
        <v/>
      </c>
      <c r="AD952" t="str">
        <f t="shared" si="222"/>
        <v/>
      </c>
    </row>
    <row r="953" spans="14:30" thickBot="1" x14ac:dyDescent="0.3">
      <c r="N953">
        <f t="shared" si="215"/>
        <v>0</v>
      </c>
      <c r="O953">
        <f t="shared" si="212"/>
        <v>0</v>
      </c>
      <c r="P953">
        <f t="shared" si="213"/>
        <v>0</v>
      </c>
      <c r="Q953">
        <f t="shared" si="214"/>
        <v>0</v>
      </c>
      <c r="X953" t="str">
        <f t="shared" si="216"/>
        <v/>
      </c>
      <c r="Y953" t="str">
        <f t="shared" si="217"/>
        <v/>
      </c>
      <c r="Z953" t="str">
        <f t="shared" si="218"/>
        <v/>
      </c>
      <c r="AA953" t="str">
        <f t="shared" si="219"/>
        <v/>
      </c>
      <c r="AB953" t="str">
        <f t="shared" si="220"/>
        <v/>
      </c>
      <c r="AC953" t="str">
        <f t="shared" si="221"/>
        <v/>
      </c>
      <c r="AD953" t="str">
        <f t="shared" si="222"/>
        <v/>
      </c>
    </row>
    <row r="954" spans="14:30" thickBot="1" x14ac:dyDescent="0.3">
      <c r="N954">
        <f t="shared" si="215"/>
        <v>0</v>
      </c>
      <c r="O954">
        <f t="shared" si="212"/>
        <v>0</v>
      </c>
      <c r="P954">
        <f t="shared" si="213"/>
        <v>0</v>
      </c>
      <c r="Q954">
        <f t="shared" si="214"/>
        <v>0</v>
      </c>
      <c r="X954" t="str">
        <f t="shared" si="216"/>
        <v/>
      </c>
      <c r="Y954" t="str">
        <f t="shared" si="217"/>
        <v/>
      </c>
      <c r="Z954" t="str">
        <f t="shared" si="218"/>
        <v/>
      </c>
      <c r="AA954" t="str">
        <f t="shared" si="219"/>
        <v/>
      </c>
      <c r="AB954" t="str">
        <f t="shared" si="220"/>
        <v/>
      </c>
      <c r="AC954" t="str">
        <f t="shared" si="221"/>
        <v/>
      </c>
      <c r="AD954" t="str">
        <f t="shared" si="222"/>
        <v/>
      </c>
    </row>
    <row r="955" spans="14:30" thickBot="1" x14ac:dyDescent="0.3">
      <c r="N955">
        <f t="shared" si="215"/>
        <v>0</v>
      </c>
      <c r="O955">
        <f t="shared" si="212"/>
        <v>0</v>
      </c>
      <c r="P955">
        <f t="shared" si="213"/>
        <v>0</v>
      </c>
      <c r="Q955">
        <f t="shared" si="214"/>
        <v>0</v>
      </c>
      <c r="X955" t="str">
        <f t="shared" si="216"/>
        <v/>
      </c>
      <c r="Y955" t="str">
        <f t="shared" si="217"/>
        <v/>
      </c>
      <c r="Z955" t="str">
        <f t="shared" si="218"/>
        <v/>
      </c>
      <c r="AA955" t="str">
        <f t="shared" si="219"/>
        <v/>
      </c>
      <c r="AB955" t="str">
        <f t="shared" si="220"/>
        <v/>
      </c>
      <c r="AC955" t="str">
        <f t="shared" si="221"/>
        <v/>
      </c>
      <c r="AD955" t="str">
        <f t="shared" si="222"/>
        <v/>
      </c>
    </row>
    <row r="956" spans="14:30" thickBot="1" x14ac:dyDescent="0.3">
      <c r="N956">
        <f t="shared" si="215"/>
        <v>0</v>
      </c>
      <c r="O956">
        <f t="shared" si="212"/>
        <v>0</v>
      </c>
      <c r="P956">
        <f t="shared" si="213"/>
        <v>0</v>
      </c>
      <c r="Q956">
        <f t="shared" si="214"/>
        <v>0</v>
      </c>
      <c r="X956" t="str">
        <f t="shared" si="216"/>
        <v/>
      </c>
      <c r="Y956" t="str">
        <f t="shared" si="217"/>
        <v/>
      </c>
      <c r="Z956" t="str">
        <f t="shared" si="218"/>
        <v/>
      </c>
      <c r="AA956" t="str">
        <f t="shared" si="219"/>
        <v/>
      </c>
      <c r="AB956" t="str">
        <f t="shared" si="220"/>
        <v/>
      </c>
      <c r="AC956" t="str">
        <f t="shared" si="221"/>
        <v/>
      </c>
      <c r="AD956" t="str">
        <f t="shared" si="222"/>
        <v/>
      </c>
    </row>
    <row r="957" spans="14:30" thickBot="1" x14ac:dyDescent="0.3">
      <c r="N957">
        <f t="shared" si="215"/>
        <v>0</v>
      </c>
      <c r="O957">
        <f t="shared" si="212"/>
        <v>0</v>
      </c>
      <c r="P957">
        <f t="shared" si="213"/>
        <v>0</v>
      </c>
      <c r="Q957">
        <f t="shared" si="214"/>
        <v>0</v>
      </c>
      <c r="X957" t="str">
        <f t="shared" si="216"/>
        <v/>
      </c>
      <c r="Y957" t="str">
        <f t="shared" si="217"/>
        <v/>
      </c>
      <c r="Z957" t="str">
        <f t="shared" si="218"/>
        <v/>
      </c>
      <c r="AA957" t="str">
        <f t="shared" si="219"/>
        <v/>
      </c>
      <c r="AB957" t="str">
        <f t="shared" si="220"/>
        <v/>
      </c>
      <c r="AC957" t="str">
        <f t="shared" si="221"/>
        <v/>
      </c>
      <c r="AD957" t="str">
        <f t="shared" si="222"/>
        <v/>
      </c>
    </row>
    <row r="958" spans="14:30" thickBot="1" x14ac:dyDescent="0.3">
      <c r="N958">
        <f t="shared" si="215"/>
        <v>0</v>
      </c>
      <c r="O958">
        <f t="shared" si="212"/>
        <v>0</v>
      </c>
      <c r="P958">
        <f t="shared" si="213"/>
        <v>0</v>
      </c>
      <c r="Q958">
        <f t="shared" si="214"/>
        <v>0</v>
      </c>
      <c r="X958" t="str">
        <f t="shared" si="216"/>
        <v/>
      </c>
      <c r="Y958" t="str">
        <f t="shared" si="217"/>
        <v/>
      </c>
      <c r="Z958" t="str">
        <f t="shared" si="218"/>
        <v/>
      </c>
      <c r="AA958" t="str">
        <f t="shared" si="219"/>
        <v/>
      </c>
      <c r="AB958" t="str">
        <f t="shared" si="220"/>
        <v/>
      </c>
      <c r="AC958" t="str">
        <f t="shared" si="221"/>
        <v/>
      </c>
      <c r="AD958" t="str">
        <f t="shared" si="222"/>
        <v/>
      </c>
    </row>
    <row r="959" spans="14:30" thickBot="1" x14ac:dyDescent="0.3">
      <c r="N959">
        <f t="shared" si="215"/>
        <v>0</v>
      </c>
      <c r="O959">
        <f t="shared" si="212"/>
        <v>0</v>
      </c>
      <c r="P959">
        <f t="shared" si="213"/>
        <v>0</v>
      </c>
      <c r="Q959">
        <f t="shared" si="214"/>
        <v>0</v>
      </c>
      <c r="X959" t="str">
        <f t="shared" si="216"/>
        <v/>
      </c>
      <c r="Y959" t="str">
        <f t="shared" si="217"/>
        <v/>
      </c>
      <c r="Z959" t="str">
        <f t="shared" si="218"/>
        <v/>
      </c>
      <c r="AA959" t="str">
        <f t="shared" si="219"/>
        <v/>
      </c>
      <c r="AB959" t="str">
        <f t="shared" si="220"/>
        <v/>
      </c>
      <c r="AC959" t="str">
        <f t="shared" si="221"/>
        <v/>
      </c>
      <c r="AD959" t="str">
        <f t="shared" si="222"/>
        <v/>
      </c>
    </row>
    <row r="960" spans="14:30" thickBot="1" x14ac:dyDescent="0.3">
      <c r="N960">
        <f t="shared" si="215"/>
        <v>0</v>
      </c>
      <c r="O960">
        <f t="shared" si="212"/>
        <v>0</v>
      </c>
      <c r="P960">
        <f t="shared" si="213"/>
        <v>0</v>
      </c>
      <c r="Q960">
        <f t="shared" si="214"/>
        <v>0</v>
      </c>
      <c r="X960" t="str">
        <f t="shared" si="216"/>
        <v/>
      </c>
      <c r="Y960" t="str">
        <f t="shared" si="217"/>
        <v/>
      </c>
      <c r="Z960" t="str">
        <f t="shared" si="218"/>
        <v/>
      </c>
      <c r="AA960" t="str">
        <f t="shared" si="219"/>
        <v/>
      </c>
      <c r="AB960" t="str">
        <f t="shared" si="220"/>
        <v/>
      </c>
      <c r="AC960" t="str">
        <f t="shared" si="221"/>
        <v/>
      </c>
      <c r="AD960" t="str">
        <f t="shared" si="222"/>
        <v/>
      </c>
    </row>
    <row r="961" spans="14:30" thickBot="1" x14ac:dyDescent="0.3">
      <c r="N961">
        <f t="shared" si="215"/>
        <v>0</v>
      </c>
      <c r="O961">
        <f t="shared" ref="O961:O1000" si="223">B961</f>
        <v>0</v>
      </c>
      <c r="P961">
        <f t="shared" ref="P961:P1000" si="224">C961</f>
        <v>0</v>
      </c>
      <c r="Q961">
        <f t="shared" ref="Q961:Q1000" si="225">D961</f>
        <v>0</v>
      </c>
      <c r="X961" t="str">
        <f t="shared" si="216"/>
        <v/>
      </c>
      <c r="Y961" t="str">
        <f t="shared" si="217"/>
        <v/>
      </c>
      <c r="Z961" t="str">
        <f t="shared" si="218"/>
        <v/>
      </c>
      <c r="AA961" t="str">
        <f t="shared" si="219"/>
        <v/>
      </c>
      <c r="AB961" t="str">
        <f t="shared" si="220"/>
        <v/>
      </c>
      <c r="AC961" t="str">
        <f t="shared" si="221"/>
        <v/>
      </c>
      <c r="AD961" t="str">
        <f t="shared" si="222"/>
        <v/>
      </c>
    </row>
    <row r="962" spans="14:30" thickBot="1" x14ac:dyDescent="0.3">
      <c r="N962">
        <f t="shared" ref="N962:N1000" si="226">A962</f>
        <v>0</v>
      </c>
      <c r="O962">
        <f t="shared" si="223"/>
        <v>0</v>
      </c>
      <c r="P962">
        <f t="shared" si="224"/>
        <v>0</v>
      </c>
      <c r="Q962">
        <f t="shared" si="225"/>
        <v>0</v>
      </c>
      <c r="X962" t="str">
        <f t="shared" si="216"/>
        <v/>
      </c>
      <c r="Y962" t="str">
        <f t="shared" si="217"/>
        <v/>
      </c>
      <c r="Z962" t="str">
        <f t="shared" si="218"/>
        <v/>
      </c>
      <c r="AA962" t="str">
        <f t="shared" si="219"/>
        <v/>
      </c>
      <c r="AB962" t="str">
        <f t="shared" si="220"/>
        <v/>
      </c>
      <c r="AC962" t="str">
        <f t="shared" si="221"/>
        <v/>
      </c>
      <c r="AD962" t="str">
        <f t="shared" si="222"/>
        <v/>
      </c>
    </row>
    <row r="963" spans="14:30" thickBot="1" x14ac:dyDescent="0.3">
      <c r="N963">
        <f t="shared" si="226"/>
        <v>0</v>
      </c>
      <c r="O963">
        <f t="shared" si="223"/>
        <v>0</v>
      </c>
      <c r="P963">
        <f t="shared" si="224"/>
        <v>0</v>
      </c>
      <c r="Q963">
        <f t="shared" si="225"/>
        <v>0</v>
      </c>
      <c r="X963" t="str">
        <f t="shared" si="216"/>
        <v/>
      </c>
      <c r="Y963" t="str">
        <f t="shared" si="217"/>
        <v/>
      </c>
      <c r="Z963" t="str">
        <f t="shared" si="218"/>
        <v/>
      </c>
      <c r="AA963" t="str">
        <f t="shared" si="219"/>
        <v/>
      </c>
      <c r="AB963" t="str">
        <f t="shared" si="220"/>
        <v/>
      </c>
      <c r="AC963" t="str">
        <f t="shared" si="221"/>
        <v/>
      </c>
      <c r="AD963" t="str">
        <f t="shared" si="222"/>
        <v/>
      </c>
    </row>
    <row r="964" spans="14:30" thickBot="1" x14ac:dyDescent="0.3">
      <c r="N964">
        <f t="shared" si="226"/>
        <v>0</v>
      </c>
      <c r="O964">
        <f t="shared" si="223"/>
        <v>0</v>
      </c>
      <c r="P964">
        <f t="shared" si="224"/>
        <v>0</v>
      </c>
      <c r="Q964">
        <f t="shared" si="225"/>
        <v>0</v>
      </c>
      <c r="X964" t="str">
        <f t="shared" si="216"/>
        <v/>
      </c>
      <c r="Y964" t="str">
        <f t="shared" si="217"/>
        <v/>
      </c>
      <c r="Z964" t="str">
        <f t="shared" si="218"/>
        <v/>
      </c>
      <c r="AA964" t="str">
        <f t="shared" si="219"/>
        <v/>
      </c>
      <c r="AB964" t="str">
        <f t="shared" si="220"/>
        <v/>
      </c>
      <c r="AC964" t="str">
        <f t="shared" si="221"/>
        <v/>
      </c>
      <c r="AD964" t="str">
        <f t="shared" si="222"/>
        <v/>
      </c>
    </row>
    <row r="965" spans="14:30" thickBot="1" x14ac:dyDescent="0.3">
      <c r="N965">
        <f t="shared" si="226"/>
        <v>0</v>
      </c>
      <c r="O965">
        <f t="shared" si="223"/>
        <v>0</v>
      </c>
      <c r="P965">
        <f t="shared" si="224"/>
        <v>0</v>
      </c>
      <c r="Q965">
        <f t="shared" si="225"/>
        <v>0</v>
      </c>
      <c r="X965" t="str">
        <f t="shared" si="216"/>
        <v/>
      </c>
      <c r="Y965" t="str">
        <f t="shared" si="217"/>
        <v/>
      </c>
      <c r="Z965" t="str">
        <f t="shared" si="218"/>
        <v/>
      </c>
      <c r="AA965" t="str">
        <f t="shared" si="219"/>
        <v/>
      </c>
      <c r="AB965" t="str">
        <f t="shared" si="220"/>
        <v/>
      </c>
      <c r="AC965" t="str">
        <f t="shared" si="221"/>
        <v/>
      </c>
      <c r="AD965" t="str">
        <f t="shared" si="222"/>
        <v/>
      </c>
    </row>
    <row r="966" spans="14:30" thickBot="1" x14ac:dyDescent="0.3">
      <c r="N966">
        <f t="shared" si="226"/>
        <v>0</v>
      </c>
      <c r="O966">
        <f t="shared" si="223"/>
        <v>0</v>
      </c>
      <c r="P966">
        <f t="shared" si="224"/>
        <v>0</v>
      </c>
      <c r="Q966">
        <f t="shared" si="225"/>
        <v>0</v>
      </c>
      <c r="X966" t="str">
        <f t="shared" si="216"/>
        <v/>
      </c>
      <c r="Y966" t="str">
        <f t="shared" si="217"/>
        <v/>
      </c>
      <c r="Z966" t="str">
        <f t="shared" si="218"/>
        <v/>
      </c>
      <c r="AA966" t="str">
        <f t="shared" si="219"/>
        <v/>
      </c>
      <c r="AB966" t="str">
        <f t="shared" si="220"/>
        <v/>
      </c>
      <c r="AC966" t="str">
        <f t="shared" si="221"/>
        <v/>
      </c>
      <c r="AD966" t="str">
        <f t="shared" si="222"/>
        <v/>
      </c>
    </row>
    <row r="967" spans="14:30" thickBot="1" x14ac:dyDescent="0.3">
      <c r="N967">
        <f t="shared" si="226"/>
        <v>0</v>
      </c>
      <c r="O967">
        <f t="shared" si="223"/>
        <v>0</v>
      </c>
      <c r="P967">
        <f t="shared" si="224"/>
        <v>0</v>
      </c>
      <c r="Q967">
        <f t="shared" si="225"/>
        <v>0</v>
      </c>
      <c r="X967" t="str">
        <f t="shared" si="216"/>
        <v/>
      </c>
      <c r="Y967" t="str">
        <f t="shared" si="217"/>
        <v/>
      </c>
      <c r="Z967" t="str">
        <f t="shared" si="218"/>
        <v/>
      </c>
      <c r="AA967" t="str">
        <f t="shared" si="219"/>
        <v/>
      </c>
      <c r="AB967" t="str">
        <f t="shared" si="220"/>
        <v/>
      </c>
      <c r="AC967" t="str">
        <f t="shared" si="221"/>
        <v/>
      </c>
      <c r="AD967" t="str">
        <f t="shared" si="222"/>
        <v/>
      </c>
    </row>
    <row r="968" spans="14:30" thickBot="1" x14ac:dyDescent="0.3">
      <c r="N968">
        <f t="shared" si="226"/>
        <v>0</v>
      </c>
      <c r="O968">
        <f t="shared" si="223"/>
        <v>0</v>
      </c>
      <c r="P968">
        <f t="shared" si="224"/>
        <v>0</v>
      </c>
      <c r="Q968">
        <f t="shared" si="225"/>
        <v>0</v>
      </c>
      <c r="X968" t="str">
        <f t="shared" ref="X968:X1000" si="227">IF(R968="","",",")</f>
        <v/>
      </c>
      <c r="Y968" t="str">
        <f t="shared" ref="Y968:Y1000" si="228">IF(S968="","",",")</f>
        <v/>
      </c>
      <c r="Z968" t="str">
        <f t="shared" ref="Z968:Z1000" si="229">IF(T968="","",",")</f>
        <v/>
      </c>
      <c r="AA968" t="str">
        <f t="shared" ref="AA968:AA1000" si="230">IF(U968="","",",")</f>
        <v/>
      </c>
      <c r="AB968" t="str">
        <f t="shared" ref="AB968:AB1000" si="231">IF(V968="","",",")</f>
        <v/>
      </c>
      <c r="AC968" t="str">
        <f t="shared" ref="AC968:AC1000" si="232">IF(W968="","",",")</f>
        <v/>
      </c>
      <c r="AD968" t="str">
        <f t="shared" ref="AD968:AD1000" si="233">IF(X968="","",",")</f>
        <v/>
      </c>
    </row>
    <row r="969" spans="14:30" thickBot="1" x14ac:dyDescent="0.3">
      <c r="N969">
        <f t="shared" si="226"/>
        <v>0</v>
      </c>
      <c r="O969">
        <f t="shared" si="223"/>
        <v>0</v>
      </c>
      <c r="P969">
        <f t="shared" si="224"/>
        <v>0</v>
      </c>
      <c r="Q969">
        <f t="shared" si="225"/>
        <v>0</v>
      </c>
      <c r="X969" t="str">
        <f t="shared" si="227"/>
        <v/>
      </c>
      <c r="Y969" t="str">
        <f t="shared" si="228"/>
        <v/>
      </c>
      <c r="Z969" t="str">
        <f t="shared" si="229"/>
        <v/>
      </c>
      <c r="AA969" t="str">
        <f t="shared" si="230"/>
        <v/>
      </c>
      <c r="AB969" t="str">
        <f t="shared" si="231"/>
        <v/>
      </c>
      <c r="AC969" t="str">
        <f t="shared" si="232"/>
        <v/>
      </c>
      <c r="AD969" t="str">
        <f t="shared" si="233"/>
        <v/>
      </c>
    </row>
    <row r="970" spans="14:30" thickBot="1" x14ac:dyDescent="0.3">
      <c r="N970">
        <f t="shared" si="226"/>
        <v>0</v>
      </c>
      <c r="O970">
        <f t="shared" si="223"/>
        <v>0</v>
      </c>
      <c r="P970">
        <f t="shared" si="224"/>
        <v>0</v>
      </c>
      <c r="Q970">
        <f t="shared" si="225"/>
        <v>0</v>
      </c>
      <c r="X970" t="str">
        <f t="shared" si="227"/>
        <v/>
      </c>
      <c r="Y970" t="str">
        <f t="shared" si="228"/>
        <v/>
      </c>
      <c r="Z970" t="str">
        <f t="shared" si="229"/>
        <v/>
      </c>
      <c r="AA970" t="str">
        <f t="shared" si="230"/>
        <v/>
      </c>
      <c r="AB970" t="str">
        <f t="shared" si="231"/>
        <v/>
      </c>
      <c r="AC970" t="str">
        <f t="shared" si="232"/>
        <v/>
      </c>
      <c r="AD970" t="str">
        <f t="shared" si="233"/>
        <v/>
      </c>
    </row>
    <row r="971" spans="14:30" thickBot="1" x14ac:dyDescent="0.3">
      <c r="N971">
        <f t="shared" si="226"/>
        <v>0</v>
      </c>
      <c r="O971">
        <f t="shared" si="223"/>
        <v>0</v>
      </c>
      <c r="P971">
        <f t="shared" si="224"/>
        <v>0</v>
      </c>
      <c r="Q971">
        <f t="shared" si="225"/>
        <v>0</v>
      </c>
      <c r="X971" t="str">
        <f t="shared" si="227"/>
        <v/>
      </c>
      <c r="Y971" t="str">
        <f t="shared" si="228"/>
        <v/>
      </c>
      <c r="Z971" t="str">
        <f t="shared" si="229"/>
        <v/>
      </c>
      <c r="AA971" t="str">
        <f t="shared" si="230"/>
        <v/>
      </c>
      <c r="AB971" t="str">
        <f t="shared" si="231"/>
        <v/>
      </c>
      <c r="AC971" t="str">
        <f t="shared" si="232"/>
        <v/>
      </c>
      <c r="AD971" t="str">
        <f t="shared" si="233"/>
        <v/>
      </c>
    </row>
    <row r="972" spans="14:30" thickBot="1" x14ac:dyDescent="0.3">
      <c r="N972">
        <f t="shared" si="226"/>
        <v>0</v>
      </c>
      <c r="O972">
        <f t="shared" si="223"/>
        <v>0</v>
      </c>
      <c r="P972">
        <f t="shared" si="224"/>
        <v>0</v>
      </c>
      <c r="Q972">
        <f t="shared" si="225"/>
        <v>0</v>
      </c>
      <c r="X972" t="str">
        <f t="shared" si="227"/>
        <v/>
      </c>
      <c r="Y972" t="str">
        <f t="shared" si="228"/>
        <v/>
      </c>
      <c r="Z972" t="str">
        <f t="shared" si="229"/>
        <v/>
      </c>
      <c r="AA972" t="str">
        <f t="shared" si="230"/>
        <v/>
      </c>
      <c r="AB972" t="str">
        <f t="shared" si="231"/>
        <v/>
      </c>
      <c r="AC972" t="str">
        <f t="shared" si="232"/>
        <v/>
      </c>
      <c r="AD972" t="str">
        <f t="shared" si="233"/>
        <v/>
      </c>
    </row>
    <row r="973" spans="14:30" thickBot="1" x14ac:dyDescent="0.3">
      <c r="N973">
        <f t="shared" si="226"/>
        <v>0</v>
      </c>
      <c r="O973">
        <f t="shared" si="223"/>
        <v>0</v>
      </c>
      <c r="P973">
        <f t="shared" si="224"/>
        <v>0</v>
      </c>
      <c r="Q973">
        <f t="shared" si="225"/>
        <v>0</v>
      </c>
      <c r="X973" t="str">
        <f t="shared" si="227"/>
        <v/>
      </c>
      <c r="Y973" t="str">
        <f t="shared" si="228"/>
        <v/>
      </c>
      <c r="Z973" t="str">
        <f t="shared" si="229"/>
        <v/>
      </c>
      <c r="AA973" t="str">
        <f t="shared" si="230"/>
        <v/>
      </c>
      <c r="AB973" t="str">
        <f t="shared" si="231"/>
        <v/>
      </c>
      <c r="AC973" t="str">
        <f t="shared" si="232"/>
        <v/>
      </c>
      <c r="AD973" t="str">
        <f t="shared" si="233"/>
        <v/>
      </c>
    </row>
    <row r="974" spans="14:30" thickBot="1" x14ac:dyDescent="0.3">
      <c r="N974">
        <f t="shared" si="226"/>
        <v>0</v>
      </c>
      <c r="O974">
        <f t="shared" si="223"/>
        <v>0</v>
      </c>
      <c r="P974">
        <f t="shared" si="224"/>
        <v>0</v>
      </c>
      <c r="Q974">
        <f t="shared" si="225"/>
        <v>0</v>
      </c>
      <c r="X974" t="str">
        <f t="shared" si="227"/>
        <v/>
      </c>
      <c r="Y974" t="str">
        <f t="shared" si="228"/>
        <v/>
      </c>
      <c r="Z974" t="str">
        <f t="shared" si="229"/>
        <v/>
      </c>
      <c r="AA974" t="str">
        <f t="shared" si="230"/>
        <v/>
      </c>
      <c r="AB974" t="str">
        <f t="shared" si="231"/>
        <v/>
      </c>
      <c r="AC974" t="str">
        <f t="shared" si="232"/>
        <v/>
      </c>
      <c r="AD974" t="str">
        <f t="shared" si="233"/>
        <v/>
      </c>
    </row>
    <row r="975" spans="14:30" thickBot="1" x14ac:dyDescent="0.3">
      <c r="N975">
        <f t="shared" si="226"/>
        <v>0</v>
      </c>
      <c r="O975">
        <f t="shared" si="223"/>
        <v>0</v>
      </c>
      <c r="P975">
        <f t="shared" si="224"/>
        <v>0</v>
      </c>
      <c r="Q975">
        <f t="shared" si="225"/>
        <v>0</v>
      </c>
      <c r="X975" t="str">
        <f t="shared" si="227"/>
        <v/>
      </c>
      <c r="Y975" t="str">
        <f t="shared" si="228"/>
        <v/>
      </c>
      <c r="Z975" t="str">
        <f t="shared" si="229"/>
        <v/>
      </c>
      <c r="AA975" t="str">
        <f t="shared" si="230"/>
        <v/>
      </c>
      <c r="AB975" t="str">
        <f t="shared" si="231"/>
        <v/>
      </c>
      <c r="AC975" t="str">
        <f t="shared" si="232"/>
        <v/>
      </c>
      <c r="AD975" t="str">
        <f t="shared" si="233"/>
        <v/>
      </c>
    </row>
    <row r="976" spans="14:30" thickBot="1" x14ac:dyDescent="0.3">
      <c r="N976">
        <f t="shared" si="226"/>
        <v>0</v>
      </c>
      <c r="O976">
        <f t="shared" si="223"/>
        <v>0</v>
      </c>
      <c r="P976">
        <f t="shared" si="224"/>
        <v>0</v>
      </c>
      <c r="Q976">
        <f t="shared" si="225"/>
        <v>0</v>
      </c>
      <c r="X976" t="str">
        <f t="shared" si="227"/>
        <v/>
      </c>
      <c r="Y976" t="str">
        <f t="shared" si="228"/>
        <v/>
      </c>
      <c r="Z976" t="str">
        <f t="shared" si="229"/>
        <v/>
      </c>
      <c r="AA976" t="str">
        <f t="shared" si="230"/>
        <v/>
      </c>
      <c r="AB976" t="str">
        <f t="shared" si="231"/>
        <v/>
      </c>
      <c r="AC976" t="str">
        <f t="shared" si="232"/>
        <v/>
      </c>
      <c r="AD976" t="str">
        <f t="shared" si="233"/>
        <v/>
      </c>
    </row>
    <row r="977" spans="14:30" thickBot="1" x14ac:dyDescent="0.3">
      <c r="N977">
        <f t="shared" si="226"/>
        <v>0</v>
      </c>
      <c r="O977">
        <f t="shared" si="223"/>
        <v>0</v>
      </c>
      <c r="P977">
        <f t="shared" si="224"/>
        <v>0</v>
      </c>
      <c r="Q977">
        <f t="shared" si="225"/>
        <v>0</v>
      </c>
      <c r="X977" t="str">
        <f t="shared" si="227"/>
        <v/>
      </c>
      <c r="Y977" t="str">
        <f t="shared" si="228"/>
        <v/>
      </c>
      <c r="Z977" t="str">
        <f t="shared" si="229"/>
        <v/>
      </c>
      <c r="AA977" t="str">
        <f t="shared" si="230"/>
        <v/>
      </c>
      <c r="AB977" t="str">
        <f t="shared" si="231"/>
        <v/>
      </c>
      <c r="AC977" t="str">
        <f t="shared" si="232"/>
        <v/>
      </c>
      <c r="AD977" t="str">
        <f t="shared" si="233"/>
        <v/>
      </c>
    </row>
    <row r="978" spans="14:30" thickBot="1" x14ac:dyDescent="0.3">
      <c r="N978">
        <f t="shared" si="226"/>
        <v>0</v>
      </c>
      <c r="O978">
        <f t="shared" si="223"/>
        <v>0</v>
      </c>
      <c r="P978">
        <f t="shared" si="224"/>
        <v>0</v>
      </c>
      <c r="Q978">
        <f t="shared" si="225"/>
        <v>0</v>
      </c>
      <c r="X978" t="str">
        <f t="shared" si="227"/>
        <v/>
      </c>
      <c r="Y978" t="str">
        <f t="shared" si="228"/>
        <v/>
      </c>
      <c r="Z978" t="str">
        <f t="shared" si="229"/>
        <v/>
      </c>
      <c r="AA978" t="str">
        <f t="shared" si="230"/>
        <v/>
      </c>
      <c r="AB978" t="str">
        <f t="shared" si="231"/>
        <v/>
      </c>
      <c r="AC978" t="str">
        <f t="shared" si="232"/>
        <v/>
      </c>
      <c r="AD978" t="str">
        <f t="shared" si="233"/>
        <v/>
      </c>
    </row>
    <row r="979" spans="14:30" thickBot="1" x14ac:dyDescent="0.3">
      <c r="N979">
        <f t="shared" si="226"/>
        <v>0</v>
      </c>
      <c r="O979">
        <f t="shared" si="223"/>
        <v>0</v>
      </c>
      <c r="P979">
        <f t="shared" si="224"/>
        <v>0</v>
      </c>
      <c r="Q979">
        <f t="shared" si="225"/>
        <v>0</v>
      </c>
      <c r="X979" t="str">
        <f t="shared" si="227"/>
        <v/>
      </c>
      <c r="Y979" t="str">
        <f t="shared" si="228"/>
        <v/>
      </c>
      <c r="Z979" t="str">
        <f t="shared" si="229"/>
        <v/>
      </c>
      <c r="AA979" t="str">
        <f t="shared" si="230"/>
        <v/>
      </c>
      <c r="AB979" t="str">
        <f t="shared" si="231"/>
        <v/>
      </c>
      <c r="AC979" t="str">
        <f t="shared" si="232"/>
        <v/>
      </c>
      <c r="AD979" t="str">
        <f t="shared" si="233"/>
        <v/>
      </c>
    </row>
    <row r="980" spans="14:30" thickBot="1" x14ac:dyDescent="0.3">
      <c r="N980">
        <f t="shared" si="226"/>
        <v>0</v>
      </c>
      <c r="O980">
        <f t="shared" si="223"/>
        <v>0</v>
      </c>
      <c r="P980">
        <f t="shared" si="224"/>
        <v>0</v>
      </c>
      <c r="Q980">
        <f t="shared" si="225"/>
        <v>0</v>
      </c>
      <c r="X980" t="str">
        <f t="shared" si="227"/>
        <v/>
      </c>
      <c r="Y980" t="str">
        <f t="shared" si="228"/>
        <v/>
      </c>
      <c r="Z980" t="str">
        <f t="shared" si="229"/>
        <v/>
      </c>
      <c r="AA980" t="str">
        <f t="shared" si="230"/>
        <v/>
      </c>
      <c r="AB980" t="str">
        <f t="shared" si="231"/>
        <v/>
      </c>
      <c r="AC980" t="str">
        <f t="shared" si="232"/>
        <v/>
      </c>
      <c r="AD980" t="str">
        <f t="shared" si="233"/>
        <v/>
      </c>
    </row>
    <row r="981" spans="14:30" thickBot="1" x14ac:dyDescent="0.3">
      <c r="N981">
        <f t="shared" si="226"/>
        <v>0</v>
      </c>
      <c r="O981">
        <f t="shared" si="223"/>
        <v>0</v>
      </c>
      <c r="P981">
        <f t="shared" si="224"/>
        <v>0</v>
      </c>
      <c r="Q981">
        <f t="shared" si="225"/>
        <v>0</v>
      </c>
      <c r="X981" t="str">
        <f t="shared" si="227"/>
        <v/>
      </c>
      <c r="Y981" t="str">
        <f t="shared" si="228"/>
        <v/>
      </c>
      <c r="Z981" t="str">
        <f t="shared" si="229"/>
        <v/>
      </c>
      <c r="AA981" t="str">
        <f t="shared" si="230"/>
        <v/>
      </c>
      <c r="AB981" t="str">
        <f t="shared" si="231"/>
        <v/>
      </c>
      <c r="AC981" t="str">
        <f t="shared" si="232"/>
        <v/>
      </c>
      <c r="AD981" t="str">
        <f t="shared" si="233"/>
        <v/>
      </c>
    </row>
    <row r="982" spans="14:30" thickBot="1" x14ac:dyDescent="0.3">
      <c r="N982">
        <f t="shared" si="226"/>
        <v>0</v>
      </c>
      <c r="O982">
        <f t="shared" si="223"/>
        <v>0</v>
      </c>
      <c r="P982">
        <f t="shared" si="224"/>
        <v>0</v>
      </c>
      <c r="Q982">
        <f t="shared" si="225"/>
        <v>0</v>
      </c>
      <c r="X982" t="str">
        <f t="shared" si="227"/>
        <v/>
      </c>
      <c r="Y982" t="str">
        <f t="shared" si="228"/>
        <v/>
      </c>
      <c r="Z982" t="str">
        <f t="shared" si="229"/>
        <v/>
      </c>
      <c r="AA982" t="str">
        <f t="shared" si="230"/>
        <v/>
      </c>
      <c r="AB982" t="str">
        <f t="shared" si="231"/>
        <v/>
      </c>
      <c r="AC982" t="str">
        <f t="shared" si="232"/>
        <v/>
      </c>
      <c r="AD982" t="str">
        <f t="shared" si="233"/>
        <v/>
      </c>
    </row>
    <row r="983" spans="14:30" thickBot="1" x14ac:dyDescent="0.3">
      <c r="N983">
        <f t="shared" si="226"/>
        <v>0</v>
      </c>
      <c r="O983">
        <f t="shared" si="223"/>
        <v>0</v>
      </c>
      <c r="P983">
        <f t="shared" si="224"/>
        <v>0</v>
      </c>
      <c r="Q983">
        <f t="shared" si="225"/>
        <v>0</v>
      </c>
      <c r="X983" t="str">
        <f t="shared" si="227"/>
        <v/>
      </c>
      <c r="Y983" t="str">
        <f t="shared" si="228"/>
        <v/>
      </c>
      <c r="Z983" t="str">
        <f t="shared" si="229"/>
        <v/>
      </c>
      <c r="AA983" t="str">
        <f t="shared" si="230"/>
        <v/>
      </c>
      <c r="AB983" t="str">
        <f t="shared" si="231"/>
        <v/>
      </c>
      <c r="AC983" t="str">
        <f t="shared" si="232"/>
        <v/>
      </c>
      <c r="AD983" t="str">
        <f t="shared" si="233"/>
        <v/>
      </c>
    </row>
    <row r="984" spans="14:30" thickBot="1" x14ac:dyDescent="0.3">
      <c r="N984">
        <f t="shared" si="226"/>
        <v>0</v>
      </c>
      <c r="O984">
        <f t="shared" si="223"/>
        <v>0</v>
      </c>
      <c r="P984">
        <f t="shared" si="224"/>
        <v>0</v>
      </c>
      <c r="Q984">
        <f t="shared" si="225"/>
        <v>0</v>
      </c>
      <c r="X984" t="str">
        <f t="shared" si="227"/>
        <v/>
      </c>
      <c r="Y984" t="str">
        <f t="shared" si="228"/>
        <v/>
      </c>
      <c r="Z984" t="str">
        <f t="shared" si="229"/>
        <v/>
      </c>
      <c r="AA984" t="str">
        <f t="shared" si="230"/>
        <v/>
      </c>
      <c r="AB984" t="str">
        <f t="shared" si="231"/>
        <v/>
      </c>
      <c r="AC984" t="str">
        <f t="shared" si="232"/>
        <v/>
      </c>
      <c r="AD984" t="str">
        <f t="shared" si="233"/>
        <v/>
      </c>
    </row>
    <row r="985" spans="14:30" thickBot="1" x14ac:dyDescent="0.3">
      <c r="N985">
        <f t="shared" si="226"/>
        <v>0</v>
      </c>
      <c r="O985">
        <f t="shared" si="223"/>
        <v>0</v>
      </c>
      <c r="P985">
        <f t="shared" si="224"/>
        <v>0</v>
      </c>
      <c r="Q985">
        <f t="shared" si="225"/>
        <v>0</v>
      </c>
      <c r="X985" t="str">
        <f t="shared" si="227"/>
        <v/>
      </c>
      <c r="Y985" t="str">
        <f t="shared" si="228"/>
        <v/>
      </c>
      <c r="Z985" t="str">
        <f t="shared" si="229"/>
        <v/>
      </c>
      <c r="AA985" t="str">
        <f t="shared" si="230"/>
        <v/>
      </c>
      <c r="AB985" t="str">
        <f t="shared" si="231"/>
        <v/>
      </c>
      <c r="AC985" t="str">
        <f t="shared" si="232"/>
        <v/>
      </c>
      <c r="AD985" t="str">
        <f t="shared" si="233"/>
        <v/>
      </c>
    </row>
    <row r="986" spans="14:30" thickBot="1" x14ac:dyDescent="0.3">
      <c r="N986">
        <f t="shared" si="226"/>
        <v>0</v>
      </c>
      <c r="O986">
        <f t="shared" si="223"/>
        <v>0</v>
      </c>
      <c r="P986">
        <f t="shared" si="224"/>
        <v>0</v>
      </c>
      <c r="Q986">
        <f t="shared" si="225"/>
        <v>0</v>
      </c>
      <c r="X986" t="str">
        <f t="shared" si="227"/>
        <v/>
      </c>
      <c r="Y986" t="str">
        <f t="shared" si="228"/>
        <v/>
      </c>
      <c r="Z986" t="str">
        <f t="shared" si="229"/>
        <v/>
      </c>
      <c r="AA986" t="str">
        <f t="shared" si="230"/>
        <v/>
      </c>
      <c r="AB986" t="str">
        <f t="shared" si="231"/>
        <v/>
      </c>
      <c r="AC986" t="str">
        <f t="shared" si="232"/>
        <v/>
      </c>
      <c r="AD986" t="str">
        <f t="shared" si="233"/>
        <v/>
      </c>
    </row>
    <row r="987" spans="14:30" thickBot="1" x14ac:dyDescent="0.3">
      <c r="N987">
        <f t="shared" si="226"/>
        <v>0</v>
      </c>
      <c r="O987">
        <f t="shared" si="223"/>
        <v>0</v>
      </c>
      <c r="P987">
        <f t="shared" si="224"/>
        <v>0</v>
      </c>
      <c r="Q987">
        <f t="shared" si="225"/>
        <v>0</v>
      </c>
      <c r="X987" t="str">
        <f t="shared" si="227"/>
        <v/>
      </c>
      <c r="Y987" t="str">
        <f t="shared" si="228"/>
        <v/>
      </c>
      <c r="Z987" t="str">
        <f t="shared" si="229"/>
        <v/>
      </c>
      <c r="AA987" t="str">
        <f t="shared" si="230"/>
        <v/>
      </c>
      <c r="AB987" t="str">
        <f t="shared" si="231"/>
        <v/>
      </c>
      <c r="AC987" t="str">
        <f t="shared" si="232"/>
        <v/>
      </c>
      <c r="AD987" t="str">
        <f t="shared" si="233"/>
        <v/>
      </c>
    </row>
    <row r="988" spans="14:30" thickBot="1" x14ac:dyDescent="0.3">
      <c r="N988">
        <f t="shared" si="226"/>
        <v>0</v>
      </c>
      <c r="O988">
        <f t="shared" si="223"/>
        <v>0</v>
      </c>
      <c r="P988">
        <f t="shared" si="224"/>
        <v>0</v>
      </c>
      <c r="Q988">
        <f t="shared" si="225"/>
        <v>0</v>
      </c>
      <c r="X988" t="str">
        <f t="shared" si="227"/>
        <v/>
      </c>
      <c r="Y988" t="str">
        <f t="shared" si="228"/>
        <v/>
      </c>
      <c r="Z988" t="str">
        <f t="shared" si="229"/>
        <v/>
      </c>
      <c r="AA988" t="str">
        <f t="shared" si="230"/>
        <v/>
      </c>
      <c r="AB988" t="str">
        <f t="shared" si="231"/>
        <v/>
      </c>
      <c r="AC988" t="str">
        <f t="shared" si="232"/>
        <v/>
      </c>
      <c r="AD988" t="str">
        <f t="shared" si="233"/>
        <v/>
      </c>
    </row>
    <row r="989" spans="14:30" thickBot="1" x14ac:dyDescent="0.3">
      <c r="N989">
        <f t="shared" si="226"/>
        <v>0</v>
      </c>
      <c r="O989">
        <f t="shared" si="223"/>
        <v>0</v>
      </c>
      <c r="P989">
        <f t="shared" si="224"/>
        <v>0</v>
      </c>
      <c r="Q989">
        <f t="shared" si="225"/>
        <v>0</v>
      </c>
      <c r="X989" t="str">
        <f t="shared" si="227"/>
        <v/>
      </c>
      <c r="Y989" t="str">
        <f t="shared" si="228"/>
        <v/>
      </c>
      <c r="Z989" t="str">
        <f t="shared" si="229"/>
        <v/>
      </c>
      <c r="AA989" t="str">
        <f t="shared" si="230"/>
        <v/>
      </c>
      <c r="AB989" t="str">
        <f t="shared" si="231"/>
        <v/>
      </c>
      <c r="AC989" t="str">
        <f t="shared" si="232"/>
        <v/>
      </c>
      <c r="AD989" t="str">
        <f t="shared" si="233"/>
        <v/>
      </c>
    </row>
    <row r="990" spans="14:30" thickBot="1" x14ac:dyDescent="0.3">
      <c r="N990">
        <f t="shared" si="226"/>
        <v>0</v>
      </c>
      <c r="O990">
        <f t="shared" si="223"/>
        <v>0</v>
      </c>
      <c r="P990">
        <f t="shared" si="224"/>
        <v>0</v>
      </c>
      <c r="Q990">
        <f t="shared" si="225"/>
        <v>0</v>
      </c>
      <c r="X990" t="str">
        <f t="shared" si="227"/>
        <v/>
      </c>
      <c r="Y990" t="str">
        <f t="shared" si="228"/>
        <v/>
      </c>
      <c r="Z990" t="str">
        <f t="shared" si="229"/>
        <v/>
      </c>
      <c r="AA990" t="str">
        <f t="shared" si="230"/>
        <v/>
      </c>
      <c r="AB990" t="str">
        <f t="shared" si="231"/>
        <v/>
      </c>
      <c r="AC990" t="str">
        <f t="shared" si="232"/>
        <v/>
      </c>
      <c r="AD990" t="str">
        <f t="shared" si="233"/>
        <v/>
      </c>
    </row>
    <row r="991" spans="14:30" thickBot="1" x14ac:dyDescent="0.3">
      <c r="N991">
        <f t="shared" si="226"/>
        <v>0</v>
      </c>
      <c r="O991">
        <f t="shared" si="223"/>
        <v>0</v>
      </c>
      <c r="P991">
        <f t="shared" si="224"/>
        <v>0</v>
      </c>
      <c r="Q991">
        <f t="shared" si="225"/>
        <v>0</v>
      </c>
      <c r="X991" t="str">
        <f t="shared" si="227"/>
        <v/>
      </c>
      <c r="Y991" t="str">
        <f t="shared" si="228"/>
        <v/>
      </c>
      <c r="Z991" t="str">
        <f t="shared" si="229"/>
        <v/>
      </c>
      <c r="AA991" t="str">
        <f t="shared" si="230"/>
        <v/>
      </c>
      <c r="AB991" t="str">
        <f t="shared" si="231"/>
        <v/>
      </c>
      <c r="AC991" t="str">
        <f t="shared" si="232"/>
        <v/>
      </c>
      <c r="AD991" t="str">
        <f t="shared" si="233"/>
        <v/>
      </c>
    </row>
    <row r="992" spans="14:30" thickBot="1" x14ac:dyDescent="0.3">
      <c r="N992">
        <f t="shared" si="226"/>
        <v>0</v>
      </c>
      <c r="O992">
        <f t="shared" si="223"/>
        <v>0</v>
      </c>
      <c r="P992">
        <f t="shared" si="224"/>
        <v>0</v>
      </c>
      <c r="Q992">
        <f t="shared" si="225"/>
        <v>0</v>
      </c>
      <c r="X992" t="str">
        <f t="shared" si="227"/>
        <v/>
      </c>
      <c r="Y992" t="str">
        <f t="shared" si="228"/>
        <v/>
      </c>
      <c r="Z992" t="str">
        <f t="shared" si="229"/>
        <v/>
      </c>
      <c r="AA992" t="str">
        <f t="shared" si="230"/>
        <v/>
      </c>
      <c r="AB992" t="str">
        <f t="shared" si="231"/>
        <v/>
      </c>
      <c r="AC992" t="str">
        <f t="shared" si="232"/>
        <v/>
      </c>
      <c r="AD992" t="str">
        <f t="shared" si="233"/>
        <v/>
      </c>
    </row>
    <row r="993" spans="14:30" thickBot="1" x14ac:dyDescent="0.3">
      <c r="N993">
        <f t="shared" si="226"/>
        <v>0</v>
      </c>
      <c r="O993">
        <f t="shared" si="223"/>
        <v>0</v>
      </c>
      <c r="P993">
        <f t="shared" si="224"/>
        <v>0</v>
      </c>
      <c r="Q993">
        <f t="shared" si="225"/>
        <v>0</v>
      </c>
      <c r="X993" t="str">
        <f t="shared" si="227"/>
        <v/>
      </c>
      <c r="Y993" t="str">
        <f t="shared" si="228"/>
        <v/>
      </c>
      <c r="Z993" t="str">
        <f t="shared" si="229"/>
        <v/>
      </c>
      <c r="AA993" t="str">
        <f t="shared" si="230"/>
        <v/>
      </c>
      <c r="AB993" t="str">
        <f t="shared" si="231"/>
        <v/>
      </c>
      <c r="AC993" t="str">
        <f t="shared" si="232"/>
        <v/>
      </c>
      <c r="AD993" t="str">
        <f t="shared" si="233"/>
        <v/>
      </c>
    </row>
    <row r="994" spans="14:30" thickBot="1" x14ac:dyDescent="0.3">
      <c r="N994">
        <f t="shared" si="226"/>
        <v>0</v>
      </c>
      <c r="O994">
        <f t="shared" si="223"/>
        <v>0</v>
      </c>
      <c r="P994">
        <f t="shared" si="224"/>
        <v>0</v>
      </c>
      <c r="Q994">
        <f t="shared" si="225"/>
        <v>0</v>
      </c>
      <c r="X994" t="str">
        <f t="shared" si="227"/>
        <v/>
      </c>
      <c r="Y994" t="str">
        <f t="shared" si="228"/>
        <v/>
      </c>
      <c r="Z994" t="str">
        <f t="shared" si="229"/>
        <v/>
      </c>
      <c r="AA994" t="str">
        <f t="shared" si="230"/>
        <v/>
      </c>
      <c r="AB994" t="str">
        <f t="shared" si="231"/>
        <v/>
      </c>
      <c r="AC994" t="str">
        <f t="shared" si="232"/>
        <v/>
      </c>
      <c r="AD994" t="str">
        <f t="shared" si="233"/>
        <v/>
      </c>
    </row>
    <row r="995" spans="14:30" thickBot="1" x14ac:dyDescent="0.3">
      <c r="N995">
        <f t="shared" si="226"/>
        <v>0</v>
      </c>
      <c r="O995">
        <f t="shared" si="223"/>
        <v>0</v>
      </c>
      <c r="P995">
        <f t="shared" si="224"/>
        <v>0</v>
      </c>
      <c r="Q995">
        <f t="shared" si="225"/>
        <v>0</v>
      </c>
      <c r="X995" t="str">
        <f t="shared" si="227"/>
        <v/>
      </c>
      <c r="Y995" t="str">
        <f t="shared" si="228"/>
        <v/>
      </c>
      <c r="Z995" t="str">
        <f t="shared" si="229"/>
        <v/>
      </c>
      <c r="AA995" t="str">
        <f t="shared" si="230"/>
        <v/>
      </c>
      <c r="AB995" t="str">
        <f t="shared" si="231"/>
        <v/>
      </c>
      <c r="AC995" t="str">
        <f t="shared" si="232"/>
        <v/>
      </c>
      <c r="AD995" t="str">
        <f t="shared" si="233"/>
        <v/>
      </c>
    </row>
    <row r="996" spans="14:30" thickBot="1" x14ac:dyDescent="0.3">
      <c r="N996">
        <f t="shared" si="226"/>
        <v>0</v>
      </c>
      <c r="O996">
        <f t="shared" si="223"/>
        <v>0</v>
      </c>
      <c r="P996">
        <f t="shared" si="224"/>
        <v>0</v>
      </c>
      <c r="Q996">
        <f t="shared" si="225"/>
        <v>0</v>
      </c>
      <c r="X996" t="str">
        <f t="shared" si="227"/>
        <v/>
      </c>
      <c r="Y996" t="str">
        <f t="shared" si="228"/>
        <v/>
      </c>
      <c r="Z996" t="str">
        <f t="shared" si="229"/>
        <v/>
      </c>
      <c r="AA996" t="str">
        <f t="shared" si="230"/>
        <v/>
      </c>
      <c r="AB996" t="str">
        <f t="shared" si="231"/>
        <v/>
      </c>
      <c r="AC996" t="str">
        <f t="shared" si="232"/>
        <v/>
      </c>
      <c r="AD996" t="str">
        <f t="shared" si="233"/>
        <v/>
      </c>
    </row>
    <row r="997" spans="14:30" thickBot="1" x14ac:dyDescent="0.3">
      <c r="N997">
        <f t="shared" si="226"/>
        <v>0</v>
      </c>
      <c r="O997">
        <f t="shared" si="223"/>
        <v>0</v>
      </c>
      <c r="P997">
        <f t="shared" si="224"/>
        <v>0</v>
      </c>
      <c r="Q997">
        <f t="shared" si="225"/>
        <v>0</v>
      </c>
      <c r="X997" t="str">
        <f t="shared" si="227"/>
        <v/>
      </c>
      <c r="Y997" t="str">
        <f t="shared" si="228"/>
        <v/>
      </c>
      <c r="Z997" t="str">
        <f t="shared" si="229"/>
        <v/>
      </c>
      <c r="AA997" t="str">
        <f t="shared" si="230"/>
        <v/>
      </c>
      <c r="AB997" t="str">
        <f t="shared" si="231"/>
        <v/>
      </c>
      <c r="AC997" t="str">
        <f t="shared" si="232"/>
        <v/>
      </c>
      <c r="AD997" t="str">
        <f t="shared" si="233"/>
        <v/>
      </c>
    </row>
    <row r="998" spans="14:30" thickBot="1" x14ac:dyDescent="0.3">
      <c r="N998">
        <f t="shared" si="226"/>
        <v>0</v>
      </c>
      <c r="O998">
        <f t="shared" si="223"/>
        <v>0</v>
      </c>
      <c r="P998">
        <f t="shared" si="224"/>
        <v>0</v>
      </c>
      <c r="Q998">
        <f t="shared" si="225"/>
        <v>0</v>
      </c>
      <c r="X998" t="str">
        <f t="shared" si="227"/>
        <v/>
      </c>
      <c r="Y998" t="str">
        <f t="shared" si="228"/>
        <v/>
      </c>
      <c r="Z998" t="str">
        <f t="shared" si="229"/>
        <v/>
      </c>
      <c r="AA998" t="str">
        <f t="shared" si="230"/>
        <v/>
      </c>
      <c r="AB998" t="str">
        <f t="shared" si="231"/>
        <v/>
      </c>
      <c r="AC998" t="str">
        <f t="shared" si="232"/>
        <v/>
      </c>
      <c r="AD998" t="str">
        <f t="shared" si="233"/>
        <v/>
      </c>
    </row>
    <row r="999" spans="14:30" thickBot="1" x14ac:dyDescent="0.3">
      <c r="N999">
        <f t="shared" si="226"/>
        <v>0</v>
      </c>
      <c r="O999">
        <f t="shared" si="223"/>
        <v>0</v>
      </c>
      <c r="P999">
        <f t="shared" si="224"/>
        <v>0</v>
      </c>
      <c r="Q999">
        <f t="shared" si="225"/>
        <v>0</v>
      </c>
      <c r="X999" t="str">
        <f t="shared" si="227"/>
        <v/>
      </c>
      <c r="Y999" t="str">
        <f t="shared" si="228"/>
        <v/>
      </c>
      <c r="Z999" t="str">
        <f t="shared" si="229"/>
        <v/>
      </c>
      <c r="AA999" t="str">
        <f t="shared" si="230"/>
        <v/>
      </c>
      <c r="AB999" t="str">
        <f t="shared" si="231"/>
        <v/>
      </c>
      <c r="AC999" t="str">
        <f t="shared" si="232"/>
        <v/>
      </c>
      <c r="AD999" t="str">
        <f t="shared" si="233"/>
        <v/>
      </c>
    </row>
    <row r="1000" spans="14:30" thickBot="1" x14ac:dyDescent="0.3">
      <c r="N1000">
        <f t="shared" si="226"/>
        <v>0</v>
      </c>
      <c r="O1000">
        <f t="shared" si="223"/>
        <v>0</v>
      </c>
      <c r="P1000">
        <f t="shared" si="224"/>
        <v>0</v>
      </c>
      <c r="Q1000">
        <f t="shared" si="225"/>
        <v>0</v>
      </c>
      <c r="X1000" t="str">
        <f t="shared" si="227"/>
        <v/>
      </c>
      <c r="Y1000" t="str">
        <f t="shared" si="228"/>
        <v/>
      </c>
      <c r="Z1000" t="str">
        <f t="shared" si="229"/>
        <v/>
      </c>
      <c r="AA1000" t="str">
        <f t="shared" si="230"/>
        <v/>
      </c>
      <c r="AB1000" t="str">
        <f t="shared" si="231"/>
        <v/>
      </c>
      <c r="AC1000" t="str">
        <f t="shared" si="232"/>
        <v/>
      </c>
      <c r="AD1000" t="str">
        <f t="shared" si="233"/>
        <v/>
      </c>
    </row>
  </sheetData>
  <pageMargins left="0.7" right="0.7" top="0.75" bottom="0.75" header="0.3" footer="0.3"/>
  <pageSetup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8395F-6338-4316-8228-338986CBB6D6}">
  <sheetPr codeName="Sheet13"/>
  <dimension ref="A1:Y23"/>
  <sheetViews>
    <sheetView workbookViewId="0">
      <selection activeCell="C3" sqref="C3"/>
    </sheetView>
  </sheetViews>
  <sheetFormatPr defaultRowHeight="15" x14ac:dyDescent="0.25"/>
  <cols>
    <col min="1" max="1" width="6.5703125" customWidth="1"/>
    <col min="2" max="2" width="6.140625" customWidth="1"/>
    <col min="3" max="4" width="6.42578125" customWidth="1"/>
    <col min="5" max="7" width="7.85546875" customWidth="1"/>
    <col min="15" max="15" width="12" bestFit="1" customWidth="1"/>
  </cols>
  <sheetData>
    <row r="1" spans="1:25" ht="20.25" customHeight="1" thickBot="1" x14ac:dyDescent="0.3">
      <c r="A1" s="230" t="s">
        <v>61</v>
      </c>
      <c r="B1" s="230"/>
      <c r="C1" s="230"/>
      <c r="D1" s="230"/>
      <c r="E1" s="230"/>
      <c r="F1" s="230"/>
      <c r="G1" s="230"/>
      <c r="Y1">
        <v>1</v>
      </c>
    </row>
    <row r="2" spans="1:25" ht="20.25" customHeight="1" thickBot="1" x14ac:dyDescent="0.3">
      <c r="A2" s="98" t="str">
        <f>clacs!A2</f>
        <v>Client:</v>
      </c>
      <c r="B2" s="76"/>
      <c r="C2" s="207" t="str">
        <f>clacs!C2</f>
        <v>BDA 2022/296/3/795</v>
      </c>
      <c r="D2" s="208"/>
      <c r="E2" s="208"/>
      <c r="F2" s="208"/>
      <c r="G2" s="209"/>
    </row>
    <row r="3" spans="1:25" ht="20.25" customHeight="1" thickBot="1" x14ac:dyDescent="0.3">
      <c r="A3" s="98" t="str">
        <f>clacs!A3</f>
        <v>INV #</v>
      </c>
      <c r="B3" s="76"/>
      <c r="C3" s="204">
        <v>-1</v>
      </c>
      <c r="D3" s="205"/>
      <c r="E3" s="205"/>
      <c r="F3" s="205"/>
      <c r="G3" s="206"/>
    </row>
    <row r="4" spans="1:25" ht="20.25" customHeight="1" thickBot="1" x14ac:dyDescent="0.3">
      <c r="A4" s="167" t="s">
        <v>74</v>
      </c>
      <c r="B4" s="119" t="s">
        <v>66</v>
      </c>
      <c r="C4" s="241">
        <f ca="1" xml:space="preserve">        TODAY()</f>
        <v>44590</v>
      </c>
      <c r="D4" s="242"/>
      <c r="E4" s="242"/>
      <c r="F4" s="242"/>
      <c r="G4" s="243"/>
      <c r="I4" s="166"/>
    </row>
    <row r="5" spans="1:25" ht="27" customHeight="1" thickBot="1" x14ac:dyDescent="0.3">
      <c r="A5" s="168" t="s">
        <v>299</v>
      </c>
      <c r="B5" s="129" t="str">
        <f>clacs!H5</f>
        <v>TSHIRTS L/S</v>
      </c>
      <c r="C5" s="129">
        <f>clacs!I5</f>
        <v>0</v>
      </c>
      <c r="D5" s="130">
        <f>clacs!J5</f>
        <v>0</v>
      </c>
      <c r="E5" s="131" t="s">
        <v>75</v>
      </c>
      <c r="F5" s="131" t="s">
        <v>75</v>
      </c>
      <c r="G5" s="131" t="s">
        <v>75</v>
      </c>
    </row>
    <row r="6" spans="1:25" ht="24" customHeight="1" thickBot="1" x14ac:dyDescent="0.3">
      <c r="A6" s="128" t="str">
        <f>clacs!G6</f>
        <v>XS</v>
      </c>
      <c r="B6" s="132">
        <f>clacs!H6</f>
        <v>0</v>
      </c>
      <c r="C6" s="122">
        <f>clacs!I6</f>
        <v>0</v>
      </c>
      <c r="D6" s="123">
        <f>clacs!J6</f>
        <v>0</v>
      </c>
      <c r="E6" s="210" t="str">
        <f>clacs!K6</f>
        <v/>
      </c>
      <c r="F6" s="211" t="str">
        <f>clacs!L6</f>
        <v/>
      </c>
      <c r="G6" s="212" t="str">
        <f>clacs!M6</f>
        <v/>
      </c>
    </row>
    <row r="7" spans="1:25" ht="24" customHeight="1" thickBot="1" x14ac:dyDescent="0.3">
      <c r="A7" s="121" t="str">
        <f>clacs!G7</f>
        <v>S</v>
      </c>
      <c r="B7" s="133">
        <f>clacs!H7</f>
        <v>24</v>
      </c>
      <c r="C7" s="102">
        <f>clacs!I7</f>
        <v>0</v>
      </c>
      <c r="D7" s="124">
        <f>clacs!J7</f>
        <v>0</v>
      </c>
      <c r="E7" s="213" t="str">
        <f>clacs!K7</f>
        <v>1,</v>
      </c>
      <c r="F7" s="214" t="str">
        <f>clacs!L7</f>
        <v/>
      </c>
      <c r="G7" s="215" t="str">
        <f>clacs!M7</f>
        <v/>
      </c>
    </row>
    <row r="8" spans="1:25" ht="24" customHeight="1" thickBot="1" x14ac:dyDescent="0.3">
      <c r="A8" s="121" t="str">
        <f>clacs!G8</f>
        <v>M</v>
      </c>
      <c r="B8" s="133">
        <f>clacs!H8</f>
        <v>72</v>
      </c>
      <c r="C8" s="102">
        <f>clacs!I8</f>
        <v>0</v>
      </c>
      <c r="D8" s="124">
        <f>clacs!J8</f>
        <v>0</v>
      </c>
      <c r="E8" s="213" t="str">
        <f>clacs!K8</f>
        <v>1,6,</v>
      </c>
      <c r="F8" s="214" t="str">
        <f>clacs!L8</f>
        <v/>
      </c>
      <c r="G8" s="215" t="str">
        <f>clacs!M8</f>
        <v/>
      </c>
    </row>
    <row r="9" spans="1:25" ht="24" customHeight="1" thickBot="1" x14ac:dyDescent="0.3">
      <c r="A9" s="121" t="str">
        <f>clacs!G9</f>
        <v>L</v>
      </c>
      <c r="B9" s="133">
        <f>clacs!H9</f>
        <v>105</v>
      </c>
      <c r="C9" s="102">
        <f>clacs!I9</f>
        <v>0</v>
      </c>
      <c r="D9" s="124">
        <f>clacs!J9</f>
        <v>0</v>
      </c>
      <c r="E9" s="213" t="str">
        <f>clacs!K9</f>
        <v>4,5,6,</v>
      </c>
      <c r="F9" s="214" t="str">
        <f>clacs!L9</f>
        <v/>
      </c>
      <c r="G9" s="215" t="str">
        <f>clacs!M9</f>
        <v/>
      </c>
    </row>
    <row r="10" spans="1:25" ht="24" customHeight="1" thickBot="1" x14ac:dyDescent="0.3">
      <c r="A10" s="121" t="str">
        <f>clacs!G10</f>
        <v>XL</v>
      </c>
      <c r="B10" s="133">
        <f>clacs!H10</f>
        <v>75</v>
      </c>
      <c r="C10" s="102">
        <f>clacs!I10</f>
        <v>0</v>
      </c>
      <c r="D10" s="124">
        <f>clacs!J10</f>
        <v>0</v>
      </c>
      <c r="E10" s="213" t="str">
        <f>clacs!K10</f>
        <v>2,3,</v>
      </c>
      <c r="F10" s="214" t="str">
        <f>clacs!L10</f>
        <v/>
      </c>
      <c r="G10" s="215" t="str">
        <f>clacs!M10</f>
        <v/>
      </c>
    </row>
    <row r="11" spans="1:25" ht="24" customHeight="1" thickBot="1" x14ac:dyDescent="0.3">
      <c r="A11" s="121" t="str">
        <f>clacs!G11</f>
        <v>2XL</v>
      </c>
      <c r="B11" s="133">
        <f>clacs!H11</f>
        <v>24</v>
      </c>
      <c r="C11" s="102">
        <f>clacs!I11</f>
        <v>0</v>
      </c>
      <c r="D11" s="124">
        <f>clacs!J11</f>
        <v>0</v>
      </c>
      <c r="E11" s="213" t="str">
        <f>clacs!K11</f>
        <v>3,</v>
      </c>
      <c r="F11" s="214" t="str">
        <f>clacs!L11</f>
        <v/>
      </c>
      <c r="G11" s="215" t="str">
        <f>clacs!M11</f>
        <v/>
      </c>
    </row>
    <row r="12" spans="1:25" ht="24" customHeight="1" thickBot="1" x14ac:dyDescent="0.3">
      <c r="A12" s="121" t="str">
        <f>clacs!G12</f>
        <v>3XL</v>
      </c>
      <c r="B12" s="133">
        <f>clacs!H12</f>
        <v>0</v>
      </c>
      <c r="C12" s="102">
        <f>clacs!I12</f>
        <v>0</v>
      </c>
      <c r="D12" s="124">
        <f>clacs!J12</f>
        <v>0</v>
      </c>
      <c r="E12" s="213" t="str">
        <f>clacs!K12</f>
        <v/>
      </c>
      <c r="F12" s="214" t="str">
        <f>clacs!L12</f>
        <v/>
      </c>
      <c r="G12" s="215" t="str">
        <f>clacs!M12</f>
        <v/>
      </c>
    </row>
    <row r="13" spans="1:25" ht="24" customHeight="1" thickBot="1" x14ac:dyDescent="0.3">
      <c r="A13" s="121" t="str">
        <f>clacs!G13</f>
        <v>4XL</v>
      </c>
      <c r="B13" s="133">
        <f>clacs!H13</f>
        <v>0</v>
      </c>
      <c r="C13" s="102">
        <f>clacs!I13</f>
        <v>0</v>
      </c>
      <c r="D13" s="124">
        <f>clacs!J13</f>
        <v>0</v>
      </c>
      <c r="E13" s="213" t="str">
        <f>clacs!K13</f>
        <v/>
      </c>
      <c r="F13" s="214" t="str">
        <f>clacs!L13</f>
        <v/>
      </c>
      <c r="G13" s="215" t="str">
        <f>clacs!M13</f>
        <v/>
      </c>
    </row>
    <row r="14" spans="1:25" ht="24" customHeight="1" thickBot="1" x14ac:dyDescent="0.3">
      <c r="A14" s="128" t="s">
        <v>71</v>
      </c>
      <c r="B14" s="134">
        <f>clacs!H14</f>
        <v>0</v>
      </c>
      <c r="C14" s="125">
        <f>clacs!I14</f>
        <v>0</v>
      </c>
      <c r="D14" s="126">
        <f>clacs!J14</f>
        <v>0</v>
      </c>
      <c r="E14" s="216" t="str">
        <f>clacs!K14</f>
        <v/>
      </c>
      <c r="F14" s="217" t="str">
        <f>clacs!L14</f>
        <v/>
      </c>
      <c r="G14" s="218" t="str">
        <f>clacs!M14</f>
        <v/>
      </c>
    </row>
    <row r="15" spans="1:25" ht="24" customHeight="1" thickBot="1" x14ac:dyDescent="0.3">
      <c r="A15" s="128" t="str">
        <f>clacs!G15</f>
        <v>Total</v>
      </c>
      <c r="B15" s="135">
        <f>clacs!H15</f>
        <v>300</v>
      </c>
      <c r="C15" s="136">
        <f>clacs!I15</f>
        <v>0</v>
      </c>
      <c r="D15" s="137">
        <f>clacs!J15</f>
        <v>0</v>
      </c>
      <c r="E15" s="247" t="str">
        <f>IF(BDA!B5="EDITED","EDITED!","")</f>
        <v/>
      </c>
      <c r="F15" s="248"/>
      <c r="G15" s="249"/>
    </row>
    <row r="16" spans="1:25" ht="15" customHeight="1" thickBot="1" x14ac:dyDescent="0.3">
      <c r="A16" s="139" t="s">
        <v>63</v>
      </c>
      <c r="B16" s="236">
        <f>SUM(B15:D15)+B14+C14+D14</f>
        <v>300</v>
      </c>
      <c r="C16" s="237"/>
      <c r="D16" s="238"/>
      <c r="E16" s="250"/>
      <c r="F16" s="251"/>
      <c r="G16" s="252"/>
    </row>
    <row r="17" spans="1:10" ht="18.75" customHeight="1" thickBot="1" x14ac:dyDescent="0.3">
      <c r="A17" s="239" t="s">
        <v>60</v>
      </c>
      <c r="B17" s="240"/>
      <c r="C17" s="240"/>
      <c r="D17" s="101" t="str">
        <f>clacs!G16</f>
        <v xml:space="preserve">  -  CB  -  </v>
      </c>
      <c r="E17" s="253"/>
      <c r="F17" s="254"/>
      <c r="G17" s="255"/>
    </row>
    <row r="18" spans="1:10" ht="15.75" customHeight="1" thickBot="1" x14ac:dyDescent="0.3">
      <c r="A18" s="244" t="str">
        <f>CONCATENATE("*",C2,D3,"*")</f>
        <v>*BDA 2022/296/3/795*</v>
      </c>
      <c r="B18" s="245"/>
      <c r="C18" s="245"/>
      <c r="D18" s="245"/>
      <c r="E18" s="245"/>
      <c r="F18" s="245"/>
      <c r="G18" s="246"/>
      <c r="I18" s="140"/>
    </row>
    <row r="19" spans="1:10" ht="15.75" thickBot="1" x14ac:dyDescent="0.3">
      <c r="A19" s="138" t="s">
        <v>62</v>
      </c>
      <c r="B19" s="100">
        <f>clacs!G18</f>
        <v>0</v>
      </c>
      <c r="C19" s="231" t="s">
        <v>64</v>
      </c>
      <c r="D19" s="232"/>
      <c r="E19" s="233">
        <f>clacs!G20</f>
        <v>0</v>
      </c>
      <c r="F19" s="234"/>
      <c r="G19" s="235"/>
    </row>
    <row r="23" spans="1:10" x14ac:dyDescent="0.25">
      <c r="J23" s="145"/>
    </row>
  </sheetData>
  <sheetProtection selectLockedCells="1" selectUnlockedCells="1"/>
  <mergeCells count="8">
    <mergeCell ref="A1:G1"/>
    <mergeCell ref="C19:D19"/>
    <mergeCell ref="E19:G19"/>
    <mergeCell ref="B16:D16"/>
    <mergeCell ref="A17:C17"/>
    <mergeCell ref="C4:G4"/>
    <mergeCell ref="A18:G18"/>
    <mergeCell ref="E15:G17"/>
  </mergeCells>
  <printOptions horizontalCentered="1" verticalCentered="1"/>
  <pageMargins left="0" right="0" top="0.25" bottom="0.25" header="0" footer="0"/>
  <pageSetup paperSize="31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80637-D388-4C97-BE0E-0F933D83528B}">
  <sheetPr codeName="Sheet16"/>
  <dimension ref="A1:K24"/>
  <sheetViews>
    <sheetView topLeftCell="C1" zoomScale="140" zoomScaleNormal="140" workbookViewId="0">
      <selection activeCell="E5" sqref="E5:J5"/>
    </sheetView>
  </sheetViews>
  <sheetFormatPr defaultRowHeight="15" x14ac:dyDescent="0.25"/>
  <cols>
    <col min="1" max="2" width="0" hidden="1" customWidth="1"/>
    <col min="3" max="3" width="3" customWidth="1"/>
    <col min="4" max="7" width="11.140625" customWidth="1"/>
    <col min="8" max="10" width="11.140625" style="166" customWidth="1"/>
    <col min="11" max="11" width="3" customWidth="1"/>
  </cols>
  <sheetData>
    <row r="1" spans="1:11" ht="34.5" x14ac:dyDescent="0.25">
      <c r="C1" s="141"/>
      <c r="D1" s="141"/>
      <c r="E1" s="141"/>
      <c r="F1" s="141"/>
      <c r="G1" s="141"/>
      <c r="H1" s="169"/>
      <c r="I1" s="169"/>
      <c r="J1" s="169"/>
      <c r="K1" s="141"/>
    </row>
    <row r="2" spans="1:11" ht="15.75" thickBot="1" x14ac:dyDescent="0.3">
      <c r="A2" s="142"/>
      <c r="B2" s="142"/>
      <c r="C2" s="142"/>
      <c r="D2" s="142"/>
      <c r="E2" s="142"/>
      <c r="F2" s="142"/>
      <c r="G2" s="142"/>
      <c r="H2" s="170"/>
      <c r="I2" s="170"/>
      <c r="J2" s="170"/>
      <c r="K2" s="142"/>
    </row>
    <row r="3" spans="1:11" ht="15.75" thickBot="1" x14ac:dyDescent="0.3">
      <c r="A3" s="143"/>
      <c r="B3" s="143"/>
      <c r="C3" s="143"/>
      <c r="D3" s="261" t="s">
        <v>296</v>
      </c>
      <c r="E3" s="262"/>
      <c r="F3" s="262"/>
      <c r="G3" s="262"/>
      <c r="H3" s="262"/>
      <c r="I3" s="262"/>
      <c r="J3" s="263"/>
      <c r="K3" s="143"/>
    </row>
    <row r="4" spans="1:11" ht="15.75" thickBot="1" x14ac:dyDescent="0.3">
      <c r="A4" s="143"/>
      <c r="B4" s="143"/>
      <c r="C4" s="143"/>
      <c r="D4" s="161" t="s">
        <v>297</v>
      </c>
      <c r="E4" s="264" t="str">
        <f>print!C2</f>
        <v>BDA 2022/296/3/795</v>
      </c>
      <c r="F4" s="265"/>
      <c r="G4" s="265"/>
      <c r="H4" s="265"/>
      <c r="I4" s="265"/>
      <c r="J4" s="266"/>
      <c r="K4" s="143"/>
    </row>
    <row r="5" spans="1:11" ht="15.75" thickBot="1" x14ac:dyDescent="0.3">
      <c r="A5" s="143"/>
      <c r="B5" s="143"/>
      <c r="C5" s="143"/>
      <c r="D5" s="110" t="s">
        <v>76</v>
      </c>
      <c r="E5" s="231" t="str">
        <f>CONCATENATE(print!C2,"-",(print!C3))</f>
        <v>BDA 2022/296/3/795--1</v>
      </c>
      <c r="F5" s="267"/>
      <c r="G5" s="267"/>
      <c r="H5" s="267"/>
      <c r="I5" s="267"/>
      <c r="J5" s="232"/>
      <c r="K5" s="143"/>
    </row>
    <row r="6" spans="1:11" ht="15.75" thickBot="1" x14ac:dyDescent="0.3">
      <c r="A6" s="143"/>
      <c r="B6" s="143"/>
      <c r="C6" s="143"/>
      <c r="D6" s="110" t="s">
        <v>66</v>
      </c>
      <c r="E6" s="283">
        <f ca="1">print!C4</f>
        <v>44590</v>
      </c>
      <c r="F6" s="284"/>
      <c r="G6" s="284"/>
      <c r="H6" s="284"/>
      <c r="I6" s="284"/>
      <c r="J6" s="197" t="str">
        <f>print!E15</f>
        <v/>
      </c>
      <c r="K6" s="143"/>
    </row>
    <row r="7" spans="1:11" ht="5.25" customHeight="1" x14ac:dyDescent="0.25">
      <c r="A7" s="143"/>
      <c r="B7" s="143"/>
      <c r="C7" s="143"/>
      <c r="D7" s="142"/>
      <c r="E7" s="142"/>
      <c r="F7" s="142"/>
      <c r="G7" s="142"/>
      <c r="H7" s="170"/>
      <c r="I7" s="170"/>
      <c r="J7" s="170"/>
      <c r="K7" s="143"/>
    </row>
    <row r="8" spans="1:11" ht="4.5" customHeight="1" thickBot="1" x14ac:dyDescent="0.3">
      <c r="A8" s="143"/>
      <c r="B8" s="143"/>
      <c r="C8" s="143"/>
      <c r="D8" s="142"/>
      <c r="E8" s="142"/>
      <c r="F8" s="142"/>
      <c r="G8" s="142"/>
      <c r="H8" s="170"/>
      <c r="I8" s="170"/>
      <c r="J8" s="170"/>
      <c r="K8" s="143"/>
    </row>
    <row r="9" spans="1:11" ht="16.5" thickBot="1" x14ac:dyDescent="0.3">
      <c r="A9" s="143"/>
      <c r="B9" s="143"/>
      <c r="C9" s="143"/>
      <c r="D9" s="159" t="s">
        <v>77</v>
      </c>
      <c r="E9" s="165" t="str">
        <f>print!B5</f>
        <v>TSHIRTS L/S</v>
      </c>
      <c r="F9" s="165">
        <f>print!C5</f>
        <v>0</v>
      </c>
      <c r="G9" s="165">
        <f>print!D5</f>
        <v>0</v>
      </c>
      <c r="H9" s="159" t="str">
        <f>print!E5</f>
        <v>Box#</v>
      </c>
      <c r="I9" s="159" t="str">
        <f>print!F5</f>
        <v>Box#</v>
      </c>
      <c r="J9" s="159" t="str">
        <f>print!G5</f>
        <v>Box#</v>
      </c>
      <c r="K9" s="143"/>
    </row>
    <row r="10" spans="1:11" ht="42.75" customHeight="1" thickBot="1" x14ac:dyDescent="0.3">
      <c r="A10" s="143"/>
      <c r="B10" s="143"/>
      <c r="C10" s="143"/>
      <c r="D10" s="158" t="str">
        <f>print!A6</f>
        <v>XS</v>
      </c>
      <c r="E10" s="163">
        <f>print!B6</f>
        <v>0</v>
      </c>
      <c r="F10" s="163">
        <f>print!C6</f>
        <v>0</v>
      </c>
      <c r="G10" s="163">
        <f>print!D6</f>
        <v>0</v>
      </c>
      <c r="H10" s="159" t="str">
        <f>print!E6</f>
        <v/>
      </c>
      <c r="I10" s="159" t="str">
        <f>print!F6</f>
        <v/>
      </c>
      <c r="J10" s="159" t="str">
        <f>print!G6</f>
        <v/>
      </c>
      <c r="K10" s="143"/>
    </row>
    <row r="11" spans="1:11" ht="42.75" customHeight="1" thickBot="1" x14ac:dyDescent="0.3">
      <c r="A11" s="143"/>
      <c r="B11" s="143"/>
      <c r="C11" s="143"/>
      <c r="D11" s="144" t="str">
        <f>print!A7</f>
        <v>S</v>
      </c>
      <c r="E11" s="163">
        <f>print!B7</f>
        <v>24</v>
      </c>
      <c r="F11" s="163">
        <f>print!C7</f>
        <v>0</v>
      </c>
      <c r="G11" s="163">
        <f>print!D7</f>
        <v>0</v>
      </c>
      <c r="H11" s="159" t="str">
        <f>print!E7</f>
        <v>1,</v>
      </c>
      <c r="I11" s="159" t="str">
        <f>print!F7</f>
        <v/>
      </c>
      <c r="J11" s="159" t="str">
        <f>print!G7</f>
        <v/>
      </c>
      <c r="K11" s="143"/>
    </row>
    <row r="12" spans="1:11" ht="42.75" customHeight="1" thickBot="1" x14ac:dyDescent="0.3">
      <c r="A12" s="143"/>
      <c r="B12" s="143"/>
      <c r="C12" s="143"/>
      <c r="D12" s="144" t="str">
        <f>print!A8</f>
        <v>M</v>
      </c>
      <c r="E12" s="163">
        <f>print!B8</f>
        <v>72</v>
      </c>
      <c r="F12" s="163">
        <f>print!C8</f>
        <v>0</v>
      </c>
      <c r="G12" s="163">
        <f>print!D8</f>
        <v>0</v>
      </c>
      <c r="H12" s="159" t="str">
        <f>print!E8</f>
        <v>1,6,</v>
      </c>
      <c r="I12" s="159" t="str">
        <f>print!F8</f>
        <v/>
      </c>
      <c r="J12" s="159" t="str">
        <f>print!G8</f>
        <v/>
      </c>
      <c r="K12" s="143"/>
    </row>
    <row r="13" spans="1:11" ht="42.75" customHeight="1" thickBot="1" x14ac:dyDescent="0.3">
      <c r="A13" s="143"/>
      <c r="B13" s="143"/>
      <c r="C13" s="143"/>
      <c r="D13" s="144" t="str">
        <f>print!A9</f>
        <v>L</v>
      </c>
      <c r="E13" s="163">
        <f>print!B9</f>
        <v>105</v>
      </c>
      <c r="F13" s="163">
        <f>print!C9</f>
        <v>0</v>
      </c>
      <c r="G13" s="163">
        <f>print!D9</f>
        <v>0</v>
      </c>
      <c r="H13" s="159" t="str">
        <f>print!E9</f>
        <v>4,5,6,</v>
      </c>
      <c r="I13" s="159" t="str">
        <f>print!F9</f>
        <v/>
      </c>
      <c r="J13" s="159" t="str">
        <f>print!G9</f>
        <v/>
      </c>
      <c r="K13" s="143"/>
    </row>
    <row r="14" spans="1:11" ht="42.75" customHeight="1" thickBot="1" x14ac:dyDescent="0.3">
      <c r="A14" s="143"/>
      <c r="B14" s="143"/>
      <c r="C14" s="143"/>
      <c r="D14" s="144" t="str">
        <f>print!A10</f>
        <v>XL</v>
      </c>
      <c r="E14" s="163">
        <f>print!B10</f>
        <v>75</v>
      </c>
      <c r="F14" s="163">
        <f>print!C10</f>
        <v>0</v>
      </c>
      <c r="G14" s="163">
        <f>print!D10</f>
        <v>0</v>
      </c>
      <c r="H14" s="159" t="str">
        <f>print!E10</f>
        <v>2,3,</v>
      </c>
      <c r="I14" s="159" t="str">
        <f>print!F10</f>
        <v/>
      </c>
      <c r="J14" s="159" t="str">
        <f>print!G10</f>
        <v/>
      </c>
      <c r="K14" s="143"/>
    </row>
    <row r="15" spans="1:11" ht="42.75" customHeight="1" thickBot="1" x14ac:dyDescent="0.3">
      <c r="A15" s="143"/>
      <c r="B15" s="143"/>
      <c r="C15" s="143"/>
      <c r="D15" s="144" t="str">
        <f>print!A11</f>
        <v>2XL</v>
      </c>
      <c r="E15" s="163">
        <f>print!B11</f>
        <v>24</v>
      </c>
      <c r="F15" s="163">
        <f>print!C11</f>
        <v>0</v>
      </c>
      <c r="G15" s="163">
        <f>print!D11</f>
        <v>0</v>
      </c>
      <c r="H15" s="159" t="str">
        <f>print!E11</f>
        <v>3,</v>
      </c>
      <c r="I15" s="159" t="str">
        <f>print!F11</f>
        <v/>
      </c>
      <c r="J15" s="159" t="str">
        <f>print!G11</f>
        <v/>
      </c>
      <c r="K15" s="143"/>
    </row>
    <row r="16" spans="1:11" ht="42.75" customHeight="1" thickBot="1" x14ac:dyDescent="0.3">
      <c r="A16" s="143"/>
      <c r="B16" s="143"/>
      <c r="C16" s="143"/>
      <c r="D16" s="144" t="str">
        <f>print!A12</f>
        <v>3XL</v>
      </c>
      <c r="E16" s="163">
        <f>print!B12</f>
        <v>0</v>
      </c>
      <c r="F16" s="163">
        <f>print!C12</f>
        <v>0</v>
      </c>
      <c r="G16" s="163">
        <f>print!D12</f>
        <v>0</v>
      </c>
      <c r="H16" s="159" t="str">
        <f>print!E12</f>
        <v/>
      </c>
      <c r="I16" s="159" t="str">
        <f>print!F12</f>
        <v/>
      </c>
      <c r="J16" s="159" t="str">
        <f>print!G12</f>
        <v/>
      </c>
      <c r="K16" s="143"/>
    </row>
    <row r="17" spans="1:11" ht="42.75" customHeight="1" thickBot="1" x14ac:dyDescent="0.3">
      <c r="A17" s="143"/>
      <c r="B17" s="143"/>
      <c r="C17" s="143"/>
      <c r="D17" s="144" t="str">
        <f>print!A13</f>
        <v>4XL</v>
      </c>
      <c r="E17" s="163">
        <f>print!B13</f>
        <v>0</v>
      </c>
      <c r="F17" s="163">
        <f>print!C13</f>
        <v>0</v>
      </c>
      <c r="G17" s="163">
        <f>print!D13</f>
        <v>0</v>
      </c>
      <c r="H17" s="159" t="str">
        <f>print!E13</f>
        <v/>
      </c>
      <c r="I17" s="159" t="str">
        <f>print!F13</f>
        <v/>
      </c>
      <c r="J17" s="159" t="str">
        <f>print!G13</f>
        <v/>
      </c>
      <c r="K17" s="143"/>
    </row>
    <row r="18" spans="1:11" ht="42.75" customHeight="1" thickBot="1" x14ac:dyDescent="0.3">
      <c r="A18" s="143"/>
      <c r="B18" s="143"/>
      <c r="C18" s="143"/>
      <c r="D18" s="144" t="str">
        <f>print!A14</f>
        <v>Promo</v>
      </c>
      <c r="E18" s="163">
        <f>print!B14</f>
        <v>0</v>
      </c>
      <c r="F18" s="163">
        <f>print!C14</f>
        <v>0</v>
      </c>
      <c r="G18" s="163">
        <f>print!D14</f>
        <v>0</v>
      </c>
      <c r="H18" s="159" t="str">
        <f>print!E14</f>
        <v/>
      </c>
      <c r="I18" s="159" t="str">
        <f>print!F14</f>
        <v/>
      </c>
      <c r="J18" s="159" t="str">
        <f>print!G14</f>
        <v/>
      </c>
      <c r="K18" s="143"/>
    </row>
    <row r="19" spans="1:11" ht="16.5" thickBot="1" x14ac:dyDescent="0.3">
      <c r="A19" s="143"/>
      <c r="B19" s="143"/>
      <c r="C19" s="143"/>
      <c r="D19" s="160" t="str">
        <f>print!A15</f>
        <v>Total</v>
      </c>
      <c r="E19" s="163">
        <f>SUM(E10:E18)</f>
        <v>300</v>
      </c>
      <c r="F19" s="163">
        <f t="shared" ref="F19:G19" si="0">SUM(F10:F18)</f>
        <v>0</v>
      </c>
      <c r="G19" s="163">
        <f t="shared" si="0"/>
        <v>0</v>
      </c>
      <c r="H19" s="271"/>
      <c r="I19" s="272"/>
      <c r="J19" s="273"/>
      <c r="K19" s="143"/>
    </row>
    <row r="20" spans="1:11" ht="21.75" customHeight="1" thickBot="1" x14ac:dyDescent="0.3">
      <c r="A20" s="143"/>
      <c r="B20" s="143"/>
      <c r="C20" s="143"/>
      <c r="D20" s="99" t="s">
        <v>298</v>
      </c>
      <c r="E20" s="268">
        <f>SUM(E19:G19)</f>
        <v>300</v>
      </c>
      <c r="F20" s="269"/>
      <c r="G20" s="270"/>
      <c r="H20" s="274"/>
      <c r="I20" s="275"/>
      <c r="J20" s="276"/>
      <c r="K20" s="143"/>
    </row>
    <row r="21" spans="1:11" ht="15.75" thickBot="1" x14ac:dyDescent="0.3">
      <c r="A21" s="143"/>
      <c r="B21" s="143"/>
      <c r="C21" s="143"/>
      <c r="D21" s="280" t="str">
        <f>print!A17</f>
        <v xml:space="preserve">These labels are printed by </v>
      </c>
      <c r="E21" s="281"/>
      <c r="F21" s="282"/>
      <c r="G21" s="108" t="str">
        <f>print!D17</f>
        <v xml:space="preserve">  -  CB  -  </v>
      </c>
      <c r="H21" s="277"/>
      <c r="I21" s="278"/>
      <c r="J21" s="279"/>
      <c r="K21" s="143"/>
    </row>
    <row r="22" spans="1:11" ht="33.75" thickBot="1" x14ac:dyDescent="0.3">
      <c r="A22" s="143">
        <v>2</v>
      </c>
      <c r="B22" s="143"/>
      <c r="C22" s="143"/>
      <c r="D22" s="256" t="str">
        <f>print!A18</f>
        <v>*BDA 2022/296/3/795*</v>
      </c>
      <c r="E22" s="257"/>
      <c r="F22" s="257"/>
      <c r="G22" s="257"/>
      <c r="H22" s="257"/>
      <c r="I22" s="257"/>
      <c r="J22" s="258"/>
      <c r="K22" s="143"/>
    </row>
    <row r="23" spans="1:11" ht="15.75" thickBot="1" x14ac:dyDescent="0.3">
      <c r="A23" s="143"/>
      <c r="B23" s="143"/>
      <c r="C23" s="143"/>
      <c r="D23" s="110" t="str">
        <f>print!A19</f>
        <v>TOTAL BOX:</v>
      </c>
      <c r="E23" s="231">
        <f>print!B19</f>
        <v>0</v>
      </c>
      <c r="F23" s="232"/>
      <c r="G23" s="231" t="str">
        <f>print!C19</f>
        <v>Change:</v>
      </c>
      <c r="H23" s="232"/>
      <c r="I23" s="259">
        <f>print!D19</f>
        <v>0</v>
      </c>
      <c r="J23" s="260"/>
      <c r="K23" s="143"/>
    </row>
    <row r="24" spans="1:11" x14ac:dyDescent="0.25">
      <c r="C24" s="142"/>
      <c r="D24" s="142"/>
      <c r="E24" s="142"/>
      <c r="F24" s="142"/>
      <c r="G24" s="142"/>
      <c r="H24" s="170"/>
      <c r="I24" s="170"/>
      <c r="J24" s="170"/>
      <c r="K24" s="142"/>
    </row>
  </sheetData>
  <mergeCells count="11">
    <mergeCell ref="D22:J22"/>
    <mergeCell ref="E23:F23"/>
    <mergeCell ref="I23:J23"/>
    <mergeCell ref="G23:H23"/>
    <mergeCell ref="D3:J3"/>
    <mergeCell ref="E4:J4"/>
    <mergeCell ref="E5:J5"/>
    <mergeCell ref="E20:G20"/>
    <mergeCell ref="H19:J21"/>
    <mergeCell ref="D21:F21"/>
    <mergeCell ref="E6:I6"/>
  </mergeCells>
  <printOptions horizontalCentered="1" verticalCentered="1"/>
  <pageMargins left="0.7" right="0.7" top="0.75" bottom="0.75" header="0.3" footer="0.3"/>
  <pageSetup orientation="portrait" r:id="rId1"/>
  <headerFooter>
    <oddFooter>&amp;LPage &amp;P&amp;C&amp;T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903F2-C0CF-4B91-895D-7D1FD6617FB6}">
  <sheetPr codeName="Sheet10"/>
  <dimension ref="A1:D5420"/>
  <sheetViews>
    <sheetView workbookViewId="0">
      <selection activeCell="O18" sqref="O18"/>
    </sheetView>
  </sheetViews>
  <sheetFormatPr defaultColWidth="9.140625" defaultRowHeight="15" x14ac:dyDescent="0.25"/>
  <cols>
    <col min="1" max="16384" width="9.140625" style="64"/>
  </cols>
  <sheetData>
    <row r="1" spans="1:4" ht="19.5" thickBot="1" x14ac:dyDescent="0.3">
      <c r="A1" s="40"/>
      <c r="B1" s="40"/>
      <c r="C1" s="65"/>
      <c r="D1" s="66"/>
    </row>
    <row r="2" spans="1:4" ht="19.5" thickBot="1" x14ac:dyDescent="0.3">
      <c r="A2" s="19"/>
      <c r="B2" s="20"/>
      <c r="C2" s="63"/>
      <c r="D2" s="14"/>
    </row>
    <row r="3" spans="1:4" ht="19.5" thickBot="1" x14ac:dyDescent="0.3">
      <c r="A3" s="19"/>
      <c r="B3" s="20"/>
      <c r="C3" s="48"/>
      <c r="D3" s="46"/>
    </row>
    <row r="4" spans="1:4" ht="15.75" thickBot="1" x14ac:dyDescent="0.3">
      <c r="A4" s="32"/>
      <c r="B4" s="33"/>
      <c r="C4" s="32"/>
      <c r="D4" s="34"/>
    </row>
    <row r="5" spans="1:4" ht="15.75" thickBot="1" x14ac:dyDescent="0.3">
      <c r="A5" s="58"/>
      <c r="B5" s="58"/>
      <c r="C5" s="58"/>
      <c r="D5" s="35"/>
    </row>
    <row r="6" spans="1:4" ht="15.75" x14ac:dyDescent="0.25">
      <c r="A6" s="285"/>
      <c r="B6" s="59"/>
      <c r="C6" s="59"/>
      <c r="D6" s="60"/>
    </row>
    <row r="7" spans="1:4" ht="16.5" thickBot="1" x14ac:dyDescent="0.3">
      <c r="A7" s="286"/>
      <c r="B7" s="62"/>
      <c r="C7" s="62"/>
      <c r="D7" s="61"/>
    </row>
    <row r="8" spans="1:4" ht="15.75" x14ac:dyDescent="0.25">
      <c r="A8" s="285"/>
      <c r="B8" s="59"/>
      <c r="C8" s="59"/>
      <c r="D8" s="60"/>
    </row>
    <row r="9" spans="1:4" ht="16.5" thickBot="1" x14ac:dyDescent="0.3">
      <c r="A9" s="286"/>
      <c r="B9" s="62"/>
      <c r="C9" s="62"/>
      <c r="D9" s="61"/>
    </row>
    <row r="10" spans="1:4" ht="16.5" thickBot="1" x14ac:dyDescent="0.3">
      <c r="A10" s="57"/>
      <c r="B10" s="36"/>
      <c r="C10" s="36"/>
      <c r="D10" s="36"/>
    </row>
    <row r="11" spans="1:4" ht="15.75" thickBot="1" x14ac:dyDescent="0.3">
      <c r="A11" s="287"/>
      <c r="B11" s="288"/>
      <c r="C11" s="288"/>
      <c r="D11" s="289"/>
    </row>
    <row r="12" spans="1:4" ht="18.75" x14ac:dyDescent="0.25">
      <c r="A12" s="5"/>
      <c r="B12" s="6"/>
      <c r="C12" s="7"/>
      <c r="D12" s="8"/>
    </row>
    <row r="13" spans="1:4" ht="19.5" thickBot="1" x14ac:dyDescent="0.3">
      <c r="A13" s="9"/>
      <c r="B13" s="10"/>
      <c r="C13" s="10"/>
      <c r="D13" s="11"/>
    </row>
    <row r="14" spans="1:4" ht="21.75" thickBot="1" x14ac:dyDescent="0.3">
      <c r="A14" s="43"/>
      <c r="B14" s="290"/>
      <c r="C14" s="291"/>
      <c r="D14" s="43"/>
    </row>
    <row r="15" spans="1:4" ht="21.75" thickBot="1" x14ac:dyDescent="0.3">
      <c r="A15" s="38"/>
      <c r="B15" s="44"/>
      <c r="C15" s="45"/>
      <c r="D15" s="44"/>
    </row>
    <row r="16" spans="1:4" ht="19.5" thickBot="1" x14ac:dyDescent="0.3">
      <c r="A16" s="19"/>
      <c r="B16" s="20"/>
      <c r="C16" s="63"/>
      <c r="D16" s="14"/>
    </row>
    <row r="17" spans="1:4" ht="19.5" thickBot="1" x14ac:dyDescent="0.3">
      <c r="A17" s="19"/>
      <c r="B17" s="20"/>
      <c r="C17" s="48"/>
      <c r="D17" s="46"/>
    </row>
    <row r="18" spans="1:4" ht="15.75" thickBot="1" x14ac:dyDescent="0.3">
      <c r="A18" s="32"/>
      <c r="B18" s="33"/>
      <c r="C18" s="32"/>
      <c r="D18" s="34"/>
    </row>
    <row r="19" spans="1:4" ht="15.75" thickBot="1" x14ac:dyDescent="0.3">
      <c r="A19" s="67"/>
      <c r="B19" s="67"/>
      <c r="C19" s="67"/>
      <c r="D19" s="35"/>
    </row>
    <row r="20" spans="1:4" ht="15.75" x14ac:dyDescent="0.25">
      <c r="A20" s="285"/>
      <c r="B20" s="59"/>
      <c r="C20" s="59"/>
      <c r="D20" s="60"/>
    </row>
    <row r="21" spans="1:4" ht="16.5" thickBot="1" x14ac:dyDescent="0.3">
      <c r="A21" s="286"/>
      <c r="B21" s="62"/>
      <c r="C21" s="62"/>
      <c r="D21" s="61"/>
    </row>
    <row r="22" spans="1:4" ht="15.75" x14ac:dyDescent="0.25">
      <c r="A22" s="285"/>
      <c r="B22" s="59"/>
      <c r="C22" s="59"/>
      <c r="D22" s="60"/>
    </row>
    <row r="23" spans="1:4" ht="16.5" thickBot="1" x14ac:dyDescent="0.3">
      <c r="A23" s="286"/>
      <c r="B23" s="62"/>
      <c r="C23" s="62"/>
      <c r="D23" s="61"/>
    </row>
    <row r="24" spans="1:4" ht="16.5" thickBot="1" x14ac:dyDescent="0.3">
      <c r="A24" s="57"/>
      <c r="B24" s="36"/>
      <c r="C24" s="36"/>
      <c r="D24" s="36"/>
    </row>
    <row r="25" spans="1:4" ht="15.75" thickBot="1" x14ac:dyDescent="0.3">
      <c r="A25" s="287"/>
      <c r="B25" s="288"/>
      <c r="C25" s="288"/>
      <c r="D25" s="289"/>
    </row>
    <row r="26" spans="1:4" ht="18.75" x14ac:dyDescent="0.25">
      <c r="A26" s="5"/>
      <c r="B26" s="6"/>
      <c r="C26" s="7"/>
      <c r="D26" s="8"/>
    </row>
    <row r="27" spans="1:4" ht="19.5" thickBot="1" x14ac:dyDescent="0.3">
      <c r="A27" s="9"/>
      <c r="B27" s="10"/>
      <c r="C27" s="10"/>
      <c r="D27" s="11"/>
    </row>
    <row r="28" spans="1:4" ht="21.75" thickBot="1" x14ac:dyDescent="0.3">
      <c r="A28" s="43"/>
      <c r="B28" s="290"/>
      <c r="C28" s="291"/>
      <c r="D28" s="43"/>
    </row>
    <row r="29" spans="1:4" ht="21.75" thickBot="1" x14ac:dyDescent="0.3">
      <c r="A29" s="38"/>
      <c r="B29" s="44"/>
      <c r="C29" s="45"/>
      <c r="D29" s="44"/>
    </row>
    <row r="30" spans="1:4" ht="19.5" thickBot="1" x14ac:dyDescent="0.3">
      <c r="A30" s="19"/>
      <c r="B30" s="20"/>
      <c r="C30" s="63"/>
      <c r="D30" s="14"/>
    </row>
    <row r="31" spans="1:4" ht="19.5" thickBot="1" x14ac:dyDescent="0.3">
      <c r="A31" s="19"/>
      <c r="B31" s="20"/>
      <c r="C31" s="69"/>
      <c r="D31" s="51"/>
    </row>
    <row r="32" spans="1:4" ht="19.5" thickBot="1" x14ac:dyDescent="0.3">
      <c r="A32" s="19"/>
      <c r="B32" s="20"/>
      <c r="C32" s="52"/>
      <c r="D32" s="42"/>
    </row>
    <row r="33" spans="1:4" ht="15.75" thickBot="1" x14ac:dyDescent="0.3">
      <c r="A33" s="32"/>
      <c r="B33" s="33"/>
      <c r="C33" s="32"/>
      <c r="D33" s="34"/>
    </row>
    <row r="34" spans="1:4" ht="15.75" thickBot="1" x14ac:dyDescent="0.3">
      <c r="A34" s="68"/>
      <c r="B34" s="68"/>
      <c r="C34" s="68"/>
      <c r="D34" s="70"/>
    </row>
    <row r="35" spans="1:4" ht="15.75" x14ac:dyDescent="0.25">
      <c r="A35" s="285"/>
      <c r="B35" s="59"/>
      <c r="C35" s="59"/>
      <c r="D35" s="60"/>
    </row>
    <row r="36" spans="1:4" ht="16.5" thickBot="1" x14ac:dyDescent="0.3">
      <c r="A36" s="286"/>
      <c r="B36" s="62"/>
      <c r="C36" s="62"/>
      <c r="D36" s="61"/>
    </row>
    <row r="37" spans="1:4" ht="15.75" x14ac:dyDescent="0.25">
      <c r="A37" s="285"/>
      <c r="B37" s="59"/>
      <c r="C37" s="59"/>
      <c r="D37" s="60"/>
    </row>
    <row r="38" spans="1:4" ht="16.5" thickBot="1" x14ac:dyDescent="0.3">
      <c r="A38" s="286"/>
      <c r="B38" s="62"/>
      <c r="C38" s="62"/>
      <c r="D38" s="71"/>
    </row>
    <row r="39" spans="1:4" ht="16.5" thickBot="1" x14ac:dyDescent="0.3">
      <c r="A39" s="57"/>
      <c r="B39" s="36"/>
      <c r="C39" s="36"/>
      <c r="D39" s="36"/>
    </row>
    <row r="40" spans="1:4" ht="15.75" thickBot="1" x14ac:dyDescent="0.3">
      <c r="A40" s="287"/>
      <c r="B40" s="288"/>
      <c r="C40" s="288"/>
      <c r="D40" s="289"/>
    </row>
    <row r="41" spans="1:4" ht="18.75" x14ac:dyDescent="0.25">
      <c r="A41" s="5"/>
      <c r="B41" s="6"/>
      <c r="C41" s="7"/>
      <c r="D41" s="8"/>
    </row>
    <row r="42" spans="1:4" ht="19.5" thickBot="1" x14ac:dyDescent="0.3">
      <c r="A42" s="9"/>
      <c r="B42" s="10"/>
      <c r="C42" s="10"/>
      <c r="D42" s="11"/>
    </row>
    <row r="43" spans="1:4" ht="21.75" thickBot="1" x14ac:dyDescent="0.3">
      <c r="A43" s="43"/>
      <c r="B43" s="290"/>
      <c r="C43" s="291"/>
      <c r="D43" s="43"/>
    </row>
    <row r="44" spans="1:4" ht="21.75" thickBot="1" x14ac:dyDescent="0.3">
      <c r="A44" s="38"/>
      <c r="B44" s="45"/>
      <c r="C44" s="45"/>
      <c r="D44" s="45"/>
    </row>
    <row r="45" spans="1:4" ht="19.5" thickBot="1" x14ac:dyDescent="0.3">
      <c r="A45" s="19"/>
      <c r="B45" s="20"/>
      <c r="C45" s="69"/>
      <c r="D45" s="51"/>
    </row>
    <row r="46" spans="1:4" ht="19.5" thickBot="1" x14ac:dyDescent="0.3">
      <c r="A46" s="19"/>
      <c r="B46" s="20"/>
      <c r="C46" s="52"/>
      <c r="D46" s="42"/>
    </row>
    <row r="47" spans="1:4" ht="15.75" thickBot="1" x14ac:dyDescent="0.3">
      <c r="A47" s="32"/>
      <c r="B47" s="33"/>
      <c r="C47" s="32"/>
      <c r="D47" s="34"/>
    </row>
    <row r="48" spans="1:4" ht="15.75" thickBot="1" x14ac:dyDescent="0.3">
      <c r="A48" s="77"/>
      <c r="B48" s="77"/>
      <c r="C48" s="77"/>
      <c r="D48" s="70"/>
    </row>
    <row r="49" spans="1:4" ht="15.75" x14ac:dyDescent="0.25">
      <c r="A49" s="285"/>
      <c r="B49" s="59"/>
      <c r="C49" s="59"/>
      <c r="D49" s="60"/>
    </row>
    <row r="50" spans="1:4" ht="16.5" thickBot="1" x14ac:dyDescent="0.3">
      <c r="A50" s="286"/>
      <c r="B50" s="62"/>
      <c r="C50" s="62"/>
      <c r="D50" s="61"/>
    </row>
    <row r="51" spans="1:4" ht="15.75" x14ac:dyDescent="0.25">
      <c r="A51" s="285"/>
      <c r="B51" s="59"/>
      <c r="C51" s="59"/>
      <c r="D51" s="60"/>
    </row>
    <row r="52" spans="1:4" ht="16.5" thickBot="1" x14ac:dyDescent="0.3">
      <c r="A52" s="286"/>
      <c r="B52" s="62"/>
      <c r="C52" s="62"/>
      <c r="D52" s="71"/>
    </row>
    <row r="53" spans="1:4" ht="16.5" thickBot="1" x14ac:dyDescent="0.3">
      <c r="A53" s="57"/>
      <c r="B53" s="36"/>
      <c r="C53" s="36"/>
      <c r="D53" s="36"/>
    </row>
    <row r="54" spans="1:4" ht="15.75" thickBot="1" x14ac:dyDescent="0.3">
      <c r="A54" s="287"/>
      <c r="B54" s="288"/>
      <c r="C54" s="288"/>
      <c r="D54" s="289"/>
    </row>
    <row r="55" spans="1:4" ht="18.75" x14ac:dyDescent="0.25">
      <c r="A55" s="5"/>
      <c r="B55" s="6"/>
      <c r="C55" s="7"/>
      <c r="D55" s="8"/>
    </row>
    <row r="56" spans="1:4" ht="19.5" thickBot="1" x14ac:dyDescent="0.3">
      <c r="A56" s="9"/>
      <c r="B56" s="10"/>
      <c r="C56" s="10"/>
      <c r="D56" s="11"/>
    </row>
    <row r="57" spans="1:4" ht="21.75" thickBot="1" x14ac:dyDescent="0.3">
      <c r="A57" s="43"/>
      <c r="B57" s="290"/>
      <c r="C57" s="291"/>
      <c r="D57" s="43"/>
    </row>
    <row r="58" spans="1:4" ht="21.75" thickBot="1" x14ac:dyDescent="0.3">
      <c r="A58" s="38"/>
      <c r="B58" s="45"/>
      <c r="C58" s="44"/>
      <c r="D58" s="44"/>
    </row>
    <row r="59" spans="1:4" ht="19.5" thickBot="1" x14ac:dyDescent="0.3">
      <c r="A59" s="19"/>
      <c r="B59" s="20"/>
      <c r="C59" s="63"/>
      <c r="D59" s="14"/>
    </row>
    <row r="60" spans="1:4" ht="19.5" thickBot="1" x14ac:dyDescent="0.3">
      <c r="A60" s="19"/>
      <c r="B60" s="20"/>
      <c r="C60" s="63"/>
      <c r="D60" s="14"/>
    </row>
    <row r="61" spans="1:4" ht="19.5" thickBot="1" x14ac:dyDescent="0.3">
      <c r="A61" s="19"/>
      <c r="B61" s="20"/>
      <c r="C61" s="52"/>
      <c r="D61" s="78"/>
    </row>
    <row r="62" spans="1:4" ht="15.75" thickBot="1" x14ac:dyDescent="0.3">
      <c r="A62" s="32"/>
      <c r="B62" s="33"/>
      <c r="C62" s="32"/>
      <c r="D62" s="79"/>
    </row>
    <row r="63" spans="1:4" ht="15.75" thickBot="1" x14ac:dyDescent="0.3">
      <c r="A63" s="77"/>
      <c r="B63" s="77"/>
      <c r="C63" s="77"/>
      <c r="D63" s="70"/>
    </row>
    <row r="64" spans="1:4" ht="15.75" x14ac:dyDescent="0.25">
      <c r="A64" s="285"/>
      <c r="B64" s="59"/>
      <c r="C64" s="59"/>
      <c r="D64" s="60"/>
    </row>
    <row r="65" spans="1:4" ht="16.5" thickBot="1" x14ac:dyDescent="0.3">
      <c r="A65" s="286"/>
      <c r="B65" s="62"/>
      <c r="C65" s="62"/>
      <c r="D65" s="71"/>
    </row>
    <row r="66" spans="1:4" ht="15.75" x14ac:dyDescent="0.25">
      <c r="A66" s="285"/>
      <c r="B66" s="59"/>
      <c r="C66" s="59"/>
      <c r="D66" s="80"/>
    </row>
    <row r="67" spans="1:4" ht="16.5" thickBot="1" x14ac:dyDescent="0.3">
      <c r="A67" s="286"/>
      <c r="B67" s="62"/>
      <c r="C67" s="62"/>
      <c r="D67" s="71"/>
    </row>
    <row r="68" spans="1:4" ht="16.5" thickBot="1" x14ac:dyDescent="0.3">
      <c r="A68" s="57"/>
      <c r="B68" s="36"/>
      <c r="C68" s="36"/>
      <c r="D68" s="36"/>
    </row>
    <row r="69" spans="1:4" ht="15.75" thickBot="1" x14ac:dyDescent="0.3">
      <c r="A69" s="287"/>
      <c r="B69" s="288"/>
      <c r="C69" s="288"/>
      <c r="D69" s="289"/>
    </row>
    <row r="70" spans="1:4" ht="18.75" x14ac:dyDescent="0.25">
      <c r="A70" s="5"/>
      <c r="B70" s="6"/>
      <c r="C70" s="7"/>
      <c r="D70" s="8"/>
    </row>
    <row r="71" spans="1:4" ht="19.5" thickBot="1" x14ac:dyDescent="0.3">
      <c r="A71" s="9"/>
      <c r="B71" s="10"/>
      <c r="C71" s="10"/>
      <c r="D71" s="11"/>
    </row>
    <row r="72" spans="1:4" ht="21.75" thickBot="1" x14ac:dyDescent="0.3">
      <c r="A72" s="43"/>
      <c r="B72" s="290"/>
      <c r="C72" s="294"/>
      <c r="D72" s="49"/>
    </row>
    <row r="73" spans="1:4" ht="21.75" thickBot="1" x14ac:dyDescent="0.3">
      <c r="A73" s="38"/>
      <c r="B73" s="45"/>
      <c r="C73" s="45"/>
      <c r="D73" s="45"/>
    </row>
    <row r="74" spans="1:4" ht="19.5" thickBot="1" x14ac:dyDescent="0.3">
      <c r="A74" s="19"/>
      <c r="B74" s="20"/>
      <c r="C74" s="63"/>
      <c r="D74" s="14"/>
    </row>
    <row r="75" spans="1:4" ht="19.5" thickBot="1" x14ac:dyDescent="0.3">
      <c r="A75" s="19"/>
      <c r="B75" s="20"/>
      <c r="C75" s="52"/>
      <c r="D75" s="78"/>
    </row>
    <row r="76" spans="1:4" ht="15.75" thickBot="1" x14ac:dyDescent="0.3">
      <c r="A76" s="32"/>
      <c r="B76" s="33"/>
      <c r="C76" s="32"/>
      <c r="D76" s="79"/>
    </row>
    <row r="77" spans="1:4" ht="15.75" thickBot="1" x14ac:dyDescent="0.3">
      <c r="A77" s="77"/>
      <c r="B77" s="77"/>
      <c r="C77" s="77"/>
      <c r="D77" s="70"/>
    </row>
    <row r="78" spans="1:4" ht="15.75" x14ac:dyDescent="0.25">
      <c r="A78" s="285"/>
      <c r="B78" s="59"/>
      <c r="C78" s="59"/>
      <c r="D78" s="60"/>
    </row>
    <row r="79" spans="1:4" ht="16.5" thickBot="1" x14ac:dyDescent="0.3">
      <c r="A79" s="286"/>
      <c r="B79" s="62"/>
      <c r="C79" s="62"/>
      <c r="D79" s="71"/>
    </row>
    <row r="80" spans="1:4" ht="15.75" x14ac:dyDescent="0.25">
      <c r="A80" s="285"/>
      <c r="B80" s="59"/>
      <c r="C80" s="59"/>
      <c r="D80" s="80"/>
    </row>
    <row r="81" spans="1:4" ht="16.5" thickBot="1" x14ac:dyDescent="0.3">
      <c r="A81" s="286"/>
      <c r="B81" s="62"/>
      <c r="C81" s="62"/>
      <c r="D81" s="71"/>
    </row>
    <row r="82" spans="1:4" ht="16.5" thickBot="1" x14ac:dyDescent="0.3">
      <c r="A82" s="57"/>
      <c r="B82" s="36"/>
      <c r="C82" s="36"/>
      <c r="D82" s="36"/>
    </row>
    <row r="83" spans="1:4" ht="15.75" thickBot="1" x14ac:dyDescent="0.3">
      <c r="A83" s="287"/>
      <c r="B83" s="288"/>
      <c r="C83" s="288"/>
      <c r="D83" s="289"/>
    </row>
    <row r="84" spans="1:4" ht="18.75" x14ac:dyDescent="0.25">
      <c r="A84" s="5"/>
      <c r="B84" s="6"/>
      <c r="C84" s="7"/>
      <c r="D84" s="8"/>
    </row>
    <row r="85" spans="1:4" ht="19.5" thickBot="1" x14ac:dyDescent="0.3">
      <c r="A85" s="9"/>
      <c r="B85" s="10"/>
      <c r="C85" s="10"/>
      <c r="D85" s="11"/>
    </row>
    <row r="86" spans="1:4" ht="21.75" thickBot="1" x14ac:dyDescent="0.3">
      <c r="A86" s="43"/>
      <c r="B86" s="290"/>
      <c r="C86" s="294"/>
      <c r="D86" s="49"/>
    </row>
    <row r="87" spans="1:4" ht="21.75" thickBot="1" x14ac:dyDescent="0.3">
      <c r="A87" s="38"/>
      <c r="B87" s="45"/>
      <c r="C87" s="45"/>
      <c r="D87" s="45"/>
    </row>
    <row r="88" spans="1:4" ht="19.5" thickBot="1" x14ac:dyDescent="0.3">
      <c r="A88" s="19"/>
      <c r="B88" s="20"/>
      <c r="C88" s="63"/>
      <c r="D88" s="14"/>
    </row>
    <row r="89" spans="1:4" ht="19.5" thickBot="1" x14ac:dyDescent="0.3">
      <c r="A89" s="19"/>
      <c r="B89" s="20"/>
      <c r="C89" s="63"/>
      <c r="D89" s="82"/>
    </row>
    <row r="90" spans="1:4" ht="19.5" thickBot="1" x14ac:dyDescent="0.3">
      <c r="A90" s="19"/>
      <c r="B90" s="20"/>
      <c r="C90" s="52"/>
      <c r="D90" s="78"/>
    </row>
    <row r="91" spans="1:4" ht="15.75" thickBot="1" x14ac:dyDescent="0.3">
      <c r="A91" s="32"/>
      <c r="B91" s="33"/>
      <c r="C91" s="32"/>
      <c r="D91" s="79"/>
    </row>
    <row r="92" spans="1:4" ht="15.75" thickBot="1" x14ac:dyDescent="0.3">
      <c r="A92" s="81"/>
      <c r="B92" s="81"/>
      <c r="C92" s="81"/>
      <c r="D92" s="70"/>
    </row>
    <row r="93" spans="1:4" ht="15.75" x14ac:dyDescent="0.25">
      <c r="A93" s="285"/>
      <c r="B93" s="59"/>
      <c r="C93" s="59"/>
      <c r="D93" s="80"/>
    </row>
    <row r="94" spans="1:4" ht="16.5" thickBot="1" x14ac:dyDescent="0.3">
      <c r="A94" s="286"/>
      <c r="B94" s="62"/>
      <c r="C94" s="62"/>
      <c r="D94" s="71"/>
    </row>
    <row r="95" spans="1:4" ht="15.75" x14ac:dyDescent="0.25">
      <c r="A95" s="285"/>
      <c r="B95" s="59"/>
      <c r="C95" s="59"/>
      <c r="D95" s="80"/>
    </row>
    <row r="96" spans="1:4" ht="16.5" thickBot="1" x14ac:dyDescent="0.3">
      <c r="A96" s="286"/>
      <c r="B96" s="62"/>
      <c r="C96" s="62"/>
      <c r="D96" s="71"/>
    </row>
    <row r="97" spans="1:4" ht="16.5" thickBot="1" x14ac:dyDescent="0.3">
      <c r="A97" s="57"/>
      <c r="B97" s="36"/>
      <c r="C97" s="36"/>
      <c r="D97" s="36"/>
    </row>
    <row r="98" spans="1:4" ht="15.75" thickBot="1" x14ac:dyDescent="0.3">
      <c r="A98" s="287"/>
      <c r="B98" s="288"/>
      <c r="C98" s="288"/>
      <c r="D98" s="289"/>
    </row>
    <row r="99" spans="1:4" ht="18.75" x14ac:dyDescent="0.25">
      <c r="A99" s="5"/>
      <c r="B99" s="6"/>
      <c r="C99" s="84"/>
      <c r="D99" s="85"/>
    </row>
    <row r="100" spans="1:4" ht="19.5" thickBot="1" x14ac:dyDescent="0.3">
      <c r="A100" s="9"/>
      <c r="B100" s="10"/>
      <c r="C100" s="10"/>
      <c r="D100" s="11"/>
    </row>
    <row r="101" spans="1:4" ht="21.75" thickBot="1" x14ac:dyDescent="0.3">
      <c r="A101" s="43"/>
      <c r="B101" s="290"/>
      <c r="C101" s="291"/>
      <c r="D101" s="43"/>
    </row>
    <row r="102" spans="1:4" ht="21.75" thickBot="1" x14ac:dyDescent="0.3">
      <c r="A102" s="38"/>
      <c r="B102" s="45"/>
      <c r="C102" s="45"/>
      <c r="D102" s="86"/>
    </row>
    <row r="103" spans="1:4" ht="19.5" thickBot="1" x14ac:dyDescent="0.3">
      <c r="A103" s="19"/>
      <c r="B103" s="20"/>
      <c r="C103" s="63"/>
      <c r="D103" s="82"/>
    </row>
    <row r="104" spans="1:4" ht="19.5" thickBot="1" x14ac:dyDescent="0.3">
      <c r="A104" s="19"/>
      <c r="B104" s="20"/>
      <c r="C104" s="52"/>
      <c r="D104" s="78"/>
    </row>
    <row r="105" spans="1:4" ht="15.75" thickBot="1" x14ac:dyDescent="0.3">
      <c r="A105" s="32"/>
      <c r="B105" s="33"/>
      <c r="C105" s="32"/>
      <c r="D105" s="79"/>
    </row>
    <row r="106" spans="1:4" ht="15.75" thickBot="1" x14ac:dyDescent="0.3">
      <c r="A106" s="83"/>
      <c r="B106" s="83"/>
      <c r="C106" s="83"/>
      <c r="D106" s="35"/>
    </row>
    <row r="107" spans="1:4" ht="15.75" x14ac:dyDescent="0.25">
      <c r="A107" s="285"/>
      <c r="B107" s="59"/>
      <c r="C107" s="59"/>
      <c r="D107" s="80"/>
    </row>
    <row r="108" spans="1:4" ht="16.5" thickBot="1" x14ac:dyDescent="0.3">
      <c r="A108" s="286"/>
      <c r="B108" s="62"/>
      <c r="C108" s="62"/>
      <c r="D108" s="71"/>
    </row>
    <row r="109" spans="1:4" ht="15.75" x14ac:dyDescent="0.25">
      <c r="A109" s="285"/>
      <c r="B109" s="59"/>
      <c r="C109" s="59"/>
      <c r="D109" s="80"/>
    </row>
    <row r="110" spans="1:4" ht="16.5" thickBot="1" x14ac:dyDescent="0.3">
      <c r="A110" s="286"/>
      <c r="B110" s="62"/>
      <c r="C110" s="62"/>
      <c r="D110" s="71"/>
    </row>
    <row r="111" spans="1:4" ht="16.5" thickBot="1" x14ac:dyDescent="0.3">
      <c r="A111" s="57"/>
      <c r="B111" s="36"/>
      <c r="C111" s="36"/>
      <c r="D111" s="36"/>
    </row>
    <row r="112" spans="1:4" ht="15.75" thickBot="1" x14ac:dyDescent="0.3">
      <c r="A112" s="287"/>
      <c r="B112" s="288"/>
      <c r="C112" s="288"/>
      <c r="D112" s="289"/>
    </row>
    <row r="113" spans="1:4" ht="18.75" x14ac:dyDescent="0.25">
      <c r="A113" s="5"/>
      <c r="B113" s="6"/>
      <c r="C113" s="84"/>
      <c r="D113" s="85"/>
    </row>
    <row r="114" spans="1:4" ht="19.5" thickBot="1" x14ac:dyDescent="0.3">
      <c r="A114" s="9"/>
      <c r="B114" s="10"/>
      <c r="C114" s="10"/>
      <c r="D114" s="11"/>
    </row>
    <row r="115" spans="1:4" ht="21.75" thickBot="1" x14ac:dyDescent="0.3">
      <c r="A115" s="43"/>
      <c r="B115" s="290"/>
      <c r="C115" s="291"/>
      <c r="D115" s="43"/>
    </row>
    <row r="116" spans="1:4" ht="21.75" thickBot="1" x14ac:dyDescent="0.3">
      <c r="A116" s="38"/>
      <c r="B116" s="45"/>
      <c r="C116" s="45"/>
      <c r="D116" s="86"/>
    </row>
    <row r="117" spans="1:4" ht="19.5" thickBot="1" x14ac:dyDescent="0.3">
      <c r="A117" s="19"/>
      <c r="B117" s="20"/>
      <c r="C117" s="63"/>
      <c r="D117" s="82"/>
    </row>
    <row r="118" spans="1:4" ht="19.5" thickBot="1" x14ac:dyDescent="0.3">
      <c r="A118" s="19"/>
      <c r="B118" s="20"/>
      <c r="C118" s="63"/>
      <c r="D118" s="82"/>
    </row>
    <row r="119" spans="1:4" ht="19.5" thickBot="1" x14ac:dyDescent="0.3">
      <c r="A119" s="19"/>
      <c r="B119" s="20"/>
      <c r="C119" s="52"/>
      <c r="D119" s="78"/>
    </row>
    <row r="120" spans="1:4" ht="15.75" thickBot="1" x14ac:dyDescent="0.3">
      <c r="A120" s="32"/>
      <c r="B120" s="33"/>
      <c r="C120" s="32"/>
      <c r="D120" s="34"/>
    </row>
    <row r="121" spans="1:4" ht="15.75" thickBot="1" x14ac:dyDescent="0.3">
      <c r="A121" s="87"/>
      <c r="B121" s="87"/>
      <c r="C121" s="87"/>
      <c r="D121" s="35"/>
    </row>
    <row r="122" spans="1:4" ht="15.75" x14ac:dyDescent="0.25">
      <c r="A122" s="285"/>
      <c r="B122" s="59"/>
      <c r="C122" s="59"/>
      <c r="D122" s="80"/>
    </row>
    <row r="123" spans="1:4" ht="16.5" thickBot="1" x14ac:dyDescent="0.3">
      <c r="A123" s="286"/>
      <c r="B123" s="62"/>
      <c r="C123" s="62"/>
      <c r="D123" s="71"/>
    </row>
    <row r="124" spans="1:4" ht="15.75" x14ac:dyDescent="0.25">
      <c r="A124" s="285"/>
      <c r="B124" s="59"/>
      <c r="C124" s="59"/>
      <c r="D124" s="80"/>
    </row>
    <row r="125" spans="1:4" ht="16.5" thickBot="1" x14ac:dyDescent="0.3">
      <c r="A125" s="286"/>
      <c r="B125" s="62"/>
      <c r="C125" s="62"/>
      <c r="D125" s="71"/>
    </row>
    <row r="126" spans="1:4" ht="16.5" thickBot="1" x14ac:dyDescent="0.3">
      <c r="A126" s="57"/>
      <c r="B126" s="36"/>
      <c r="C126" s="36"/>
      <c r="D126" s="36"/>
    </row>
    <row r="127" spans="1:4" ht="15.75" thickBot="1" x14ac:dyDescent="0.3">
      <c r="A127" s="287"/>
      <c r="B127" s="288"/>
      <c r="C127" s="292"/>
      <c r="D127" s="293"/>
    </row>
    <row r="128" spans="1:4" ht="18.75" x14ac:dyDescent="0.25">
      <c r="A128" s="5"/>
      <c r="B128" s="6"/>
      <c r="C128" s="7"/>
      <c r="D128" s="8"/>
    </row>
    <row r="129" spans="1:4" ht="19.5" thickBot="1" x14ac:dyDescent="0.3">
      <c r="A129" s="9"/>
      <c r="B129" s="10"/>
      <c r="C129" s="10"/>
      <c r="D129" s="11"/>
    </row>
    <row r="130" spans="1:4" ht="21.75" thickBot="1" x14ac:dyDescent="0.3">
      <c r="A130" s="43"/>
      <c r="B130" s="290"/>
      <c r="C130" s="291"/>
      <c r="D130" s="89"/>
    </row>
    <row r="131" spans="1:4" ht="21.75" thickBot="1" x14ac:dyDescent="0.3">
      <c r="A131" s="38"/>
      <c r="B131" s="45"/>
      <c r="C131" s="45"/>
      <c r="D131" s="86"/>
    </row>
    <row r="132" spans="1:4" ht="19.5" thickBot="1" x14ac:dyDescent="0.3">
      <c r="A132" s="19"/>
      <c r="B132" s="20"/>
      <c r="C132" s="63"/>
      <c r="D132" s="82"/>
    </row>
    <row r="133" spans="1:4" ht="19.5" thickBot="1" x14ac:dyDescent="0.3">
      <c r="A133" s="19"/>
      <c r="B133" s="20"/>
      <c r="C133" s="52"/>
      <c r="D133" s="78"/>
    </row>
    <row r="134" spans="1:4" ht="15.75" thickBot="1" x14ac:dyDescent="0.3">
      <c r="A134" s="32"/>
      <c r="B134" s="33"/>
      <c r="C134" s="32"/>
      <c r="D134" s="34"/>
    </row>
    <row r="135" spans="1:4" ht="15.75" thickBot="1" x14ac:dyDescent="0.3">
      <c r="A135" s="88"/>
      <c r="B135" s="88"/>
      <c r="C135" s="88"/>
      <c r="D135" s="35"/>
    </row>
    <row r="136" spans="1:4" ht="15.75" x14ac:dyDescent="0.25">
      <c r="A136" s="285"/>
      <c r="B136" s="59"/>
      <c r="C136" s="59"/>
      <c r="D136" s="80"/>
    </row>
    <row r="137" spans="1:4" ht="16.5" thickBot="1" x14ac:dyDescent="0.3">
      <c r="A137" s="286"/>
      <c r="B137" s="62"/>
      <c r="C137" s="62"/>
      <c r="D137" s="71"/>
    </row>
    <row r="138" spans="1:4" ht="15.75" x14ac:dyDescent="0.25">
      <c r="A138" s="285"/>
      <c r="B138" s="59"/>
      <c r="C138" s="59"/>
      <c r="D138" s="80"/>
    </row>
    <row r="139" spans="1:4" ht="16.5" thickBot="1" x14ac:dyDescent="0.3">
      <c r="A139" s="286"/>
      <c r="B139" s="62"/>
      <c r="C139" s="62"/>
      <c r="D139" s="71"/>
    </row>
    <row r="140" spans="1:4" ht="16.5" thickBot="1" x14ac:dyDescent="0.3">
      <c r="A140" s="57"/>
      <c r="B140" s="36"/>
      <c r="C140" s="36"/>
      <c r="D140" s="36"/>
    </row>
    <row r="141" spans="1:4" ht="15.75" thickBot="1" x14ac:dyDescent="0.3">
      <c r="A141" s="287"/>
      <c r="B141" s="288"/>
      <c r="C141" s="288"/>
      <c r="D141" s="289"/>
    </row>
    <row r="142" spans="1:4" ht="18.75" x14ac:dyDescent="0.25">
      <c r="A142" s="5"/>
      <c r="B142" s="6"/>
      <c r="C142" s="7"/>
      <c r="D142" s="8"/>
    </row>
    <row r="143" spans="1:4" ht="19.5" thickBot="1" x14ac:dyDescent="0.3">
      <c r="A143" s="9"/>
      <c r="B143" s="10"/>
      <c r="C143" s="10"/>
      <c r="D143" s="11"/>
    </row>
    <row r="144" spans="1:4" ht="21.75" thickBot="1" x14ac:dyDescent="0.3">
      <c r="A144" s="43"/>
      <c r="B144" s="290"/>
      <c r="C144" s="291"/>
      <c r="D144" s="43"/>
    </row>
    <row r="145" spans="1:4" ht="21.75" thickBot="1" x14ac:dyDescent="0.3">
      <c r="A145" s="38"/>
      <c r="B145" s="44"/>
      <c r="C145" s="45"/>
      <c r="D145" s="44"/>
    </row>
    <row r="146" spans="1:4" ht="19.5" thickBot="1" x14ac:dyDescent="0.3">
      <c r="A146" s="19"/>
      <c r="B146" s="20"/>
      <c r="C146" s="63"/>
      <c r="D146" s="14"/>
    </row>
    <row r="147" spans="1:4" ht="19.5" thickBot="1" x14ac:dyDescent="0.3">
      <c r="A147" s="19"/>
      <c r="B147" s="20"/>
      <c r="C147" s="63"/>
      <c r="D147" s="14"/>
    </row>
    <row r="148" spans="1:4" ht="19.5" thickBot="1" x14ac:dyDescent="0.3">
      <c r="A148" s="19"/>
      <c r="B148" s="20"/>
      <c r="C148" s="48"/>
      <c r="D148" s="46"/>
    </row>
    <row r="149" spans="1:4" ht="15.75" thickBot="1" x14ac:dyDescent="0.3">
      <c r="A149" s="32"/>
      <c r="B149" s="33"/>
      <c r="C149" s="32"/>
      <c r="D149" s="34"/>
    </row>
    <row r="150" spans="1:4" ht="15.75" thickBot="1" x14ac:dyDescent="0.3">
      <c r="A150" s="58"/>
      <c r="B150" s="58"/>
      <c r="C150" s="58"/>
      <c r="D150" s="35"/>
    </row>
    <row r="151" spans="1:4" ht="15.75" x14ac:dyDescent="0.25">
      <c r="A151" s="285"/>
      <c r="B151" s="59"/>
      <c r="C151" s="59"/>
      <c r="D151" s="60"/>
    </row>
    <row r="152" spans="1:4" ht="16.5" thickBot="1" x14ac:dyDescent="0.3">
      <c r="A152" s="286"/>
      <c r="B152" s="62"/>
      <c r="C152" s="62"/>
      <c r="D152" s="61"/>
    </row>
    <row r="153" spans="1:4" ht="15.75" x14ac:dyDescent="0.25">
      <c r="A153" s="285"/>
      <c r="B153" s="59"/>
      <c r="C153" s="59"/>
      <c r="D153" s="60"/>
    </row>
    <row r="154" spans="1:4" ht="16.5" thickBot="1" x14ac:dyDescent="0.3">
      <c r="A154" s="286"/>
      <c r="B154" s="62"/>
      <c r="C154" s="62"/>
      <c r="D154" s="61"/>
    </row>
    <row r="155" spans="1:4" ht="16.5" thickBot="1" x14ac:dyDescent="0.3">
      <c r="A155" s="57"/>
      <c r="B155" s="36"/>
      <c r="C155" s="36"/>
      <c r="D155" s="36"/>
    </row>
    <row r="156" spans="1:4" ht="15.75" thickBot="1" x14ac:dyDescent="0.3">
      <c r="A156" s="287"/>
      <c r="B156" s="288"/>
      <c r="C156" s="288"/>
      <c r="D156" s="289"/>
    </row>
    <row r="157" spans="1:4" ht="18.75" x14ac:dyDescent="0.25">
      <c r="A157" s="5"/>
      <c r="B157" s="6"/>
      <c r="C157" s="7"/>
      <c r="D157" s="8"/>
    </row>
    <row r="158" spans="1:4" ht="19.5" thickBot="1" x14ac:dyDescent="0.3">
      <c r="A158" s="9"/>
      <c r="B158" s="10"/>
      <c r="C158" s="10"/>
      <c r="D158" s="11"/>
    </row>
    <row r="159" spans="1:4" ht="21.75" thickBot="1" x14ac:dyDescent="0.3">
      <c r="A159" s="43"/>
      <c r="B159" s="290"/>
      <c r="C159" s="291"/>
      <c r="D159" s="43"/>
    </row>
    <row r="160" spans="1:4" ht="21.75" thickBot="1" x14ac:dyDescent="0.3">
      <c r="A160" s="38"/>
      <c r="B160" s="44"/>
      <c r="C160" s="45"/>
      <c r="D160" s="44"/>
    </row>
    <row r="161" spans="1:4" ht="19.5" thickBot="1" x14ac:dyDescent="0.3">
      <c r="A161" s="19"/>
      <c r="B161" s="20"/>
      <c r="C161" s="63"/>
      <c r="D161" s="14"/>
    </row>
    <row r="162" spans="1:4" ht="19.5" thickBot="1" x14ac:dyDescent="0.3">
      <c r="A162" s="19"/>
      <c r="B162" s="20"/>
      <c r="C162" s="48"/>
      <c r="D162" s="46"/>
    </row>
    <row r="163" spans="1:4" ht="15.75" thickBot="1" x14ac:dyDescent="0.3">
      <c r="A163" s="32"/>
      <c r="B163" s="33"/>
      <c r="C163" s="32"/>
      <c r="D163" s="34"/>
    </row>
    <row r="164" spans="1:4" ht="15.75" thickBot="1" x14ac:dyDescent="0.3">
      <c r="A164" s="58"/>
      <c r="B164" s="58"/>
      <c r="C164" s="58"/>
      <c r="D164" s="35"/>
    </row>
    <row r="165" spans="1:4" ht="15.75" x14ac:dyDescent="0.25">
      <c r="A165" s="285"/>
      <c r="B165" s="59"/>
      <c r="C165" s="59"/>
      <c r="D165" s="60"/>
    </row>
    <row r="166" spans="1:4" ht="16.5" thickBot="1" x14ac:dyDescent="0.3">
      <c r="A166" s="286"/>
      <c r="B166" s="62"/>
      <c r="C166" s="62"/>
      <c r="D166" s="61"/>
    </row>
    <row r="167" spans="1:4" ht="15.75" x14ac:dyDescent="0.25">
      <c r="A167" s="285"/>
      <c r="B167" s="59"/>
      <c r="C167" s="59"/>
      <c r="D167" s="60"/>
    </row>
    <row r="168" spans="1:4" ht="16.5" thickBot="1" x14ac:dyDescent="0.3">
      <c r="A168" s="286"/>
      <c r="B168" s="62"/>
      <c r="C168" s="62"/>
      <c r="D168" s="61"/>
    </row>
    <row r="169" spans="1:4" ht="16.5" thickBot="1" x14ac:dyDescent="0.3">
      <c r="A169" s="57"/>
      <c r="B169" s="36"/>
      <c r="C169" s="36"/>
      <c r="D169" s="36"/>
    </row>
    <row r="170" spans="1:4" ht="15.75" thickBot="1" x14ac:dyDescent="0.3">
      <c r="A170" s="287"/>
      <c r="B170" s="288"/>
      <c r="C170" s="288"/>
      <c r="D170" s="289"/>
    </row>
    <row r="171" spans="1:4" ht="18.75" x14ac:dyDescent="0.25">
      <c r="A171" s="5"/>
      <c r="B171" s="6"/>
      <c r="C171" s="7"/>
      <c r="D171" s="8"/>
    </row>
    <row r="172" spans="1:4" ht="19.5" thickBot="1" x14ac:dyDescent="0.3">
      <c r="A172" s="9"/>
      <c r="B172" s="10"/>
      <c r="C172" s="10"/>
      <c r="D172" s="11"/>
    </row>
    <row r="173" spans="1:4" ht="21.75" thickBot="1" x14ac:dyDescent="0.3">
      <c r="A173" s="43"/>
      <c r="B173" s="290"/>
      <c r="C173" s="291"/>
      <c r="D173" s="43"/>
    </row>
    <row r="174" spans="1:4" ht="21.75" thickBot="1" x14ac:dyDescent="0.3">
      <c r="A174" s="38"/>
      <c r="B174" s="44"/>
      <c r="C174" s="45"/>
      <c r="D174" s="44"/>
    </row>
    <row r="175" spans="1:4" ht="19.5" thickBot="1" x14ac:dyDescent="0.3">
      <c r="A175" s="19"/>
      <c r="B175" s="20"/>
      <c r="C175" s="63"/>
      <c r="D175" s="14"/>
    </row>
    <row r="176" spans="1:4" ht="19.5" thickBot="1" x14ac:dyDescent="0.3">
      <c r="A176" s="19"/>
      <c r="B176" s="20"/>
      <c r="C176" s="63"/>
      <c r="D176" s="14"/>
    </row>
    <row r="177" spans="1:4" ht="19.5" thickBot="1" x14ac:dyDescent="0.3">
      <c r="A177" s="19"/>
      <c r="B177" s="20"/>
      <c r="C177" s="48"/>
      <c r="D177" s="46"/>
    </row>
    <row r="178" spans="1:4" ht="15.75" thickBot="1" x14ac:dyDescent="0.3">
      <c r="A178" s="32"/>
      <c r="B178" s="33"/>
      <c r="C178" s="32"/>
      <c r="D178" s="34"/>
    </row>
    <row r="179" spans="1:4" ht="15.75" thickBot="1" x14ac:dyDescent="0.3">
      <c r="A179" s="58"/>
      <c r="B179" s="58"/>
      <c r="C179" s="58"/>
      <c r="D179" s="35"/>
    </row>
    <row r="180" spans="1:4" ht="15.75" x14ac:dyDescent="0.25">
      <c r="A180" s="285"/>
      <c r="B180" s="59"/>
      <c r="C180" s="59"/>
      <c r="D180" s="60"/>
    </row>
    <row r="181" spans="1:4" ht="16.5" thickBot="1" x14ac:dyDescent="0.3">
      <c r="A181" s="286"/>
      <c r="B181" s="62"/>
      <c r="C181" s="62"/>
      <c r="D181" s="61"/>
    </row>
    <row r="182" spans="1:4" ht="15.75" x14ac:dyDescent="0.25">
      <c r="A182" s="285"/>
      <c r="B182" s="59"/>
      <c r="C182" s="59"/>
      <c r="D182" s="60"/>
    </row>
    <row r="183" spans="1:4" ht="16.5" thickBot="1" x14ac:dyDescent="0.3">
      <c r="A183" s="286"/>
      <c r="B183" s="62"/>
      <c r="C183" s="62"/>
      <c r="D183" s="61"/>
    </row>
    <row r="184" spans="1:4" ht="16.5" thickBot="1" x14ac:dyDescent="0.3">
      <c r="A184" s="57"/>
      <c r="B184" s="36"/>
      <c r="C184" s="36"/>
      <c r="D184" s="36"/>
    </row>
    <row r="185" spans="1:4" ht="15.75" thickBot="1" x14ac:dyDescent="0.3">
      <c r="A185" s="287"/>
      <c r="B185" s="288"/>
      <c r="C185" s="288"/>
      <c r="D185" s="289"/>
    </row>
    <row r="186" spans="1:4" ht="18.75" x14ac:dyDescent="0.25">
      <c r="A186" s="5"/>
      <c r="B186" s="6"/>
      <c r="C186" s="7"/>
      <c r="D186" s="8"/>
    </row>
    <row r="187" spans="1:4" ht="19.5" thickBot="1" x14ac:dyDescent="0.3">
      <c r="A187" s="9"/>
      <c r="B187" s="10"/>
      <c r="C187" s="10"/>
      <c r="D187" s="11"/>
    </row>
    <row r="188" spans="1:4" ht="21.75" thickBot="1" x14ac:dyDescent="0.3">
      <c r="A188" s="43"/>
      <c r="B188" s="290"/>
      <c r="C188" s="291"/>
      <c r="D188" s="43"/>
    </row>
    <row r="189" spans="1:4" ht="21.75" thickBot="1" x14ac:dyDescent="0.3">
      <c r="A189" s="38"/>
      <c r="B189" s="44"/>
      <c r="C189" s="45"/>
      <c r="D189" s="44"/>
    </row>
    <row r="190" spans="1:4" ht="19.5" thickBot="1" x14ac:dyDescent="0.3">
      <c r="A190" s="19"/>
      <c r="B190" s="20"/>
      <c r="C190" s="63"/>
      <c r="D190" s="14"/>
    </row>
    <row r="191" spans="1:4" ht="19.5" thickBot="1" x14ac:dyDescent="0.3">
      <c r="A191" s="19"/>
      <c r="B191" s="20"/>
      <c r="C191" s="48"/>
      <c r="D191" s="46"/>
    </row>
    <row r="192" spans="1:4" ht="15.75" thickBot="1" x14ac:dyDescent="0.3">
      <c r="A192" s="32"/>
      <c r="B192" s="33"/>
      <c r="C192" s="32"/>
      <c r="D192" s="34"/>
    </row>
    <row r="193" spans="1:4" ht="15.75" thickBot="1" x14ac:dyDescent="0.3">
      <c r="A193" s="58"/>
      <c r="B193" s="58"/>
      <c r="C193" s="58"/>
      <c r="D193" s="35"/>
    </row>
    <row r="194" spans="1:4" ht="15.75" x14ac:dyDescent="0.25">
      <c r="A194" s="285"/>
      <c r="B194" s="59"/>
      <c r="C194" s="59"/>
      <c r="D194" s="60"/>
    </row>
    <row r="195" spans="1:4" ht="16.5" thickBot="1" x14ac:dyDescent="0.3">
      <c r="A195" s="286"/>
      <c r="B195" s="62"/>
      <c r="C195" s="62"/>
      <c r="D195" s="61"/>
    </row>
    <row r="196" spans="1:4" ht="15.75" x14ac:dyDescent="0.25">
      <c r="A196" s="285"/>
      <c r="B196" s="59"/>
      <c r="C196" s="59"/>
      <c r="D196" s="60"/>
    </row>
    <row r="197" spans="1:4" ht="16.5" thickBot="1" x14ac:dyDescent="0.3">
      <c r="A197" s="286"/>
      <c r="B197" s="62"/>
      <c r="C197" s="62"/>
      <c r="D197" s="61"/>
    </row>
    <row r="198" spans="1:4" ht="16.5" thickBot="1" x14ac:dyDescent="0.3">
      <c r="A198" s="57"/>
      <c r="B198" s="36"/>
      <c r="C198" s="36"/>
      <c r="D198" s="36"/>
    </row>
    <row r="199" spans="1:4" ht="15.75" thickBot="1" x14ac:dyDescent="0.3">
      <c r="A199" s="287"/>
      <c r="B199" s="288"/>
      <c r="C199" s="288"/>
      <c r="D199" s="289"/>
    </row>
    <row r="200" spans="1:4" ht="18.75" x14ac:dyDescent="0.25">
      <c r="A200" s="5"/>
      <c r="B200" s="6"/>
      <c r="C200" s="7"/>
      <c r="D200" s="8"/>
    </row>
    <row r="201" spans="1:4" ht="19.5" thickBot="1" x14ac:dyDescent="0.3">
      <c r="A201" s="9"/>
      <c r="B201" s="10"/>
      <c r="C201" s="10"/>
      <c r="D201" s="11"/>
    </row>
    <row r="202" spans="1:4" ht="21.75" thickBot="1" x14ac:dyDescent="0.3">
      <c r="A202" s="43"/>
      <c r="B202" s="290"/>
      <c r="C202" s="291"/>
      <c r="D202" s="43"/>
    </row>
    <row r="203" spans="1:4" ht="21.75" thickBot="1" x14ac:dyDescent="0.3">
      <c r="A203" s="38"/>
      <c r="B203" s="44"/>
      <c r="C203" s="45"/>
      <c r="D203" s="44"/>
    </row>
    <row r="204" spans="1:4" ht="19.5" thickBot="1" x14ac:dyDescent="0.3">
      <c r="A204" s="19"/>
      <c r="B204" s="20"/>
      <c r="C204" s="63"/>
      <c r="D204" s="14"/>
    </row>
    <row r="205" spans="1:4" ht="19.5" thickBot="1" x14ac:dyDescent="0.3">
      <c r="A205" s="19"/>
      <c r="B205" s="20"/>
      <c r="C205" s="63"/>
      <c r="D205" s="14"/>
    </row>
    <row r="206" spans="1:4" ht="19.5" thickBot="1" x14ac:dyDescent="0.3">
      <c r="A206" s="19"/>
      <c r="B206" s="20"/>
      <c r="C206" s="48"/>
      <c r="D206" s="46"/>
    </row>
    <row r="207" spans="1:4" ht="15.75" thickBot="1" x14ac:dyDescent="0.3">
      <c r="A207" s="32"/>
      <c r="B207" s="33"/>
      <c r="C207" s="32"/>
      <c r="D207" s="34"/>
    </row>
    <row r="208" spans="1:4" ht="15.75" thickBot="1" x14ac:dyDescent="0.3">
      <c r="A208" s="58"/>
      <c r="B208" s="58"/>
      <c r="C208" s="58"/>
      <c r="D208" s="35"/>
    </row>
    <row r="209" spans="1:4" ht="15.75" x14ac:dyDescent="0.25">
      <c r="A209" s="285"/>
      <c r="B209" s="59"/>
      <c r="C209" s="59"/>
      <c r="D209" s="60"/>
    </row>
    <row r="210" spans="1:4" ht="16.5" thickBot="1" x14ac:dyDescent="0.3">
      <c r="A210" s="286"/>
      <c r="B210" s="62"/>
      <c r="C210" s="62"/>
      <c r="D210" s="61"/>
    </row>
    <row r="211" spans="1:4" ht="15.75" x14ac:dyDescent="0.25">
      <c r="A211" s="285"/>
      <c r="B211" s="59"/>
      <c r="C211" s="59"/>
      <c r="D211" s="60"/>
    </row>
    <row r="212" spans="1:4" ht="16.5" thickBot="1" x14ac:dyDescent="0.3">
      <c r="A212" s="286"/>
      <c r="B212" s="62"/>
      <c r="C212" s="62"/>
      <c r="D212" s="61"/>
    </row>
    <row r="213" spans="1:4" ht="16.5" thickBot="1" x14ac:dyDescent="0.3">
      <c r="A213" s="57"/>
      <c r="B213" s="36"/>
      <c r="C213" s="36"/>
      <c r="D213" s="36"/>
    </row>
    <row r="214" spans="1:4" ht="15.75" thickBot="1" x14ac:dyDescent="0.3">
      <c r="A214" s="287"/>
      <c r="B214" s="288"/>
      <c r="C214" s="288"/>
      <c r="D214" s="289"/>
    </row>
    <row r="215" spans="1:4" ht="18.75" x14ac:dyDescent="0.25">
      <c r="A215" s="5"/>
      <c r="B215" s="6"/>
      <c r="C215" s="7"/>
      <c r="D215" s="8"/>
    </row>
    <row r="216" spans="1:4" ht="19.5" thickBot="1" x14ac:dyDescent="0.3">
      <c r="A216" s="9"/>
      <c r="B216" s="10"/>
      <c r="C216" s="10"/>
      <c r="D216" s="11"/>
    </row>
    <row r="217" spans="1:4" ht="21.75" thickBot="1" x14ac:dyDescent="0.3">
      <c r="A217" s="43"/>
      <c r="B217" s="290"/>
      <c r="C217" s="291"/>
      <c r="D217" s="43"/>
    </row>
    <row r="218" spans="1:4" ht="21.75" thickBot="1" x14ac:dyDescent="0.3">
      <c r="A218" s="38"/>
      <c r="B218" s="44"/>
      <c r="C218" s="45"/>
      <c r="D218" s="44"/>
    </row>
    <row r="219" spans="1:4" ht="19.5" thickBot="1" x14ac:dyDescent="0.3">
      <c r="A219" s="19"/>
      <c r="B219" s="20"/>
      <c r="C219" s="63"/>
      <c r="D219" s="14"/>
    </row>
    <row r="220" spans="1:4" ht="19.5" thickBot="1" x14ac:dyDescent="0.3">
      <c r="A220" s="19"/>
      <c r="B220" s="20"/>
      <c r="C220" s="48"/>
      <c r="D220" s="46"/>
    </row>
    <row r="221" spans="1:4" ht="15.75" thickBot="1" x14ac:dyDescent="0.3">
      <c r="A221" s="32"/>
      <c r="B221" s="33"/>
      <c r="C221" s="32"/>
      <c r="D221" s="34"/>
    </row>
    <row r="222" spans="1:4" ht="15.75" thickBot="1" x14ac:dyDescent="0.3">
      <c r="A222" s="58"/>
      <c r="B222" s="58"/>
      <c r="C222" s="58"/>
      <c r="D222" s="35"/>
    </row>
    <row r="223" spans="1:4" ht="15.75" x14ac:dyDescent="0.25">
      <c r="A223" s="285"/>
      <c r="B223" s="59"/>
      <c r="C223" s="59"/>
      <c r="D223" s="60"/>
    </row>
    <row r="224" spans="1:4" ht="16.5" thickBot="1" x14ac:dyDescent="0.3">
      <c r="A224" s="286"/>
      <c r="B224" s="62"/>
      <c r="C224" s="62"/>
      <c r="D224" s="61"/>
    </row>
    <row r="225" spans="1:4" ht="15.75" x14ac:dyDescent="0.25">
      <c r="A225" s="285"/>
      <c r="B225" s="59"/>
      <c r="C225" s="59"/>
      <c r="D225" s="60"/>
    </row>
    <row r="226" spans="1:4" ht="16.5" thickBot="1" x14ac:dyDescent="0.3">
      <c r="A226" s="286"/>
      <c r="B226" s="62"/>
      <c r="C226" s="62"/>
      <c r="D226" s="61"/>
    </row>
    <row r="227" spans="1:4" ht="16.5" thickBot="1" x14ac:dyDescent="0.3">
      <c r="A227" s="57"/>
      <c r="B227" s="36"/>
      <c r="C227" s="36"/>
      <c r="D227" s="36"/>
    </row>
    <row r="228" spans="1:4" ht="15.75" thickBot="1" x14ac:dyDescent="0.3">
      <c r="A228" s="287"/>
      <c r="B228" s="288"/>
      <c r="C228" s="288"/>
      <c r="D228" s="289"/>
    </row>
    <row r="229" spans="1:4" ht="18.75" x14ac:dyDescent="0.25">
      <c r="A229" s="5"/>
      <c r="B229" s="6"/>
      <c r="C229" s="7"/>
      <c r="D229" s="8"/>
    </row>
    <row r="230" spans="1:4" ht="19.5" thickBot="1" x14ac:dyDescent="0.3">
      <c r="A230" s="9"/>
      <c r="B230" s="10"/>
      <c r="C230" s="10"/>
      <c r="D230" s="11"/>
    </row>
    <row r="231" spans="1:4" ht="21.75" thickBot="1" x14ac:dyDescent="0.3">
      <c r="A231" s="43"/>
      <c r="B231" s="290"/>
      <c r="C231" s="291"/>
      <c r="D231" s="43"/>
    </row>
    <row r="232" spans="1:4" ht="21.75" thickBot="1" x14ac:dyDescent="0.3">
      <c r="A232" s="38"/>
      <c r="B232" s="44"/>
      <c r="C232" s="45"/>
      <c r="D232" s="44"/>
    </row>
    <row r="233" spans="1:4" ht="19.5" thickBot="1" x14ac:dyDescent="0.3">
      <c r="A233" s="19"/>
      <c r="B233" s="20"/>
      <c r="C233" s="63"/>
      <c r="D233" s="14"/>
    </row>
    <row r="234" spans="1:4" ht="19.5" thickBot="1" x14ac:dyDescent="0.3">
      <c r="A234" s="19"/>
      <c r="B234" s="20"/>
      <c r="C234" s="63"/>
      <c r="D234" s="14"/>
    </row>
    <row r="235" spans="1:4" ht="19.5" thickBot="1" x14ac:dyDescent="0.3">
      <c r="A235" s="19"/>
      <c r="B235" s="20"/>
      <c r="C235" s="48"/>
      <c r="D235" s="46"/>
    </row>
    <row r="236" spans="1:4" ht="15.75" thickBot="1" x14ac:dyDescent="0.3">
      <c r="A236" s="32"/>
      <c r="B236" s="33"/>
      <c r="C236" s="32"/>
      <c r="D236" s="34"/>
    </row>
    <row r="237" spans="1:4" ht="15.75" thickBot="1" x14ac:dyDescent="0.3">
      <c r="A237" s="58"/>
      <c r="B237" s="58"/>
      <c r="C237" s="58"/>
      <c r="D237" s="35"/>
    </row>
    <row r="238" spans="1:4" ht="15.75" x14ac:dyDescent="0.25">
      <c r="A238" s="285"/>
      <c r="B238" s="59"/>
      <c r="C238" s="59"/>
      <c r="D238" s="60"/>
    </row>
    <row r="239" spans="1:4" ht="16.5" thickBot="1" x14ac:dyDescent="0.3">
      <c r="A239" s="286"/>
      <c r="B239" s="62"/>
      <c r="C239" s="62"/>
      <c r="D239" s="61"/>
    </row>
    <row r="240" spans="1:4" ht="15.75" x14ac:dyDescent="0.25">
      <c r="A240" s="285"/>
      <c r="B240" s="59"/>
      <c r="C240" s="59"/>
      <c r="D240" s="60"/>
    </row>
    <row r="241" spans="1:4" ht="16.5" thickBot="1" x14ac:dyDescent="0.3">
      <c r="A241" s="286"/>
      <c r="B241" s="62"/>
      <c r="C241" s="62"/>
      <c r="D241" s="61"/>
    </row>
    <row r="242" spans="1:4" ht="16.5" thickBot="1" x14ac:dyDescent="0.3">
      <c r="A242" s="57"/>
      <c r="B242" s="36"/>
      <c r="C242" s="36"/>
      <c r="D242" s="36"/>
    </row>
    <row r="243" spans="1:4" ht="15.75" thickBot="1" x14ac:dyDescent="0.3">
      <c r="A243" s="287"/>
      <c r="B243" s="288"/>
      <c r="C243" s="288"/>
      <c r="D243" s="289"/>
    </row>
    <row r="244" spans="1:4" ht="18.75" x14ac:dyDescent="0.25">
      <c r="A244" s="5"/>
      <c r="B244" s="6"/>
      <c r="C244" s="7"/>
      <c r="D244" s="8"/>
    </row>
    <row r="245" spans="1:4" ht="19.5" thickBot="1" x14ac:dyDescent="0.3">
      <c r="A245" s="9"/>
      <c r="B245" s="10"/>
      <c r="C245" s="10"/>
      <c r="D245" s="11"/>
    </row>
    <row r="246" spans="1:4" ht="21.75" thickBot="1" x14ac:dyDescent="0.3">
      <c r="A246" s="43"/>
      <c r="B246" s="290"/>
      <c r="C246" s="291"/>
      <c r="D246" s="43"/>
    </row>
    <row r="247" spans="1:4" ht="21.75" thickBot="1" x14ac:dyDescent="0.3">
      <c r="A247" s="38"/>
      <c r="B247" s="44"/>
      <c r="C247" s="45"/>
      <c r="D247" s="44"/>
    </row>
    <row r="248" spans="1:4" ht="19.5" thickBot="1" x14ac:dyDescent="0.3">
      <c r="A248" s="19"/>
      <c r="B248" s="20"/>
      <c r="C248" s="63"/>
      <c r="D248" s="14"/>
    </row>
    <row r="249" spans="1:4" ht="19.5" thickBot="1" x14ac:dyDescent="0.3">
      <c r="A249" s="19"/>
      <c r="B249" s="20"/>
      <c r="C249" s="48"/>
      <c r="D249" s="46"/>
    </row>
    <row r="250" spans="1:4" ht="15.75" thickBot="1" x14ac:dyDescent="0.3">
      <c r="A250" s="32"/>
      <c r="B250" s="33"/>
      <c r="C250" s="32"/>
      <c r="D250" s="34"/>
    </row>
    <row r="251" spans="1:4" ht="15.75" thickBot="1" x14ac:dyDescent="0.3">
      <c r="A251" s="58"/>
      <c r="B251" s="58"/>
      <c r="C251" s="58"/>
      <c r="D251" s="35"/>
    </row>
    <row r="252" spans="1:4" ht="15.75" x14ac:dyDescent="0.25">
      <c r="A252" s="285"/>
      <c r="B252" s="59"/>
      <c r="C252" s="59"/>
      <c r="D252" s="60"/>
    </row>
    <row r="253" spans="1:4" ht="16.5" thickBot="1" x14ac:dyDescent="0.3">
      <c r="A253" s="286"/>
      <c r="B253" s="62"/>
      <c r="C253" s="62"/>
      <c r="D253" s="61"/>
    </row>
    <row r="254" spans="1:4" ht="15.75" x14ac:dyDescent="0.25">
      <c r="A254" s="285"/>
      <c r="B254" s="59"/>
      <c r="C254" s="59"/>
      <c r="D254" s="60"/>
    </row>
    <row r="255" spans="1:4" ht="16.5" thickBot="1" x14ac:dyDescent="0.3">
      <c r="A255" s="286"/>
      <c r="B255" s="62"/>
      <c r="C255" s="62"/>
      <c r="D255" s="61"/>
    </row>
    <row r="256" spans="1:4" ht="16.5" thickBot="1" x14ac:dyDescent="0.3">
      <c r="A256" s="57"/>
      <c r="B256" s="36"/>
      <c r="C256" s="36"/>
      <c r="D256" s="36"/>
    </row>
    <row r="257" spans="1:4" ht="15.75" thickBot="1" x14ac:dyDescent="0.3">
      <c r="A257" s="287"/>
      <c r="B257" s="288"/>
      <c r="C257" s="288"/>
      <c r="D257" s="289"/>
    </row>
    <row r="258" spans="1:4" ht="18.75" x14ac:dyDescent="0.25">
      <c r="A258" s="5"/>
      <c r="B258" s="6"/>
      <c r="C258" s="7"/>
      <c r="D258" s="8"/>
    </row>
    <row r="259" spans="1:4" ht="19.5" thickBot="1" x14ac:dyDescent="0.3">
      <c r="A259" s="9"/>
      <c r="B259" s="10"/>
      <c r="C259" s="10"/>
      <c r="D259" s="11"/>
    </row>
    <row r="260" spans="1:4" ht="21.75" thickBot="1" x14ac:dyDescent="0.3">
      <c r="A260" s="43"/>
      <c r="B260" s="290"/>
      <c r="C260" s="291"/>
      <c r="D260" s="43"/>
    </row>
    <row r="261" spans="1:4" ht="21.75" thickBot="1" x14ac:dyDescent="0.3">
      <c r="A261" s="38"/>
      <c r="B261" s="44"/>
      <c r="C261" s="45"/>
      <c r="D261" s="44"/>
    </row>
    <row r="262" spans="1:4" ht="19.5" thickBot="1" x14ac:dyDescent="0.3">
      <c r="A262" s="19"/>
      <c r="B262" s="20"/>
      <c r="C262" s="63"/>
      <c r="D262" s="14"/>
    </row>
    <row r="263" spans="1:4" ht="19.5" thickBot="1" x14ac:dyDescent="0.3">
      <c r="A263" s="19"/>
      <c r="B263" s="20"/>
      <c r="C263" s="63"/>
      <c r="D263" s="14"/>
    </row>
    <row r="264" spans="1:4" ht="19.5" thickBot="1" x14ac:dyDescent="0.3">
      <c r="A264" s="19"/>
      <c r="B264" s="20"/>
      <c r="C264" s="48"/>
      <c r="D264" s="46"/>
    </row>
    <row r="265" spans="1:4" ht="15.75" thickBot="1" x14ac:dyDescent="0.3">
      <c r="A265" s="32"/>
      <c r="B265" s="33"/>
      <c r="C265" s="32"/>
      <c r="D265" s="34"/>
    </row>
    <row r="266" spans="1:4" ht="15.75" thickBot="1" x14ac:dyDescent="0.3">
      <c r="A266" s="58"/>
      <c r="B266" s="58"/>
      <c r="C266" s="58"/>
      <c r="D266" s="35"/>
    </row>
    <row r="267" spans="1:4" ht="15.75" x14ac:dyDescent="0.25">
      <c r="A267" s="285"/>
      <c r="B267" s="59"/>
      <c r="C267" s="59"/>
      <c r="D267" s="60"/>
    </row>
    <row r="268" spans="1:4" ht="16.5" thickBot="1" x14ac:dyDescent="0.3">
      <c r="A268" s="286"/>
      <c r="B268" s="62"/>
      <c r="C268" s="62"/>
      <c r="D268" s="61"/>
    </row>
    <row r="269" spans="1:4" ht="15.75" x14ac:dyDescent="0.25">
      <c r="A269" s="285"/>
      <c r="B269" s="59"/>
      <c r="C269" s="59"/>
      <c r="D269" s="60"/>
    </row>
    <row r="270" spans="1:4" ht="16.5" thickBot="1" x14ac:dyDescent="0.3">
      <c r="A270" s="286"/>
      <c r="B270" s="62"/>
      <c r="C270" s="62"/>
      <c r="D270" s="61"/>
    </row>
    <row r="271" spans="1:4" ht="16.5" thickBot="1" x14ac:dyDescent="0.3">
      <c r="A271" s="57"/>
      <c r="B271" s="36"/>
      <c r="C271" s="36"/>
      <c r="D271" s="36"/>
    </row>
    <row r="272" spans="1:4" ht="15.75" thickBot="1" x14ac:dyDescent="0.3">
      <c r="A272" s="287"/>
      <c r="B272" s="288"/>
      <c r="C272" s="288"/>
      <c r="D272" s="289"/>
    </row>
    <row r="273" spans="1:4" ht="18.75" x14ac:dyDescent="0.25">
      <c r="A273" s="5"/>
      <c r="B273" s="6"/>
      <c r="C273" s="7"/>
      <c r="D273" s="8"/>
    </row>
    <row r="274" spans="1:4" ht="19.5" thickBot="1" x14ac:dyDescent="0.3">
      <c r="A274" s="9"/>
      <c r="B274" s="10"/>
      <c r="C274" s="10"/>
      <c r="D274" s="11"/>
    </row>
    <row r="275" spans="1:4" ht="21.75" thickBot="1" x14ac:dyDescent="0.3">
      <c r="A275" s="43"/>
      <c r="B275" s="290"/>
      <c r="C275" s="291"/>
      <c r="D275" s="43"/>
    </row>
    <row r="276" spans="1:4" ht="21.75" thickBot="1" x14ac:dyDescent="0.3">
      <c r="A276" s="38"/>
      <c r="B276" s="44"/>
      <c r="C276" s="45"/>
      <c r="D276" s="44"/>
    </row>
    <row r="277" spans="1:4" ht="19.5" thickBot="1" x14ac:dyDescent="0.3">
      <c r="A277" s="19"/>
      <c r="B277" s="20"/>
      <c r="C277" s="63"/>
      <c r="D277" s="14"/>
    </row>
    <row r="278" spans="1:4" ht="19.5" thickBot="1" x14ac:dyDescent="0.3">
      <c r="A278" s="19"/>
      <c r="B278" s="20"/>
      <c r="C278" s="48"/>
      <c r="D278" s="46"/>
    </row>
    <row r="279" spans="1:4" ht="15.75" thickBot="1" x14ac:dyDescent="0.3">
      <c r="A279" s="32"/>
      <c r="B279" s="33"/>
      <c r="C279" s="32"/>
      <c r="D279" s="34"/>
    </row>
    <row r="280" spans="1:4" ht="15.75" thickBot="1" x14ac:dyDescent="0.3">
      <c r="A280" s="58"/>
      <c r="B280" s="58"/>
      <c r="C280" s="58"/>
      <c r="D280" s="35"/>
    </row>
    <row r="281" spans="1:4" ht="15.75" x14ac:dyDescent="0.25">
      <c r="A281" s="285"/>
      <c r="B281" s="59"/>
      <c r="C281" s="59"/>
      <c r="D281" s="60"/>
    </row>
    <row r="282" spans="1:4" ht="16.5" thickBot="1" x14ac:dyDescent="0.3">
      <c r="A282" s="286"/>
      <c r="B282" s="62"/>
      <c r="C282" s="62"/>
      <c r="D282" s="61"/>
    </row>
    <row r="283" spans="1:4" ht="15.75" x14ac:dyDescent="0.25">
      <c r="A283" s="285"/>
      <c r="B283" s="59"/>
      <c r="C283" s="59"/>
      <c r="D283" s="60"/>
    </row>
    <row r="284" spans="1:4" ht="16.5" thickBot="1" x14ac:dyDescent="0.3">
      <c r="A284" s="286"/>
      <c r="B284" s="62"/>
      <c r="C284" s="62"/>
      <c r="D284" s="61"/>
    </row>
    <row r="285" spans="1:4" ht="16.5" thickBot="1" x14ac:dyDescent="0.3">
      <c r="A285" s="57"/>
      <c r="B285" s="36"/>
      <c r="C285" s="36"/>
      <c r="D285" s="36"/>
    </row>
    <row r="286" spans="1:4" ht="15.75" thickBot="1" x14ac:dyDescent="0.3">
      <c r="A286" s="287"/>
      <c r="B286" s="288"/>
      <c r="C286" s="288"/>
      <c r="D286" s="289"/>
    </row>
    <row r="287" spans="1:4" ht="18.75" x14ac:dyDescent="0.25">
      <c r="A287" s="5"/>
      <c r="B287" s="6"/>
      <c r="C287" s="7"/>
      <c r="D287" s="8"/>
    </row>
    <row r="288" spans="1:4" ht="19.5" thickBot="1" x14ac:dyDescent="0.3">
      <c r="A288" s="9"/>
      <c r="B288" s="10"/>
      <c r="C288" s="10"/>
      <c r="D288" s="11"/>
    </row>
    <row r="289" spans="1:4" ht="21.75" thickBot="1" x14ac:dyDescent="0.3">
      <c r="A289" s="43"/>
      <c r="B289" s="290"/>
      <c r="C289" s="291"/>
      <c r="D289" s="43"/>
    </row>
    <row r="290" spans="1:4" ht="21.75" thickBot="1" x14ac:dyDescent="0.3">
      <c r="A290" s="38"/>
      <c r="B290" s="44"/>
      <c r="C290" s="45"/>
      <c r="D290" s="44"/>
    </row>
    <row r="291" spans="1:4" ht="19.5" thickBot="1" x14ac:dyDescent="0.3">
      <c r="A291" s="19"/>
      <c r="B291" s="20"/>
      <c r="C291" s="63"/>
      <c r="D291" s="14"/>
    </row>
    <row r="292" spans="1:4" ht="19.5" thickBot="1" x14ac:dyDescent="0.3">
      <c r="A292" s="19"/>
      <c r="B292" s="20"/>
      <c r="C292" s="63"/>
      <c r="D292" s="14"/>
    </row>
    <row r="293" spans="1:4" ht="19.5" thickBot="1" x14ac:dyDescent="0.3">
      <c r="A293" s="19"/>
      <c r="B293" s="20"/>
      <c r="C293" s="48"/>
      <c r="D293" s="46"/>
    </row>
    <row r="294" spans="1:4" ht="15.75" thickBot="1" x14ac:dyDescent="0.3">
      <c r="A294" s="32"/>
      <c r="B294" s="33"/>
      <c r="C294" s="32"/>
      <c r="D294" s="34"/>
    </row>
    <row r="295" spans="1:4" ht="15.75" thickBot="1" x14ac:dyDescent="0.3">
      <c r="A295" s="58"/>
      <c r="B295" s="58"/>
      <c r="C295" s="58"/>
      <c r="D295" s="35"/>
    </row>
    <row r="296" spans="1:4" ht="15.75" x14ac:dyDescent="0.25">
      <c r="A296" s="285"/>
      <c r="B296" s="59"/>
      <c r="C296" s="59"/>
      <c r="D296" s="60"/>
    </row>
    <row r="297" spans="1:4" ht="16.5" thickBot="1" x14ac:dyDescent="0.3">
      <c r="A297" s="286"/>
      <c r="B297" s="62"/>
      <c r="C297" s="62"/>
      <c r="D297" s="61"/>
    </row>
    <row r="298" spans="1:4" ht="15.75" x14ac:dyDescent="0.25">
      <c r="A298" s="285"/>
      <c r="B298" s="59"/>
      <c r="C298" s="59"/>
      <c r="D298" s="60"/>
    </row>
    <row r="299" spans="1:4" ht="16.5" thickBot="1" x14ac:dyDescent="0.3">
      <c r="A299" s="286"/>
      <c r="B299" s="62"/>
      <c r="C299" s="62"/>
      <c r="D299" s="61"/>
    </row>
    <row r="300" spans="1:4" ht="16.5" thickBot="1" x14ac:dyDescent="0.3">
      <c r="A300" s="57"/>
      <c r="B300" s="36"/>
      <c r="C300" s="36"/>
      <c r="D300" s="36"/>
    </row>
    <row r="301" spans="1:4" ht="15.75" thickBot="1" x14ac:dyDescent="0.3">
      <c r="A301" s="287"/>
      <c r="B301" s="288"/>
      <c r="C301" s="288"/>
      <c r="D301" s="289"/>
    </row>
    <row r="302" spans="1:4" ht="18.75" x14ac:dyDescent="0.25">
      <c r="A302" s="5"/>
      <c r="B302" s="6"/>
      <c r="C302" s="7"/>
      <c r="D302" s="8"/>
    </row>
    <row r="303" spans="1:4" ht="19.5" thickBot="1" x14ac:dyDescent="0.3">
      <c r="A303" s="9"/>
      <c r="B303" s="10"/>
      <c r="C303" s="10"/>
      <c r="D303" s="11"/>
    </row>
    <row r="304" spans="1:4" ht="21.75" thickBot="1" x14ac:dyDescent="0.3">
      <c r="A304" s="43"/>
      <c r="B304" s="290"/>
      <c r="C304" s="291"/>
      <c r="D304" s="43"/>
    </row>
    <row r="305" spans="1:4" ht="21.75" thickBot="1" x14ac:dyDescent="0.3">
      <c r="A305" s="38"/>
      <c r="B305" s="44"/>
      <c r="C305" s="45"/>
      <c r="D305" s="44"/>
    </row>
    <row r="306" spans="1:4" ht="19.5" thickBot="1" x14ac:dyDescent="0.3">
      <c r="A306" s="19"/>
      <c r="B306" s="20"/>
      <c r="C306" s="63"/>
      <c r="D306" s="14"/>
    </row>
    <row r="307" spans="1:4" ht="19.5" thickBot="1" x14ac:dyDescent="0.3">
      <c r="A307" s="19"/>
      <c r="B307" s="20"/>
      <c r="C307" s="48"/>
      <c r="D307" s="46"/>
    </row>
    <row r="308" spans="1:4" ht="15.75" thickBot="1" x14ac:dyDescent="0.3">
      <c r="A308" s="32"/>
      <c r="B308" s="33"/>
      <c r="C308" s="32"/>
      <c r="D308" s="34"/>
    </row>
    <row r="309" spans="1:4" ht="15.75" thickBot="1" x14ac:dyDescent="0.3">
      <c r="A309" s="58"/>
      <c r="B309" s="58"/>
      <c r="C309" s="58"/>
      <c r="D309" s="35"/>
    </row>
    <row r="310" spans="1:4" ht="15.75" x14ac:dyDescent="0.25">
      <c r="A310" s="285"/>
      <c r="B310" s="59"/>
      <c r="C310" s="59"/>
      <c r="D310" s="60"/>
    </row>
    <row r="311" spans="1:4" ht="16.5" thickBot="1" x14ac:dyDescent="0.3">
      <c r="A311" s="286"/>
      <c r="B311" s="62"/>
      <c r="C311" s="62"/>
      <c r="D311" s="61"/>
    </row>
    <row r="312" spans="1:4" ht="15.75" x14ac:dyDescent="0.25">
      <c r="A312" s="285"/>
      <c r="B312" s="59"/>
      <c r="C312" s="59"/>
      <c r="D312" s="60"/>
    </row>
    <row r="313" spans="1:4" ht="16.5" thickBot="1" x14ac:dyDescent="0.3">
      <c r="A313" s="286"/>
      <c r="B313" s="62"/>
      <c r="C313" s="62"/>
      <c r="D313" s="61"/>
    </row>
    <row r="314" spans="1:4" ht="16.5" thickBot="1" x14ac:dyDescent="0.3">
      <c r="A314" s="57"/>
      <c r="B314" s="36"/>
      <c r="C314" s="36"/>
      <c r="D314" s="36"/>
    </row>
    <row r="315" spans="1:4" ht="15.75" thickBot="1" x14ac:dyDescent="0.3">
      <c r="A315" s="287"/>
      <c r="B315" s="288"/>
      <c r="C315" s="288"/>
      <c r="D315" s="289"/>
    </row>
    <row r="316" spans="1:4" ht="18.75" x14ac:dyDescent="0.25">
      <c r="A316" s="5"/>
      <c r="B316" s="6"/>
      <c r="C316" s="7"/>
      <c r="D316" s="8"/>
    </row>
    <row r="317" spans="1:4" ht="19.5" thickBot="1" x14ac:dyDescent="0.3">
      <c r="A317" s="9"/>
      <c r="B317" s="10"/>
      <c r="C317" s="10"/>
      <c r="D317" s="11"/>
    </row>
    <row r="318" spans="1:4" ht="21.75" thickBot="1" x14ac:dyDescent="0.3">
      <c r="A318" s="43"/>
      <c r="B318" s="290"/>
      <c r="C318" s="291"/>
      <c r="D318" s="43"/>
    </row>
    <row r="319" spans="1:4" ht="21.75" thickBot="1" x14ac:dyDescent="0.3">
      <c r="A319" s="38"/>
      <c r="B319" s="44"/>
      <c r="C319" s="45"/>
      <c r="D319" s="44"/>
    </row>
    <row r="320" spans="1:4" ht="19.5" thickBot="1" x14ac:dyDescent="0.3">
      <c r="A320" s="19"/>
      <c r="B320" s="20"/>
      <c r="C320" s="63"/>
      <c r="D320" s="14"/>
    </row>
    <row r="321" spans="1:4" ht="19.5" thickBot="1" x14ac:dyDescent="0.3">
      <c r="A321" s="19"/>
      <c r="B321" s="20"/>
      <c r="C321" s="63"/>
      <c r="D321" s="14"/>
    </row>
    <row r="322" spans="1:4" ht="19.5" thickBot="1" x14ac:dyDescent="0.3">
      <c r="A322" s="19"/>
      <c r="B322" s="20"/>
      <c r="C322" s="48"/>
      <c r="D322" s="46"/>
    </row>
    <row r="323" spans="1:4" ht="15.75" thickBot="1" x14ac:dyDescent="0.3">
      <c r="A323" s="32"/>
      <c r="B323" s="33"/>
      <c r="C323" s="32"/>
      <c r="D323" s="34"/>
    </row>
    <row r="324" spans="1:4" ht="15.75" thickBot="1" x14ac:dyDescent="0.3">
      <c r="A324" s="58"/>
      <c r="B324" s="58"/>
      <c r="C324" s="58"/>
      <c r="D324" s="35"/>
    </row>
    <row r="325" spans="1:4" ht="15.75" x14ac:dyDescent="0.25">
      <c r="A325" s="285"/>
      <c r="B325" s="59"/>
      <c r="C325" s="59"/>
      <c r="D325" s="60"/>
    </row>
    <row r="326" spans="1:4" ht="16.5" thickBot="1" x14ac:dyDescent="0.3">
      <c r="A326" s="286"/>
      <c r="B326" s="62"/>
      <c r="C326" s="62"/>
      <c r="D326" s="61"/>
    </row>
    <row r="327" spans="1:4" ht="15.75" x14ac:dyDescent="0.25">
      <c r="A327" s="285"/>
      <c r="B327" s="59"/>
      <c r="C327" s="59"/>
      <c r="D327" s="60"/>
    </row>
    <row r="328" spans="1:4" ht="16.5" thickBot="1" x14ac:dyDescent="0.3">
      <c r="A328" s="286"/>
      <c r="B328" s="62"/>
      <c r="C328" s="62"/>
      <c r="D328" s="61"/>
    </row>
    <row r="329" spans="1:4" ht="16.5" thickBot="1" x14ac:dyDescent="0.3">
      <c r="A329" s="57"/>
      <c r="B329" s="36"/>
      <c r="C329" s="36"/>
      <c r="D329" s="36"/>
    </row>
    <row r="330" spans="1:4" ht="15.75" thickBot="1" x14ac:dyDescent="0.3">
      <c r="A330" s="287"/>
      <c r="B330" s="288"/>
      <c r="C330" s="288"/>
      <c r="D330" s="289"/>
    </row>
    <row r="331" spans="1:4" ht="18.75" x14ac:dyDescent="0.25">
      <c r="A331" s="5"/>
      <c r="B331" s="6"/>
      <c r="C331" s="7"/>
      <c r="D331" s="8"/>
    </row>
    <row r="332" spans="1:4" ht="19.5" thickBot="1" x14ac:dyDescent="0.3">
      <c r="A332" s="9"/>
      <c r="B332" s="10"/>
      <c r="C332" s="10"/>
      <c r="D332" s="11"/>
    </row>
    <row r="333" spans="1:4" ht="21.75" thickBot="1" x14ac:dyDescent="0.3">
      <c r="A333" s="43"/>
      <c r="B333" s="290"/>
      <c r="C333" s="291"/>
      <c r="D333" s="43"/>
    </row>
    <row r="334" spans="1:4" ht="21.75" thickBot="1" x14ac:dyDescent="0.3">
      <c r="A334" s="38"/>
      <c r="B334" s="44"/>
      <c r="C334" s="45"/>
      <c r="D334" s="44"/>
    </row>
    <row r="335" spans="1:4" ht="19.5" thickBot="1" x14ac:dyDescent="0.3">
      <c r="A335" s="19"/>
      <c r="B335" s="20"/>
      <c r="C335" s="63"/>
      <c r="D335" s="14"/>
    </row>
    <row r="336" spans="1:4" ht="19.5" thickBot="1" x14ac:dyDescent="0.3">
      <c r="A336" s="19"/>
      <c r="B336" s="20"/>
      <c r="C336" s="48"/>
      <c r="D336" s="46"/>
    </row>
    <row r="337" spans="1:4" ht="15.75" thickBot="1" x14ac:dyDescent="0.3">
      <c r="A337" s="32"/>
      <c r="B337" s="33"/>
      <c r="C337" s="32"/>
      <c r="D337" s="34"/>
    </row>
    <row r="338" spans="1:4" ht="15.75" thickBot="1" x14ac:dyDescent="0.3">
      <c r="A338" s="58"/>
      <c r="B338" s="58"/>
      <c r="C338" s="58"/>
      <c r="D338" s="35"/>
    </row>
    <row r="339" spans="1:4" ht="15.75" x14ac:dyDescent="0.25">
      <c r="A339" s="285"/>
      <c r="B339" s="59"/>
      <c r="C339" s="59"/>
      <c r="D339" s="60"/>
    </row>
    <row r="340" spans="1:4" ht="16.5" thickBot="1" x14ac:dyDescent="0.3">
      <c r="A340" s="286"/>
      <c r="B340" s="62"/>
      <c r="C340" s="62"/>
      <c r="D340" s="61"/>
    </row>
    <row r="341" spans="1:4" ht="15.75" x14ac:dyDescent="0.25">
      <c r="A341" s="285"/>
      <c r="B341" s="59"/>
      <c r="C341" s="59"/>
      <c r="D341" s="60"/>
    </row>
    <row r="342" spans="1:4" ht="16.5" thickBot="1" x14ac:dyDescent="0.3">
      <c r="A342" s="286"/>
      <c r="B342" s="62"/>
      <c r="C342" s="62"/>
      <c r="D342" s="61"/>
    </row>
    <row r="343" spans="1:4" ht="16.5" thickBot="1" x14ac:dyDescent="0.3">
      <c r="A343" s="57"/>
      <c r="B343" s="36"/>
      <c r="C343" s="36"/>
      <c r="D343" s="36"/>
    </row>
    <row r="344" spans="1:4" ht="15.75" thickBot="1" x14ac:dyDescent="0.3">
      <c r="A344" s="287"/>
      <c r="B344" s="288"/>
      <c r="C344" s="288"/>
      <c r="D344" s="289"/>
    </row>
    <row r="345" spans="1:4" ht="18.75" x14ac:dyDescent="0.25">
      <c r="A345" s="5"/>
      <c r="B345" s="6"/>
      <c r="C345" s="7"/>
      <c r="D345" s="8"/>
    </row>
    <row r="346" spans="1:4" ht="19.5" thickBot="1" x14ac:dyDescent="0.3">
      <c r="A346" s="9"/>
      <c r="B346" s="10"/>
      <c r="C346" s="10"/>
      <c r="D346" s="11"/>
    </row>
    <row r="347" spans="1:4" ht="21.75" thickBot="1" x14ac:dyDescent="0.3">
      <c r="A347" s="43"/>
      <c r="B347" s="290"/>
      <c r="C347" s="291"/>
      <c r="D347" s="43"/>
    </row>
    <row r="348" spans="1:4" ht="21.75" thickBot="1" x14ac:dyDescent="0.3">
      <c r="A348" s="38"/>
      <c r="B348" s="44"/>
      <c r="C348" s="45"/>
      <c r="D348" s="44"/>
    </row>
    <row r="349" spans="1:4" ht="19.5" thickBot="1" x14ac:dyDescent="0.3">
      <c r="A349" s="19"/>
      <c r="B349" s="20"/>
      <c r="C349" s="63"/>
      <c r="D349" s="14"/>
    </row>
    <row r="350" spans="1:4" ht="19.5" thickBot="1" x14ac:dyDescent="0.3">
      <c r="A350" s="19"/>
      <c r="B350" s="20"/>
      <c r="C350" s="63"/>
      <c r="D350" s="14"/>
    </row>
    <row r="351" spans="1:4" ht="19.5" thickBot="1" x14ac:dyDescent="0.3">
      <c r="A351" s="19"/>
      <c r="B351" s="20"/>
      <c r="C351" s="48"/>
      <c r="D351" s="46"/>
    </row>
    <row r="352" spans="1:4" ht="15.75" thickBot="1" x14ac:dyDescent="0.3">
      <c r="A352" s="32"/>
      <c r="B352" s="33"/>
      <c r="C352" s="32"/>
      <c r="D352" s="34"/>
    </row>
    <row r="353" spans="1:4" ht="15.75" thickBot="1" x14ac:dyDescent="0.3">
      <c r="A353" s="58"/>
      <c r="B353" s="58"/>
      <c r="C353" s="58"/>
      <c r="D353" s="35"/>
    </row>
    <row r="354" spans="1:4" ht="15.75" x14ac:dyDescent="0.25">
      <c r="A354" s="285"/>
      <c r="B354" s="59"/>
      <c r="C354" s="59"/>
      <c r="D354" s="60"/>
    </row>
    <row r="355" spans="1:4" ht="16.5" thickBot="1" x14ac:dyDescent="0.3">
      <c r="A355" s="286"/>
      <c r="B355" s="62"/>
      <c r="C355" s="62"/>
      <c r="D355" s="61"/>
    </row>
    <row r="356" spans="1:4" ht="15.75" x14ac:dyDescent="0.25">
      <c r="A356" s="285"/>
      <c r="B356" s="59"/>
      <c r="C356" s="59"/>
      <c r="D356" s="60"/>
    </row>
    <row r="357" spans="1:4" ht="16.5" thickBot="1" x14ac:dyDescent="0.3">
      <c r="A357" s="286"/>
      <c r="B357" s="62"/>
      <c r="C357" s="62"/>
      <c r="D357" s="61"/>
    </row>
    <row r="358" spans="1:4" ht="16.5" thickBot="1" x14ac:dyDescent="0.3">
      <c r="A358" s="57"/>
      <c r="B358" s="36"/>
      <c r="C358" s="36"/>
      <c r="D358" s="36"/>
    </row>
    <row r="359" spans="1:4" ht="15.75" thickBot="1" x14ac:dyDescent="0.3">
      <c r="A359" s="287"/>
      <c r="B359" s="288"/>
      <c r="C359" s="288"/>
      <c r="D359" s="289"/>
    </row>
    <row r="360" spans="1:4" ht="18.75" x14ac:dyDescent="0.25">
      <c r="A360" s="5"/>
      <c r="B360" s="6"/>
      <c r="C360" s="7"/>
      <c r="D360" s="8"/>
    </row>
    <row r="361" spans="1:4" ht="19.5" thickBot="1" x14ac:dyDescent="0.3">
      <c r="A361" s="9"/>
      <c r="B361" s="10"/>
      <c r="C361" s="10"/>
      <c r="D361" s="11"/>
    </row>
    <row r="362" spans="1:4" ht="21.75" thickBot="1" x14ac:dyDescent="0.3">
      <c r="A362" s="43"/>
      <c r="B362" s="290"/>
      <c r="C362" s="291"/>
      <c r="D362" s="43"/>
    </row>
    <row r="363" spans="1:4" ht="21.75" thickBot="1" x14ac:dyDescent="0.3">
      <c r="A363" s="38"/>
      <c r="B363" s="44"/>
      <c r="C363" s="45"/>
      <c r="D363" s="44"/>
    </row>
    <row r="364" spans="1:4" ht="19.5" thickBot="1" x14ac:dyDescent="0.3">
      <c r="A364" s="19"/>
      <c r="B364" s="20"/>
      <c r="C364" s="63"/>
      <c r="D364" s="14"/>
    </row>
    <row r="365" spans="1:4" ht="19.5" thickBot="1" x14ac:dyDescent="0.3">
      <c r="A365" s="19"/>
      <c r="B365" s="20"/>
      <c r="C365" s="48"/>
      <c r="D365" s="46"/>
    </row>
    <row r="366" spans="1:4" ht="15.75" thickBot="1" x14ac:dyDescent="0.3">
      <c r="A366" s="32"/>
      <c r="B366" s="33"/>
      <c r="C366" s="32"/>
      <c r="D366" s="34"/>
    </row>
    <row r="367" spans="1:4" ht="15.75" thickBot="1" x14ac:dyDescent="0.3">
      <c r="A367" s="58"/>
      <c r="B367" s="58"/>
      <c r="C367" s="58"/>
      <c r="D367" s="35"/>
    </row>
    <row r="368" spans="1:4" ht="15.75" x14ac:dyDescent="0.25">
      <c r="A368" s="285"/>
      <c r="B368" s="59"/>
      <c r="C368" s="59"/>
      <c r="D368" s="60"/>
    </row>
    <row r="369" spans="1:4" ht="16.5" thickBot="1" x14ac:dyDescent="0.3">
      <c r="A369" s="286"/>
      <c r="B369" s="62"/>
      <c r="C369" s="62"/>
      <c r="D369" s="61"/>
    </row>
    <row r="370" spans="1:4" ht="15.75" x14ac:dyDescent="0.25">
      <c r="A370" s="285"/>
      <c r="B370" s="59"/>
      <c r="C370" s="59"/>
      <c r="D370" s="60"/>
    </row>
    <row r="371" spans="1:4" ht="16.5" thickBot="1" x14ac:dyDescent="0.3">
      <c r="A371" s="286"/>
      <c r="B371" s="62"/>
      <c r="C371" s="62"/>
      <c r="D371" s="61"/>
    </row>
    <row r="372" spans="1:4" ht="16.5" thickBot="1" x14ac:dyDescent="0.3">
      <c r="A372" s="57"/>
      <c r="B372" s="36"/>
      <c r="C372" s="36"/>
      <c r="D372" s="36"/>
    </row>
    <row r="373" spans="1:4" ht="15.75" thickBot="1" x14ac:dyDescent="0.3">
      <c r="A373" s="287"/>
      <c r="B373" s="288"/>
      <c r="C373" s="288"/>
      <c r="D373" s="289"/>
    </row>
    <row r="374" spans="1:4" ht="18.75" x14ac:dyDescent="0.25">
      <c r="A374" s="5"/>
      <c r="B374" s="6"/>
      <c r="C374" s="7"/>
      <c r="D374" s="8"/>
    </row>
    <row r="375" spans="1:4" ht="19.5" thickBot="1" x14ac:dyDescent="0.3">
      <c r="A375" s="9"/>
      <c r="B375" s="10"/>
      <c r="C375" s="10"/>
      <c r="D375" s="11"/>
    </row>
    <row r="376" spans="1:4" ht="21.75" thickBot="1" x14ac:dyDescent="0.3">
      <c r="A376" s="43"/>
      <c r="B376" s="290"/>
      <c r="C376" s="291"/>
      <c r="D376" s="43"/>
    </row>
    <row r="377" spans="1:4" ht="21.75" thickBot="1" x14ac:dyDescent="0.3">
      <c r="A377" s="38"/>
      <c r="B377" s="44"/>
      <c r="C377" s="45"/>
      <c r="D377" s="44"/>
    </row>
    <row r="378" spans="1:4" ht="19.5" thickBot="1" x14ac:dyDescent="0.3">
      <c r="A378" s="19"/>
      <c r="B378" s="20"/>
      <c r="C378" s="63"/>
      <c r="D378" s="14"/>
    </row>
    <row r="379" spans="1:4" ht="19.5" thickBot="1" x14ac:dyDescent="0.3">
      <c r="A379" s="19"/>
      <c r="B379" s="20"/>
      <c r="C379" s="63"/>
      <c r="D379" s="14"/>
    </row>
    <row r="380" spans="1:4" ht="19.5" thickBot="1" x14ac:dyDescent="0.3">
      <c r="A380" s="19"/>
      <c r="B380" s="20"/>
      <c r="C380" s="48"/>
      <c r="D380" s="46"/>
    </row>
    <row r="381" spans="1:4" ht="15.75" thickBot="1" x14ac:dyDescent="0.3">
      <c r="A381" s="32"/>
      <c r="B381" s="33"/>
      <c r="C381" s="32"/>
      <c r="D381" s="34"/>
    </row>
    <row r="382" spans="1:4" ht="15.75" thickBot="1" x14ac:dyDescent="0.3">
      <c r="A382" s="58"/>
      <c r="B382" s="58"/>
      <c r="C382" s="58"/>
      <c r="D382" s="35"/>
    </row>
    <row r="383" spans="1:4" ht="15.75" x14ac:dyDescent="0.25">
      <c r="A383" s="285"/>
      <c r="B383" s="59"/>
      <c r="C383" s="59"/>
      <c r="D383" s="60"/>
    </row>
    <row r="384" spans="1:4" ht="16.5" thickBot="1" x14ac:dyDescent="0.3">
      <c r="A384" s="286"/>
      <c r="B384" s="62"/>
      <c r="C384" s="62"/>
      <c r="D384" s="61"/>
    </row>
    <row r="385" spans="1:4" ht="15.75" x14ac:dyDescent="0.25">
      <c r="A385" s="285"/>
      <c r="B385" s="59"/>
      <c r="C385" s="59"/>
      <c r="D385" s="60"/>
    </row>
    <row r="386" spans="1:4" ht="16.5" thickBot="1" x14ac:dyDescent="0.3">
      <c r="A386" s="286"/>
      <c r="B386" s="62"/>
      <c r="C386" s="62"/>
      <c r="D386" s="61"/>
    </row>
    <row r="387" spans="1:4" ht="16.5" thickBot="1" x14ac:dyDescent="0.3">
      <c r="A387" s="57"/>
      <c r="B387" s="36"/>
      <c r="C387" s="36"/>
      <c r="D387" s="36"/>
    </row>
    <row r="388" spans="1:4" ht="15.75" thickBot="1" x14ac:dyDescent="0.3">
      <c r="A388" s="287"/>
      <c r="B388" s="288"/>
      <c r="C388" s="288"/>
      <c r="D388" s="289"/>
    </row>
    <row r="389" spans="1:4" ht="18.75" x14ac:dyDescent="0.25">
      <c r="A389" s="5"/>
      <c r="B389" s="6"/>
      <c r="C389" s="7"/>
      <c r="D389" s="8"/>
    </row>
    <row r="390" spans="1:4" ht="19.5" thickBot="1" x14ac:dyDescent="0.3">
      <c r="A390" s="9"/>
      <c r="B390" s="10"/>
      <c r="C390" s="10"/>
      <c r="D390" s="11"/>
    </row>
    <row r="391" spans="1:4" ht="21.75" thickBot="1" x14ac:dyDescent="0.3">
      <c r="A391" s="43"/>
      <c r="B391" s="290"/>
      <c r="C391" s="291"/>
      <c r="D391" s="43"/>
    </row>
    <row r="392" spans="1:4" ht="21.75" thickBot="1" x14ac:dyDescent="0.3">
      <c r="A392" s="38"/>
      <c r="B392" s="44"/>
      <c r="C392" s="45"/>
      <c r="D392" s="44"/>
    </row>
    <row r="393" spans="1:4" ht="19.5" thickBot="1" x14ac:dyDescent="0.3">
      <c r="A393" s="19"/>
      <c r="B393" s="20"/>
      <c r="C393" s="63"/>
      <c r="D393" s="14"/>
    </row>
    <row r="394" spans="1:4" ht="19.5" thickBot="1" x14ac:dyDescent="0.3">
      <c r="A394" s="19"/>
      <c r="B394" s="20"/>
      <c r="C394" s="48"/>
      <c r="D394" s="46"/>
    </row>
    <row r="395" spans="1:4" ht="15.75" thickBot="1" x14ac:dyDescent="0.3">
      <c r="A395" s="32"/>
      <c r="B395" s="33"/>
      <c r="C395" s="32"/>
      <c r="D395" s="34"/>
    </row>
    <row r="396" spans="1:4" ht="15.75" thickBot="1" x14ac:dyDescent="0.3">
      <c r="A396" s="58"/>
      <c r="B396" s="58"/>
      <c r="C396" s="58"/>
      <c r="D396" s="35"/>
    </row>
    <row r="397" spans="1:4" ht="15.75" x14ac:dyDescent="0.25">
      <c r="A397" s="285"/>
      <c r="B397" s="59"/>
      <c r="C397" s="59"/>
      <c r="D397" s="60"/>
    </row>
    <row r="398" spans="1:4" ht="16.5" thickBot="1" x14ac:dyDescent="0.3">
      <c r="A398" s="286"/>
      <c r="B398" s="62"/>
      <c r="C398" s="62"/>
      <c r="D398" s="61"/>
    </row>
    <row r="399" spans="1:4" ht="15.75" x14ac:dyDescent="0.25">
      <c r="A399" s="285"/>
      <c r="B399" s="59"/>
      <c r="C399" s="59"/>
      <c r="D399" s="60"/>
    </row>
    <row r="400" spans="1:4" ht="16.5" thickBot="1" x14ac:dyDescent="0.3">
      <c r="A400" s="286"/>
      <c r="B400" s="62"/>
      <c r="C400" s="62"/>
      <c r="D400" s="61"/>
    </row>
    <row r="401" spans="1:4" ht="16.5" thickBot="1" x14ac:dyDescent="0.3">
      <c r="A401" s="57"/>
      <c r="B401" s="36"/>
      <c r="C401" s="36"/>
      <c r="D401" s="36"/>
    </row>
    <row r="402" spans="1:4" ht="15.75" thickBot="1" x14ac:dyDescent="0.3">
      <c r="A402" s="287"/>
      <c r="B402" s="288"/>
      <c r="C402" s="288"/>
      <c r="D402" s="289"/>
    </row>
    <row r="403" spans="1:4" ht="18.75" x14ac:dyDescent="0.25">
      <c r="A403" s="5"/>
      <c r="B403" s="6"/>
      <c r="C403" s="7"/>
      <c r="D403" s="8"/>
    </row>
    <row r="404" spans="1:4" ht="19.5" thickBot="1" x14ac:dyDescent="0.3">
      <c r="A404" s="9"/>
      <c r="B404" s="10"/>
      <c r="C404" s="10"/>
      <c r="D404" s="11"/>
    </row>
    <row r="405" spans="1:4" ht="21.75" thickBot="1" x14ac:dyDescent="0.3">
      <c r="A405" s="43"/>
      <c r="B405" s="290"/>
      <c r="C405" s="291"/>
      <c r="D405" s="43"/>
    </row>
    <row r="406" spans="1:4" ht="21.75" thickBot="1" x14ac:dyDescent="0.3">
      <c r="A406" s="38"/>
      <c r="B406" s="44"/>
      <c r="C406" s="45"/>
      <c r="D406" s="44"/>
    </row>
    <row r="407" spans="1:4" ht="19.5" thickBot="1" x14ac:dyDescent="0.3">
      <c r="A407" s="19"/>
      <c r="B407" s="20"/>
      <c r="C407" s="63"/>
      <c r="D407" s="14"/>
    </row>
    <row r="408" spans="1:4" ht="19.5" thickBot="1" x14ac:dyDescent="0.3">
      <c r="A408" s="19"/>
      <c r="B408" s="20"/>
      <c r="C408" s="63"/>
      <c r="D408" s="14"/>
    </row>
    <row r="409" spans="1:4" ht="19.5" thickBot="1" x14ac:dyDescent="0.3">
      <c r="A409" s="19"/>
      <c r="B409" s="20"/>
      <c r="C409" s="48"/>
      <c r="D409" s="46"/>
    </row>
    <row r="410" spans="1:4" ht="15.75" thickBot="1" x14ac:dyDescent="0.3">
      <c r="A410" s="32"/>
      <c r="B410" s="33"/>
      <c r="C410" s="32"/>
      <c r="D410" s="34"/>
    </row>
    <row r="411" spans="1:4" ht="15.75" thickBot="1" x14ac:dyDescent="0.3">
      <c r="A411" s="58"/>
      <c r="B411" s="58"/>
      <c r="C411" s="58"/>
      <c r="D411" s="35"/>
    </row>
    <row r="412" spans="1:4" ht="15.75" x14ac:dyDescent="0.25">
      <c r="A412" s="285"/>
      <c r="B412" s="59"/>
      <c r="C412" s="59"/>
      <c r="D412" s="60"/>
    </row>
    <row r="413" spans="1:4" ht="16.5" thickBot="1" x14ac:dyDescent="0.3">
      <c r="A413" s="286"/>
      <c r="B413" s="62"/>
      <c r="C413" s="62"/>
      <c r="D413" s="61"/>
    </row>
    <row r="414" spans="1:4" ht="15.75" x14ac:dyDescent="0.25">
      <c r="A414" s="285"/>
      <c r="B414" s="59"/>
      <c r="C414" s="59"/>
      <c r="D414" s="60"/>
    </row>
    <row r="415" spans="1:4" ht="16.5" thickBot="1" x14ac:dyDescent="0.3">
      <c r="A415" s="286"/>
      <c r="B415" s="62"/>
      <c r="C415" s="62"/>
      <c r="D415" s="61"/>
    </row>
    <row r="416" spans="1:4" ht="16.5" thickBot="1" x14ac:dyDescent="0.3">
      <c r="A416" s="57"/>
      <c r="B416" s="36"/>
      <c r="C416" s="36"/>
      <c r="D416" s="36"/>
    </row>
    <row r="417" spans="1:4" ht="15.75" thickBot="1" x14ac:dyDescent="0.3">
      <c r="A417" s="287"/>
      <c r="B417" s="288"/>
      <c r="C417" s="288"/>
      <c r="D417" s="289"/>
    </row>
    <row r="418" spans="1:4" ht="18.75" x14ac:dyDescent="0.25">
      <c r="A418" s="5"/>
      <c r="B418" s="6"/>
      <c r="C418" s="7"/>
      <c r="D418" s="8"/>
    </row>
    <row r="419" spans="1:4" ht="19.5" thickBot="1" x14ac:dyDescent="0.3">
      <c r="A419" s="9"/>
      <c r="B419" s="10"/>
      <c r="C419" s="10"/>
      <c r="D419" s="11"/>
    </row>
    <row r="420" spans="1:4" ht="21.75" thickBot="1" x14ac:dyDescent="0.3">
      <c r="A420" s="43"/>
      <c r="B420" s="290"/>
      <c r="C420" s="291"/>
      <c r="D420" s="43"/>
    </row>
    <row r="421" spans="1:4" ht="21.75" thickBot="1" x14ac:dyDescent="0.3">
      <c r="A421" s="38"/>
      <c r="B421" s="44"/>
      <c r="C421" s="45"/>
      <c r="D421" s="44"/>
    </row>
    <row r="422" spans="1:4" ht="19.5" thickBot="1" x14ac:dyDescent="0.3">
      <c r="A422" s="19"/>
      <c r="B422" s="20"/>
      <c r="C422" s="63"/>
      <c r="D422" s="14"/>
    </row>
    <row r="423" spans="1:4" ht="19.5" thickBot="1" x14ac:dyDescent="0.3">
      <c r="A423" s="19"/>
      <c r="B423" s="20"/>
      <c r="C423" s="48"/>
      <c r="D423" s="46"/>
    </row>
    <row r="424" spans="1:4" ht="15.75" thickBot="1" x14ac:dyDescent="0.3">
      <c r="A424" s="32"/>
      <c r="B424" s="33"/>
      <c r="C424" s="32"/>
      <c r="D424" s="34"/>
    </row>
    <row r="425" spans="1:4" ht="15.75" thickBot="1" x14ac:dyDescent="0.3">
      <c r="A425" s="58"/>
      <c r="B425" s="58"/>
      <c r="C425" s="58"/>
      <c r="D425" s="35"/>
    </row>
    <row r="426" spans="1:4" ht="15.75" x14ac:dyDescent="0.25">
      <c r="A426" s="285"/>
      <c r="B426" s="59"/>
      <c r="C426" s="59"/>
      <c r="D426" s="60"/>
    </row>
    <row r="427" spans="1:4" ht="16.5" thickBot="1" x14ac:dyDescent="0.3">
      <c r="A427" s="286"/>
      <c r="B427" s="62"/>
      <c r="C427" s="62"/>
      <c r="D427" s="61"/>
    </row>
    <row r="428" spans="1:4" ht="15.75" x14ac:dyDescent="0.25">
      <c r="A428" s="285"/>
      <c r="B428" s="59"/>
      <c r="C428" s="59"/>
      <c r="D428" s="60"/>
    </row>
    <row r="429" spans="1:4" ht="16.5" thickBot="1" x14ac:dyDescent="0.3">
      <c r="A429" s="286"/>
      <c r="B429" s="62"/>
      <c r="C429" s="62"/>
      <c r="D429" s="61"/>
    </row>
    <row r="430" spans="1:4" ht="16.5" thickBot="1" x14ac:dyDescent="0.3">
      <c r="A430" s="57"/>
      <c r="B430" s="36"/>
      <c r="C430" s="36"/>
      <c r="D430" s="36"/>
    </row>
    <row r="431" spans="1:4" ht="15.75" thickBot="1" x14ac:dyDescent="0.3">
      <c r="A431" s="287"/>
      <c r="B431" s="288"/>
      <c r="C431" s="288"/>
      <c r="D431" s="289"/>
    </row>
    <row r="432" spans="1:4" ht="18.75" x14ac:dyDescent="0.25">
      <c r="A432" s="5"/>
      <c r="B432" s="6"/>
      <c r="C432" s="7"/>
      <c r="D432" s="8"/>
    </row>
    <row r="433" spans="1:4" ht="19.5" thickBot="1" x14ac:dyDescent="0.3">
      <c r="A433" s="9"/>
      <c r="B433" s="10"/>
      <c r="C433" s="10"/>
      <c r="D433" s="11"/>
    </row>
    <row r="434" spans="1:4" ht="21.75" thickBot="1" x14ac:dyDescent="0.3">
      <c r="A434" s="43"/>
      <c r="B434" s="290"/>
      <c r="C434" s="291"/>
      <c r="D434" s="43"/>
    </row>
    <row r="435" spans="1:4" ht="21.75" thickBot="1" x14ac:dyDescent="0.3">
      <c r="A435" s="38"/>
      <c r="B435" s="44"/>
      <c r="C435" s="45"/>
      <c r="D435" s="44"/>
    </row>
    <row r="436" spans="1:4" ht="19.5" thickBot="1" x14ac:dyDescent="0.3">
      <c r="A436" s="19"/>
      <c r="B436" s="20"/>
      <c r="C436" s="63"/>
      <c r="D436" s="14"/>
    </row>
    <row r="437" spans="1:4" ht="19.5" thickBot="1" x14ac:dyDescent="0.3">
      <c r="A437" s="19"/>
      <c r="B437" s="20"/>
      <c r="C437" s="63"/>
      <c r="D437" s="14"/>
    </row>
    <row r="438" spans="1:4" ht="19.5" thickBot="1" x14ac:dyDescent="0.3">
      <c r="A438" s="19"/>
      <c r="B438" s="20"/>
      <c r="C438" s="48"/>
      <c r="D438" s="46"/>
    </row>
    <row r="439" spans="1:4" ht="15.75" thickBot="1" x14ac:dyDescent="0.3">
      <c r="A439" s="32"/>
      <c r="B439" s="33"/>
      <c r="C439" s="32"/>
      <c r="D439" s="34"/>
    </row>
    <row r="440" spans="1:4" ht="15.75" thickBot="1" x14ac:dyDescent="0.3">
      <c r="A440" s="58"/>
      <c r="B440" s="58"/>
      <c r="C440" s="58"/>
      <c r="D440" s="35"/>
    </row>
    <row r="441" spans="1:4" ht="15.75" x14ac:dyDescent="0.25">
      <c r="A441" s="285"/>
      <c r="B441" s="59"/>
      <c r="C441" s="59"/>
      <c r="D441" s="60"/>
    </row>
    <row r="442" spans="1:4" ht="16.5" thickBot="1" x14ac:dyDescent="0.3">
      <c r="A442" s="286"/>
      <c r="B442" s="62"/>
      <c r="C442" s="62"/>
      <c r="D442" s="61"/>
    </row>
    <row r="443" spans="1:4" ht="15.75" x14ac:dyDescent="0.25">
      <c r="A443" s="285"/>
      <c r="B443" s="59"/>
      <c r="C443" s="59"/>
      <c r="D443" s="60"/>
    </row>
    <row r="444" spans="1:4" ht="16.5" thickBot="1" x14ac:dyDescent="0.3">
      <c r="A444" s="286"/>
      <c r="B444" s="62"/>
      <c r="C444" s="62"/>
      <c r="D444" s="61"/>
    </row>
    <row r="445" spans="1:4" ht="16.5" thickBot="1" x14ac:dyDescent="0.3">
      <c r="A445" s="57"/>
      <c r="B445" s="36"/>
      <c r="C445" s="36"/>
      <c r="D445" s="36"/>
    </row>
    <row r="446" spans="1:4" ht="15.75" thickBot="1" x14ac:dyDescent="0.3">
      <c r="A446" s="287"/>
      <c r="B446" s="288"/>
      <c r="C446" s="288"/>
      <c r="D446" s="289"/>
    </row>
    <row r="447" spans="1:4" ht="18.75" x14ac:dyDescent="0.25">
      <c r="A447" s="5"/>
      <c r="B447" s="6"/>
      <c r="C447" s="7"/>
      <c r="D447" s="8"/>
    </row>
    <row r="448" spans="1:4" ht="19.5" thickBot="1" x14ac:dyDescent="0.3">
      <c r="A448" s="9"/>
      <c r="B448" s="10"/>
      <c r="C448" s="10"/>
      <c r="D448" s="11"/>
    </row>
    <row r="449" spans="1:4" ht="21.75" thickBot="1" x14ac:dyDescent="0.3">
      <c r="A449" s="43"/>
      <c r="B449" s="290"/>
      <c r="C449" s="291"/>
      <c r="D449" s="43"/>
    </row>
    <row r="450" spans="1:4" ht="21.75" thickBot="1" x14ac:dyDescent="0.3">
      <c r="A450" s="38"/>
      <c r="B450" s="44"/>
      <c r="C450" s="45"/>
      <c r="D450" s="44"/>
    </row>
    <row r="451" spans="1:4" ht="19.5" thickBot="1" x14ac:dyDescent="0.3">
      <c r="A451" s="19"/>
      <c r="B451" s="20"/>
      <c r="C451" s="63"/>
      <c r="D451" s="14"/>
    </row>
    <row r="452" spans="1:4" ht="19.5" thickBot="1" x14ac:dyDescent="0.3">
      <c r="A452" s="19"/>
      <c r="B452" s="20"/>
      <c r="C452" s="48"/>
      <c r="D452" s="46"/>
    </row>
    <row r="453" spans="1:4" ht="15.75" thickBot="1" x14ac:dyDescent="0.3">
      <c r="A453" s="32"/>
      <c r="B453" s="33"/>
      <c r="C453" s="32"/>
      <c r="D453" s="34"/>
    </row>
    <row r="454" spans="1:4" ht="15.75" thickBot="1" x14ac:dyDescent="0.3">
      <c r="A454" s="58"/>
      <c r="B454" s="58"/>
      <c r="C454" s="58"/>
      <c r="D454" s="35"/>
    </row>
    <row r="455" spans="1:4" ht="15.75" x14ac:dyDescent="0.25">
      <c r="A455" s="285"/>
      <c r="B455" s="59"/>
      <c r="C455" s="59"/>
      <c r="D455" s="60"/>
    </row>
    <row r="456" spans="1:4" ht="16.5" thickBot="1" x14ac:dyDescent="0.3">
      <c r="A456" s="286"/>
      <c r="B456" s="62"/>
      <c r="C456" s="62"/>
      <c r="D456" s="61"/>
    </row>
    <row r="457" spans="1:4" ht="15.75" x14ac:dyDescent="0.25">
      <c r="A457" s="285"/>
      <c r="B457" s="59"/>
      <c r="C457" s="59"/>
      <c r="D457" s="60"/>
    </row>
    <row r="458" spans="1:4" ht="16.5" thickBot="1" x14ac:dyDescent="0.3">
      <c r="A458" s="286"/>
      <c r="B458" s="62"/>
      <c r="C458" s="62"/>
      <c r="D458" s="61"/>
    </row>
    <row r="459" spans="1:4" ht="16.5" thickBot="1" x14ac:dyDescent="0.3">
      <c r="A459" s="57"/>
      <c r="B459" s="36"/>
      <c r="C459" s="36"/>
      <c r="D459" s="36"/>
    </row>
    <row r="460" spans="1:4" ht="15.75" thickBot="1" x14ac:dyDescent="0.3">
      <c r="A460" s="287"/>
      <c r="B460" s="288"/>
      <c r="C460" s="288"/>
      <c r="D460" s="289"/>
    </row>
    <row r="461" spans="1:4" ht="18.75" x14ac:dyDescent="0.25">
      <c r="A461" s="5"/>
      <c r="B461" s="6"/>
      <c r="C461" s="7"/>
      <c r="D461" s="8"/>
    </row>
    <row r="462" spans="1:4" ht="19.5" thickBot="1" x14ac:dyDescent="0.3">
      <c r="A462" s="9"/>
      <c r="B462" s="10"/>
      <c r="C462" s="10"/>
      <c r="D462" s="11"/>
    </row>
    <row r="463" spans="1:4" ht="21.75" thickBot="1" x14ac:dyDescent="0.3">
      <c r="A463" s="43"/>
      <c r="B463" s="290"/>
      <c r="C463" s="291"/>
      <c r="D463" s="43"/>
    </row>
    <row r="464" spans="1:4" ht="21.75" thickBot="1" x14ac:dyDescent="0.3">
      <c r="A464" s="38"/>
      <c r="B464" s="44"/>
      <c r="C464" s="45"/>
      <c r="D464" s="44"/>
    </row>
    <row r="465" spans="1:4" ht="19.5" thickBot="1" x14ac:dyDescent="0.3">
      <c r="A465" s="19"/>
      <c r="B465" s="20"/>
      <c r="C465" s="63"/>
      <c r="D465" s="14"/>
    </row>
    <row r="466" spans="1:4" ht="19.5" thickBot="1" x14ac:dyDescent="0.3">
      <c r="A466" s="19"/>
      <c r="B466" s="20"/>
      <c r="C466" s="63"/>
      <c r="D466" s="14"/>
    </row>
    <row r="467" spans="1:4" ht="19.5" thickBot="1" x14ac:dyDescent="0.3">
      <c r="A467" s="19"/>
      <c r="B467" s="20"/>
      <c r="C467" s="48"/>
      <c r="D467" s="46"/>
    </row>
    <row r="468" spans="1:4" ht="15.75" thickBot="1" x14ac:dyDescent="0.3">
      <c r="A468" s="32"/>
      <c r="B468" s="33"/>
      <c r="C468" s="32"/>
      <c r="D468" s="34"/>
    </row>
    <row r="469" spans="1:4" ht="15.75" thickBot="1" x14ac:dyDescent="0.3">
      <c r="A469" s="58"/>
      <c r="B469" s="58"/>
      <c r="C469" s="58"/>
      <c r="D469" s="35"/>
    </row>
    <row r="470" spans="1:4" ht="15.75" x14ac:dyDescent="0.25">
      <c r="A470" s="285"/>
      <c r="B470" s="59"/>
      <c r="C470" s="59"/>
      <c r="D470" s="60"/>
    </row>
    <row r="471" spans="1:4" ht="16.5" thickBot="1" x14ac:dyDescent="0.3">
      <c r="A471" s="286"/>
      <c r="B471" s="62"/>
      <c r="C471" s="62"/>
      <c r="D471" s="61"/>
    </row>
    <row r="472" spans="1:4" ht="15.75" x14ac:dyDescent="0.25">
      <c r="A472" s="285"/>
      <c r="B472" s="59"/>
      <c r="C472" s="59"/>
      <c r="D472" s="60"/>
    </row>
    <row r="473" spans="1:4" ht="16.5" thickBot="1" x14ac:dyDescent="0.3">
      <c r="A473" s="286"/>
      <c r="B473" s="62"/>
      <c r="C473" s="62"/>
      <c r="D473" s="61"/>
    </row>
    <row r="474" spans="1:4" ht="16.5" thickBot="1" x14ac:dyDescent="0.3">
      <c r="A474" s="57"/>
      <c r="B474" s="36"/>
      <c r="C474" s="36"/>
      <c r="D474" s="36"/>
    </row>
    <row r="475" spans="1:4" ht="15.75" thickBot="1" x14ac:dyDescent="0.3">
      <c r="A475" s="287"/>
      <c r="B475" s="288"/>
      <c r="C475" s="288"/>
      <c r="D475" s="289"/>
    </row>
    <row r="476" spans="1:4" ht="18.75" x14ac:dyDescent="0.25">
      <c r="A476" s="5"/>
      <c r="B476" s="6"/>
      <c r="C476" s="7"/>
      <c r="D476" s="8"/>
    </row>
    <row r="477" spans="1:4" ht="19.5" thickBot="1" x14ac:dyDescent="0.3">
      <c r="A477" s="9"/>
      <c r="B477" s="10"/>
      <c r="C477" s="10"/>
      <c r="D477" s="11"/>
    </row>
    <row r="478" spans="1:4" ht="21.75" thickBot="1" x14ac:dyDescent="0.3">
      <c r="A478" s="43"/>
      <c r="B478" s="290"/>
      <c r="C478" s="291"/>
      <c r="D478" s="43"/>
    </row>
    <row r="479" spans="1:4" ht="21.75" thickBot="1" x14ac:dyDescent="0.3">
      <c r="A479" s="38"/>
      <c r="B479" s="44"/>
      <c r="C479" s="45"/>
      <c r="D479" s="44"/>
    </row>
    <row r="480" spans="1:4" ht="19.5" thickBot="1" x14ac:dyDescent="0.3">
      <c r="A480" s="19"/>
      <c r="B480" s="20"/>
      <c r="C480" s="63"/>
      <c r="D480" s="14"/>
    </row>
    <row r="481" spans="1:4" ht="19.5" thickBot="1" x14ac:dyDescent="0.3">
      <c r="A481" s="19"/>
      <c r="B481" s="20"/>
      <c r="C481" s="48"/>
      <c r="D481" s="46"/>
    </row>
    <row r="482" spans="1:4" ht="15.75" thickBot="1" x14ac:dyDescent="0.3">
      <c r="A482" s="32"/>
      <c r="B482" s="33"/>
      <c r="C482" s="32"/>
      <c r="D482" s="34"/>
    </row>
    <row r="483" spans="1:4" ht="15.75" thickBot="1" x14ac:dyDescent="0.3">
      <c r="A483" s="58"/>
      <c r="B483" s="58"/>
      <c r="C483" s="58"/>
      <c r="D483" s="35"/>
    </row>
    <row r="484" spans="1:4" ht="15.75" x14ac:dyDescent="0.25">
      <c r="A484" s="285"/>
      <c r="B484" s="59"/>
      <c r="C484" s="59"/>
      <c r="D484" s="60"/>
    </row>
    <row r="485" spans="1:4" ht="16.5" thickBot="1" x14ac:dyDescent="0.3">
      <c r="A485" s="286"/>
      <c r="B485" s="62"/>
      <c r="C485" s="62"/>
      <c r="D485" s="61"/>
    </row>
    <row r="486" spans="1:4" ht="15.75" x14ac:dyDescent="0.25">
      <c r="A486" s="285"/>
      <c r="B486" s="59"/>
      <c r="C486" s="59"/>
      <c r="D486" s="60"/>
    </row>
    <row r="487" spans="1:4" ht="16.5" thickBot="1" x14ac:dyDescent="0.3">
      <c r="A487" s="286"/>
      <c r="B487" s="62"/>
      <c r="C487" s="62"/>
      <c r="D487" s="61"/>
    </row>
    <row r="488" spans="1:4" ht="16.5" thickBot="1" x14ac:dyDescent="0.3">
      <c r="A488" s="57"/>
      <c r="B488" s="36"/>
      <c r="C488" s="36"/>
      <c r="D488" s="36"/>
    </row>
    <row r="489" spans="1:4" ht="15.75" thickBot="1" x14ac:dyDescent="0.3">
      <c r="A489" s="287"/>
      <c r="B489" s="288"/>
      <c r="C489" s="288"/>
      <c r="D489" s="289"/>
    </row>
    <row r="490" spans="1:4" ht="18.75" x14ac:dyDescent="0.25">
      <c r="A490" s="5"/>
      <c r="B490" s="6"/>
      <c r="C490" s="7"/>
      <c r="D490" s="8"/>
    </row>
    <row r="491" spans="1:4" ht="19.5" thickBot="1" x14ac:dyDescent="0.3">
      <c r="A491" s="9"/>
      <c r="B491" s="10"/>
      <c r="C491" s="10"/>
      <c r="D491" s="11"/>
    </row>
    <row r="492" spans="1:4" ht="21.75" thickBot="1" x14ac:dyDescent="0.3">
      <c r="A492" s="43"/>
      <c r="B492" s="290"/>
      <c r="C492" s="291"/>
      <c r="D492" s="43"/>
    </row>
    <row r="493" spans="1:4" ht="21.75" thickBot="1" x14ac:dyDescent="0.3">
      <c r="A493" s="38"/>
      <c r="B493" s="44"/>
      <c r="C493" s="45"/>
      <c r="D493" s="44"/>
    </row>
    <row r="494" spans="1:4" ht="19.5" thickBot="1" x14ac:dyDescent="0.3">
      <c r="A494" s="19"/>
      <c r="B494" s="20"/>
      <c r="C494" s="63"/>
      <c r="D494" s="14"/>
    </row>
    <row r="495" spans="1:4" ht="19.5" thickBot="1" x14ac:dyDescent="0.3">
      <c r="A495" s="19"/>
      <c r="B495" s="20"/>
      <c r="C495" s="63"/>
      <c r="D495" s="14"/>
    </row>
    <row r="496" spans="1:4" ht="19.5" thickBot="1" x14ac:dyDescent="0.3">
      <c r="A496" s="19"/>
      <c r="B496" s="20"/>
      <c r="C496" s="48"/>
      <c r="D496" s="46"/>
    </row>
    <row r="497" spans="1:4" ht="15.75" thickBot="1" x14ac:dyDescent="0.3">
      <c r="A497" s="32"/>
      <c r="B497" s="33"/>
      <c r="C497" s="32"/>
      <c r="D497" s="34"/>
    </row>
    <row r="498" spans="1:4" ht="15.75" thickBot="1" x14ac:dyDescent="0.3">
      <c r="A498" s="58"/>
      <c r="B498" s="58"/>
      <c r="C498" s="58"/>
      <c r="D498" s="35"/>
    </row>
    <row r="499" spans="1:4" ht="15.75" x14ac:dyDescent="0.25">
      <c r="A499" s="285"/>
      <c r="B499" s="59"/>
      <c r="C499" s="59"/>
      <c r="D499" s="60"/>
    </row>
    <row r="500" spans="1:4" ht="16.5" thickBot="1" x14ac:dyDescent="0.3">
      <c r="A500" s="286"/>
      <c r="B500" s="62"/>
      <c r="C500" s="62"/>
      <c r="D500" s="61"/>
    </row>
    <row r="501" spans="1:4" ht="15.75" x14ac:dyDescent="0.25">
      <c r="A501" s="285"/>
      <c r="B501" s="59"/>
      <c r="C501" s="59"/>
      <c r="D501" s="60"/>
    </row>
    <row r="502" spans="1:4" ht="16.5" thickBot="1" x14ac:dyDescent="0.3">
      <c r="A502" s="286"/>
      <c r="B502" s="62"/>
      <c r="C502" s="62"/>
      <c r="D502" s="61"/>
    </row>
    <row r="503" spans="1:4" ht="16.5" thickBot="1" x14ac:dyDescent="0.3">
      <c r="A503" s="57"/>
      <c r="B503" s="36"/>
      <c r="C503" s="36"/>
      <c r="D503" s="36"/>
    </row>
    <row r="504" spans="1:4" ht="15.75" thickBot="1" x14ac:dyDescent="0.3">
      <c r="A504" s="287"/>
      <c r="B504" s="288"/>
      <c r="C504" s="288"/>
      <c r="D504" s="289"/>
    </row>
    <row r="505" spans="1:4" ht="18.75" x14ac:dyDescent="0.25">
      <c r="A505" s="5"/>
      <c r="B505" s="6"/>
      <c r="C505" s="7"/>
      <c r="D505" s="8"/>
    </row>
    <row r="506" spans="1:4" ht="19.5" thickBot="1" x14ac:dyDescent="0.3">
      <c r="A506" s="9"/>
      <c r="B506" s="10"/>
      <c r="C506" s="10"/>
      <c r="D506" s="11"/>
    </row>
    <row r="507" spans="1:4" ht="21.75" thickBot="1" x14ac:dyDescent="0.3">
      <c r="A507" s="43"/>
      <c r="B507" s="290"/>
      <c r="C507" s="291"/>
      <c r="D507" s="43"/>
    </row>
    <row r="508" spans="1:4" ht="21.75" thickBot="1" x14ac:dyDescent="0.3">
      <c r="A508" s="38"/>
      <c r="B508" s="44"/>
      <c r="C508" s="45"/>
      <c r="D508" s="44"/>
    </row>
    <row r="509" spans="1:4" ht="19.5" thickBot="1" x14ac:dyDescent="0.3">
      <c r="A509" s="19"/>
      <c r="B509" s="20"/>
      <c r="C509" s="63"/>
      <c r="D509" s="14"/>
    </row>
    <row r="510" spans="1:4" ht="19.5" thickBot="1" x14ac:dyDescent="0.3">
      <c r="A510" s="19"/>
      <c r="B510" s="20"/>
      <c r="C510" s="48"/>
      <c r="D510" s="46"/>
    </row>
    <row r="511" spans="1:4" ht="15.75" thickBot="1" x14ac:dyDescent="0.3">
      <c r="A511" s="32"/>
      <c r="B511" s="33"/>
      <c r="C511" s="32"/>
      <c r="D511" s="34"/>
    </row>
    <row r="512" spans="1:4" ht="15.75" thickBot="1" x14ac:dyDescent="0.3">
      <c r="A512" s="58"/>
      <c r="B512" s="58"/>
      <c r="C512" s="58"/>
      <c r="D512" s="35"/>
    </row>
    <row r="513" spans="1:4" ht="15.75" x14ac:dyDescent="0.25">
      <c r="A513" s="285"/>
      <c r="B513" s="59"/>
      <c r="C513" s="59"/>
      <c r="D513" s="60"/>
    </row>
    <row r="514" spans="1:4" ht="16.5" thickBot="1" x14ac:dyDescent="0.3">
      <c r="A514" s="286"/>
      <c r="B514" s="62"/>
      <c r="C514" s="62"/>
      <c r="D514" s="61"/>
    </row>
    <row r="515" spans="1:4" ht="15.75" x14ac:dyDescent="0.25">
      <c r="A515" s="285"/>
      <c r="B515" s="59"/>
      <c r="C515" s="59"/>
      <c r="D515" s="60"/>
    </row>
    <row r="516" spans="1:4" ht="16.5" thickBot="1" x14ac:dyDescent="0.3">
      <c r="A516" s="286"/>
      <c r="B516" s="62"/>
      <c r="C516" s="62"/>
      <c r="D516" s="61"/>
    </row>
    <row r="517" spans="1:4" ht="16.5" thickBot="1" x14ac:dyDescent="0.3">
      <c r="A517" s="57"/>
      <c r="B517" s="36"/>
      <c r="C517" s="36"/>
      <c r="D517" s="36"/>
    </row>
    <row r="518" spans="1:4" ht="15.75" thickBot="1" x14ac:dyDescent="0.3">
      <c r="A518" s="287"/>
      <c r="B518" s="288"/>
      <c r="C518" s="288"/>
      <c r="D518" s="289"/>
    </row>
    <row r="519" spans="1:4" ht="18.75" x14ac:dyDescent="0.25">
      <c r="A519" s="5"/>
      <c r="B519" s="6"/>
      <c r="C519" s="7"/>
      <c r="D519" s="8"/>
    </row>
    <row r="520" spans="1:4" ht="19.5" thickBot="1" x14ac:dyDescent="0.3">
      <c r="A520" s="9"/>
      <c r="B520" s="10"/>
      <c r="C520" s="10"/>
      <c r="D520" s="11"/>
    </row>
    <row r="521" spans="1:4" ht="21.75" thickBot="1" x14ac:dyDescent="0.3">
      <c r="A521" s="43"/>
      <c r="B521" s="290"/>
      <c r="C521" s="291"/>
      <c r="D521" s="43"/>
    </row>
    <row r="522" spans="1:4" ht="21.75" thickBot="1" x14ac:dyDescent="0.3">
      <c r="A522" s="38"/>
      <c r="B522" s="44"/>
      <c r="C522" s="45"/>
      <c r="D522" s="44"/>
    </row>
    <row r="523" spans="1:4" ht="19.5" thickBot="1" x14ac:dyDescent="0.3">
      <c r="A523" s="19"/>
      <c r="B523" s="20"/>
      <c r="C523" s="63"/>
      <c r="D523" s="14"/>
    </row>
    <row r="524" spans="1:4" ht="19.5" thickBot="1" x14ac:dyDescent="0.3">
      <c r="A524" s="19"/>
      <c r="B524" s="20"/>
      <c r="C524" s="63"/>
      <c r="D524" s="14"/>
    </row>
    <row r="525" spans="1:4" ht="19.5" thickBot="1" x14ac:dyDescent="0.3">
      <c r="A525" s="19"/>
      <c r="B525" s="20"/>
      <c r="C525" s="48"/>
      <c r="D525" s="46"/>
    </row>
    <row r="526" spans="1:4" ht="15.75" thickBot="1" x14ac:dyDescent="0.3">
      <c r="A526" s="32"/>
      <c r="B526" s="33"/>
      <c r="C526" s="32"/>
      <c r="D526" s="34"/>
    </row>
    <row r="527" spans="1:4" ht="15.75" thickBot="1" x14ac:dyDescent="0.3">
      <c r="A527" s="58"/>
      <c r="B527" s="58"/>
      <c r="C527" s="58"/>
      <c r="D527" s="35"/>
    </row>
    <row r="528" spans="1:4" ht="15.75" x14ac:dyDescent="0.25">
      <c r="A528" s="285"/>
      <c r="B528" s="59"/>
      <c r="C528" s="59"/>
      <c r="D528" s="60"/>
    </row>
    <row r="529" spans="1:4" ht="16.5" thickBot="1" x14ac:dyDescent="0.3">
      <c r="A529" s="286"/>
      <c r="B529" s="62"/>
      <c r="C529" s="62"/>
      <c r="D529" s="61"/>
    </row>
    <row r="530" spans="1:4" ht="15.75" x14ac:dyDescent="0.25">
      <c r="A530" s="285"/>
      <c r="B530" s="59"/>
      <c r="C530" s="59"/>
      <c r="D530" s="60"/>
    </row>
    <row r="531" spans="1:4" ht="16.5" thickBot="1" x14ac:dyDescent="0.3">
      <c r="A531" s="286"/>
      <c r="B531" s="62"/>
      <c r="C531" s="62"/>
      <c r="D531" s="61"/>
    </row>
    <row r="532" spans="1:4" ht="16.5" thickBot="1" x14ac:dyDescent="0.3">
      <c r="A532" s="57"/>
      <c r="B532" s="36"/>
      <c r="C532" s="36"/>
      <c r="D532" s="36"/>
    </row>
    <row r="533" spans="1:4" ht="15.75" thickBot="1" x14ac:dyDescent="0.3">
      <c r="A533" s="287"/>
      <c r="B533" s="288"/>
      <c r="C533" s="288"/>
      <c r="D533" s="289"/>
    </row>
    <row r="534" spans="1:4" ht="18.75" x14ac:dyDescent="0.25">
      <c r="A534" s="5"/>
      <c r="B534" s="6"/>
      <c r="C534" s="7"/>
      <c r="D534" s="8"/>
    </row>
    <row r="535" spans="1:4" ht="19.5" thickBot="1" x14ac:dyDescent="0.3">
      <c r="A535" s="9"/>
      <c r="B535" s="10"/>
      <c r="C535" s="10"/>
      <c r="D535" s="11"/>
    </row>
    <row r="536" spans="1:4" ht="21.75" thickBot="1" x14ac:dyDescent="0.3">
      <c r="A536" s="43"/>
      <c r="B536" s="290"/>
      <c r="C536" s="291"/>
      <c r="D536" s="43"/>
    </row>
    <row r="537" spans="1:4" ht="21.75" thickBot="1" x14ac:dyDescent="0.3">
      <c r="A537" s="38"/>
      <c r="B537" s="44"/>
      <c r="C537" s="45"/>
      <c r="D537" s="44"/>
    </row>
    <row r="538" spans="1:4" ht="19.5" thickBot="1" x14ac:dyDescent="0.3">
      <c r="A538" s="19"/>
      <c r="B538" s="20"/>
      <c r="C538" s="63"/>
      <c r="D538" s="14"/>
    </row>
    <row r="539" spans="1:4" ht="19.5" thickBot="1" x14ac:dyDescent="0.3">
      <c r="A539" s="19"/>
      <c r="B539" s="20"/>
      <c r="C539" s="48"/>
      <c r="D539" s="46"/>
    </row>
    <row r="540" spans="1:4" ht="15.75" thickBot="1" x14ac:dyDescent="0.3">
      <c r="A540" s="32"/>
      <c r="B540" s="33"/>
      <c r="C540" s="32"/>
      <c r="D540" s="34"/>
    </row>
    <row r="541" spans="1:4" ht="15.75" thickBot="1" x14ac:dyDescent="0.3">
      <c r="A541" s="58"/>
      <c r="B541" s="58"/>
      <c r="C541" s="58"/>
      <c r="D541" s="35"/>
    </row>
    <row r="542" spans="1:4" ht="15.75" x14ac:dyDescent="0.25">
      <c r="A542" s="285"/>
      <c r="B542" s="59"/>
      <c r="C542" s="59"/>
      <c r="D542" s="60"/>
    </row>
    <row r="543" spans="1:4" ht="16.5" thickBot="1" x14ac:dyDescent="0.3">
      <c r="A543" s="286"/>
      <c r="B543" s="62"/>
      <c r="C543" s="62"/>
      <c r="D543" s="61"/>
    </row>
    <row r="544" spans="1:4" ht="15.75" x14ac:dyDescent="0.25">
      <c r="A544" s="285"/>
      <c r="B544" s="59"/>
      <c r="C544" s="59"/>
      <c r="D544" s="60"/>
    </row>
    <row r="545" spans="1:4" ht="16.5" thickBot="1" x14ac:dyDescent="0.3">
      <c r="A545" s="286"/>
      <c r="B545" s="62"/>
      <c r="C545" s="62"/>
      <c r="D545" s="61"/>
    </row>
    <row r="546" spans="1:4" ht="16.5" thickBot="1" x14ac:dyDescent="0.3">
      <c r="A546" s="57"/>
      <c r="B546" s="36"/>
      <c r="C546" s="36"/>
      <c r="D546" s="36"/>
    </row>
    <row r="547" spans="1:4" ht="15.75" thickBot="1" x14ac:dyDescent="0.3">
      <c r="A547" s="287"/>
      <c r="B547" s="288"/>
      <c r="C547" s="288"/>
      <c r="D547" s="289"/>
    </row>
    <row r="548" spans="1:4" ht="18.75" x14ac:dyDescent="0.25">
      <c r="A548" s="5"/>
      <c r="B548" s="6"/>
      <c r="C548" s="7"/>
      <c r="D548" s="8"/>
    </row>
    <row r="549" spans="1:4" ht="19.5" thickBot="1" x14ac:dyDescent="0.3">
      <c r="A549" s="9"/>
      <c r="B549" s="10"/>
      <c r="C549" s="10"/>
      <c r="D549" s="11"/>
    </row>
    <row r="550" spans="1:4" ht="21.75" thickBot="1" x14ac:dyDescent="0.3">
      <c r="A550" s="43"/>
      <c r="B550" s="290"/>
      <c r="C550" s="291"/>
      <c r="D550" s="43"/>
    </row>
    <row r="551" spans="1:4" ht="21.75" thickBot="1" x14ac:dyDescent="0.3">
      <c r="A551" s="38"/>
      <c r="B551" s="44"/>
      <c r="C551" s="45"/>
      <c r="D551" s="44"/>
    </row>
    <row r="552" spans="1:4" ht="19.5" thickBot="1" x14ac:dyDescent="0.3">
      <c r="A552" s="19"/>
      <c r="B552" s="20"/>
      <c r="C552" s="63"/>
      <c r="D552" s="14"/>
    </row>
    <row r="553" spans="1:4" ht="19.5" thickBot="1" x14ac:dyDescent="0.3">
      <c r="A553" s="19"/>
      <c r="B553" s="20"/>
      <c r="C553" s="63"/>
      <c r="D553" s="14"/>
    </row>
    <row r="554" spans="1:4" ht="19.5" thickBot="1" x14ac:dyDescent="0.3">
      <c r="A554" s="19"/>
      <c r="B554" s="20"/>
      <c r="C554" s="48"/>
      <c r="D554" s="46"/>
    </row>
    <row r="555" spans="1:4" ht="15.75" thickBot="1" x14ac:dyDescent="0.3">
      <c r="A555" s="32"/>
      <c r="B555" s="33"/>
      <c r="C555" s="32"/>
      <c r="D555" s="34"/>
    </row>
    <row r="556" spans="1:4" ht="15.75" thickBot="1" x14ac:dyDescent="0.3">
      <c r="A556" s="58"/>
      <c r="B556" s="58"/>
      <c r="C556" s="58"/>
      <c r="D556" s="35"/>
    </row>
    <row r="557" spans="1:4" ht="15.75" x14ac:dyDescent="0.25">
      <c r="A557" s="285"/>
      <c r="B557" s="59"/>
      <c r="C557" s="59"/>
      <c r="D557" s="60"/>
    </row>
    <row r="558" spans="1:4" ht="16.5" thickBot="1" x14ac:dyDescent="0.3">
      <c r="A558" s="286"/>
      <c r="B558" s="62"/>
      <c r="C558" s="62"/>
      <c r="D558" s="61"/>
    </row>
    <row r="559" spans="1:4" ht="15.75" x14ac:dyDescent="0.25">
      <c r="A559" s="285"/>
      <c r="B559" s="59"/>
      <c r="C559" s="59"/>
      <c r="D559" s="60"/>
    </row>
    <row r="560" spans="1:4" ht="16.5" thickBot="1" x14ac:dyDescent="0.3">
      <c r="A560" s="286"/>
      <c r="B560" s="62"/>
      <c r="C560" s="62"/>
      <c r="D560" s="61"/>
    </row>
    <row r="561" spans="1:4" ht="16.5" thickBot="1" x14ac:dyDescent="0.3">
      <c r="A561" s="57"/>
      <c r="B561" s="36"/>
      <c r="C561" s="36"/>
      <c r="D561" s="36"/>
    </row>
    <row r="562" spans="1:4" ht="15.75" thickBot="1" x14ac:dyDescent="0.3">
      <c r="A562" s="287"/>
      <c r="B562" s="288"/>
      <c r="C562" s="288"/>
      <c r="D562" s="289"/>
    </row>
    <row r="563" spans="1:4" ht="18.75" x14ac:dyDescent="0.25">
      <c r="A563" s="5"/>
      <c r="B563" s="6"/>
      <c r="C563" s="7"/>
      <c r="D563" s="8"/>
    </row>
    <row r="564" spans="1:4" ht="19.5" thickBot="1" x14ac:dyDescent="0.3">
      <c r="A564" s="9"/>
      <c r="B564" s="10"/>
      <c r="C564" s="10"/>
      <c r="D564" s="11"/>
    </row>
    <row r="565" spans="1:4" ht="21.75" thickBot="1" x14ac:dyDescent="0.3">
      <c r="A565" s="43"/>
      <c r="B565" s="290"/>
      <c r="C565" s="291"/>
      <c r="D565" s="43"/>
    </row>
    <row r="566" spans="1:4" ht="21.75" thickBot="1" x14ac:dyDescent="0.3">
      <c r="A566" s="38"/>
      <c r="B566" s="44"/>
      <c r="C566" s="45"/>
      <c r="D566" s="44"/>
    </row>
    <row r="567" spans="1:4" ht="19.5" thickBot="1" x14ac:dyDescent="0.3">
      <c r="A567" s="19"/>
      <c r="B567" s="20"/>
      <c r="C567" s="63"/>
      <c r="D567" s="14"/>
    </row>
    <row r="568" spans="1:4" ht="19.5" thickBot="1" x14ac:dyDescent="0.3">
      <c r="A568" s="19"/>
      <c r="B568" s="20"/>
      <c r="C568" s="48"/>
      <c r="D568" s="46"/>
    </row>
    <row r="569" spans="1:4" ht="15.75" thickBot="1" x14ac:dyDescent="0.3">
      <c r="A569" s="32"/>
      <c r="B569" s="33"/>
      <c r="C569" s="32"/>
      <c r="D569" s="34"/>
    </row>
    <row r="570" spans="1:4" ht="15.75" thickBot="1" x14ac:dyDescent="0.3">
      <c r="A570" s="58"/>
      <c r="B570" s="58"/>
      <c r="C570" s="58"/>
      <c r="D570" s="35"/>
    </row>
    <row r="571" spans="1:4" ht="15.75" x14ac:dyDescent="0.25">
      <c r="A571" s="285"/>
      <c r="B571" s="59"/>
      <c r="C571" s="59"/>
      <c r="D571" s="60"/>
    </row>
    <row r="572" spans="1:4" ht="16.5" thickBot="1" x14ac:dyDescent="0.3">
      <c r="A572" s="286"/>
      <c r="B572" s="62"/>
      <c r="C572" s="62"/>
      <c r="D572" s="61"/>
    </row>
    <row r="573" spans="1:4" ht="15.75" x14ac:dyDescent="0.25">
      <c r="A573" s="285"/>
      <c r="B573" s="59"/>
      <c r="C573" s="59"/>
      <c r="D573" s="60"/>
    </row>
    <row r="574" spans="1:4" ht="16.5" thickBot="1" x14ac:dyDescent="0.3">
      <c r="A574" s="286"/>
      <c r="B574" s="62"/>
      <c r="C574" s="62"/>
      <c r="D574" s="61"/>
    </row>
    <row r="575" spans="1:4" ht="16.5" thickBot="1" x14ac:dyDescent="0.3">
      <c r="A575" s="57"/>
      <c r="B575" s="36"/>
      <c r="C575" s="36"/>
      <c r="D575" s="36"/>
    </row>
    <row r="576" spans="1:4" ht="15.75" thickBot="1" x14ac:dyDescent="0.3">
      <c r="A576" s="287"/>
      <c r="B576" s="288"/>
      <c r="C576" s="288"/>
      <c r="D576" s="289"/>
    </row>
    <row r="577" spans="1:4" ht="18.75" x14ac:dyDescent="0.25">
      <c r="A577" s="5"/>
      <c r="B577" s="6"/>
      <c r="C577" s="7"/>
      <c r="D577" s="8"/>
    </row>
    <row r="578" spans="1:4" ht="19.5" thickBot="1" x14ac:dyDescent="0.3">
      <c r="A578" s="9"/>
      <c r="B578" s="10"/>
      <c r="C578" s="10"/>
      <c r="D578" s="11"/>
    </row>
    <row r="579" spans="1:4" ht="21.75" thickBot="1" x14ac:dyDescent="0.3">
      <c r="A579" s="43"/>
      <c r="B579" s="290"/>
      <c r="C579" s="291"/>
      <c r="D579" s="43"/>
    </row>
    <row r="580" spans="1:4" ht="21.75" thickBot="1" x14ac:dyDescent="0.3">
      <c r="A580" s="38"/>
      <c r="B580" s="44"/>
      <c r="C580" s="45"/>
      <c r="D580" s="44"/>
    </row>
    <row r="581" spans="1:4" ht="19.5" thickBot="1" x14ac:dyDescent="0.3">
      <c r="A581" s="19"/>
      <c r="B581" s="20"/>
      <c r="C581" s="63"/>
      <c r="D581" s="14"/>
    </row>
    <row r="582" spans="1:4" ht="19.5" thickBot="1" x14ac:dyDescent="0.3">
      <c r="A582" s="19"/>
      <c r="B582" s="20"/>
      <c r="C582" s="63"/>
      <c r="D582" s="14"/>
    </row>
    <row r="583" spans="1:4" ht="19.5" thickBot="1" x14ac:dyDescent="0.3">
      <c r="A583" s="19"/>
      <c r="B583" s="20"/>
      <c r="C583" s="48"/>
      <c r="D583" s="46"/>
    </row>
    <row r="584" spans="1:4" ht="15.75" thickBot="1" x14ac:dyDescent="0.3">
      <c r="A584" s="32"/>
      <c r="B584" s="33"/>
      <c r="C584" s="32"/>
      <c r="D584" s="34"/>
    </row>
    <row r="585" spans="1:4" ht="15.75" thickBot="1" x14ac:dyDescent="0.3">
      <c r="A585" s="58"/>
      <c r="B585" s="58"/>
      <c r="C585" s="58"/>
      <c r="D585" s="35"/>
    </row>
    <row r="586" spans="1:4" ht="15.75" x14ac:dyDescent="0.25">
      <c r="A586" s="285"/>
      <c r="B586" s="59"/>
      <c r="C586" s="59"/>
      <c r="D586" s="60"/>
    </row>
    <row r="587" spans="1:4" ht="16.5" thickBot="1" x14ac:dyDescent="0.3">
      <c r="A587" s="286"/>
      <c r="B587" s="62"/>
      <c r="C587" s="62"/>
      <c r="D587" s="61"/>
    </row>
    <row r="588" spans="1:4" ht="15.75" x14ac:dyDescent="0.25">
      <c r="A588" s="285"/>
      <c r="B588" s="59"/>
      <c r="C588" s="59"/>
      <c r="D588" s="60"/>
    </row>
    <row r="589" spans="1:4" ht="16.5" thickBot="1" x14ac:dyDescent="0.3">
      <c r="A589" s="286"/>
      <c r="B589" s="62"/>
      <c r="C589" s="62"/>
      <c r="D589" s="61"/>
    </row>
    <row r="590" spans="1:4" ht="16.5" thickBot="1" x14ac:dyDescent="0.3">
      <c r="A590" s="57"/>
      <c r="B590" s="36"/>
      <c r="C590" s="36"/>
      <c r="D590" s="36"/>
    </row>
    <row r="591" spans="1:4" ht="15.75" thickBot="1" x14ac:dyDescent="0.3">
      <c r="A591" s="287"/>
      <c r="B591" s="288"/>
      <c r="C591" s="288"/>
      <c r="D591" s="289"/>
    </row>
    <row r="592" spans="1:4" ht="18.75" x14ac:dyDescent="0.25">
      <c r="A592" s="5"/>
      <c r="B592" s="6"/>
      <c r="C592" s="7"/>
      <c r="D592" s="8"/>
    </row>
    <row r="593" spans="1:4" ht="19.5" thickBot="1" x14ac:dyDescent="0.3">
      <c r="A593" s="9"/>
      <c r="B593" s="10"/>
      <c r="C593" s="10"/>
      <c r="D593" s="11"/>
    </row>
    <row r="594" spans="1:4" ht="21.75" thickBot="1" x14ac:dyDescent="0.3">
      <c r="A594" s="43"/>
      <c r="B594" s="290"/>
      <c r="C594" s="291"/>
      <c r="D594" s="43"/>
    </row>
    <row r="595" spans="1:4" ht="21.75" thickBot="1" x14ac:dyDescent="0.3">
      <c r="A595" s="38"/>
      <c r="B595" s="44"/>
      <c r="C595" s="45"/>
      <c r="D595" s="44"/>
    </row>
    <row r="596" spans="1:4" ht="19.5" thickBot="1" x14ac:dyDescent="0.3">
      <c r="A596" s="19"/>
      <c r="B596" s="20"/>
      <c r="C596" s="63"/>
      <c r="D596" s="14"/>
    </row>
    <row r="597" spans="1:4" ht="19.5" thickBot="1" x14ac:dyDescent="0.3">
      <c r="A597" s="19"/>
      <c r="B597" s="20"/>
      <c r="C597" s="48"/>
      <c r="D597" s="46"/>
    </row>
    <row r="598" spans="1:4" ht="15.75" thickBot="1" x14ac:dyDescent="0.3">
      <c r="A598" s="32"/>
      <c r="B598" s="33"/>
      <c r="C598" s="32"/>
      <c r="D598" s="34"/>
    </row>
    <row r="599" spans="1:4" ht="15.75" thickBot="1" x14ac:dyDescent="0.3">
      <c r="A599" s="58"/>
      <c r="B599" s="58"/>
      <c r="C599" s="58"/>
      <c r="D599" s="35"/>
    </row>
    <row r="600" spans="1:4" ht="15.75" x14ac:dyDescent="0.25">
      <c r="A600" s="285"/>
      <c r="B600" s="59"/>
      <c r="C600" s="59"/>
      <c r="D600" s="60"/>
    </row>
    <row r="601" spans="1:4" ht="16.5" thickBot="1" x14ac:dyDescent="0.3">
      <c r="A601" s="286"/>
      <c r="B601" s="62"/>
      <c r="C601" s="62"/>
      <c r="D601" s="61"/>
    </row>
    <row r="602" spans="1:4" ht="15.75" x14ac:dyDescent="0.25">
      <c r="A602" s="285"/>
      <c r="B602" s="59"/>
      <c r="C602" s="59"/>
      <c r="D602" s="60"/>
    </row>
    <row r="603" spans="1:4" ht="16.5" thickBot="1" x14ac:dyDescent="0.3">
      <c r="A603" s="286"/>
      <c r="B603" s="62"/>
      <c r="C603" s="62"/>
      <c r="D603" s="61"/>
    </row>
    <row r="604" spans="1:4" ht="16.5" thickBot="1" x14ac:dyDescent="0.3">
      <c r="A604" s="57"/>
      <c r="B604" s="36"/>
      <c r="C604" s="36"/>
      <c r="D604" s="36"/>
    </row>
    <row r="605" spans="1:4" ht="15.75" thickBot="1" x14ac:dyDescent="0.3">
      <c r="A605" s="287"/>
      <c r="B605" s="288"/>
      <c r="C605" s="288"/>
      <c r="D605" s="289"/>
    </row>
    <row r="606" spans="1:4" ht="18.75" x14ac:dyDescent="0.25">
      <c r="A606" s="5"/>
      <c r="B606" s="6"/>
      <c r="C606" s="7"/>
      <c r="D606" s="8"/>
    </row>
    <row r="607" spans="1:4" ht="19.5" thickBot="1" x14ac:dyDescent="0.3">
      <c r="A607" s="9"/>
      <c r="B607" s="10"/>
      <c r="C607" s="10"/>
      <c r="D607" s="11"/>
    </row>
    <row r="608" spans="1:4" ht="21.75" thickBot="1" x14ac:dyDescent="0.3">
      <c r="A608" s="43"/>
      <c r="B608" s="290"/>
      <c r="C608" s="291"/>
      <c r="D608" s="43"/>
    </row>
    <row r="609" spans="1:4" ht="21.75" thickBot="1" x14ac:dyDescent="0.3">
      <c r="A609" s="38"/>
      <c r="B609" s="44"/>
      <c r="C609" s="45"/>
      <c r="D609" s="44"/>
    </row>
    <row r="610" spans="1:4" ht="19.5" thickBot="1" x14ac:dyDescent="0.3">
      <c r="A610" s="19"/>
      <c r="B610" s="20"/>
      <c r="C610" s="63"/>
      <c r="D610" s="14"/>
    </row>
    <row r="611" spans="1:4" ht="19.5" thickBot="1" x14ac:dyDescent="0.3">
      <c r="A611" s="19"/>
      <c r="B611" s="20"/>
      <c r="C611" s="63"/>
      <c r="D611" s="14"/>
    </row>
    <row r="612" spans="1:4" ht="19.5" thickBot="1" x14ac:dyDescent="0.3">
      <c r="A612" s="19"/>
      <c r="B612" s="20"/>
      <c r="C612" s="48"/>
      <c r="D612" s="46"/>
    </row>
    <row r="613" spans="1:4" ht="15.75" thickBot="1" x14ac:dyDescent="0.3">
      <c r="A613" s="32"/>
      <c r="B613" s="33"/>
      <c r="C613" s="32"/>
      <c r="D613" s="34"/>
    </row>
    <row r="614" spans="1:4" ht="15.75" thickBot="1" x14ac:dyDescent="0.3">
      <c r="A614" s="58"/>
      <c r="B614" s="58"/>
      <c r="C614" s="58"/>
      <c r="D614" s="35"/>
    </row>
    <row r="615" spans="1:4" ht="15.75" x14ac:dyDescent="0.25">
      <c r="A615" s="285"/>
      <c r="B615" s="59"/>
      <c r="C615" s="59"/>
      <c r="D615" s="60"/>
    </row>
    <row r="616" spans="1:4" ht="16.5" thickBot="1" x14ac:dyDescent="0.3">
      <c r="A616" s="286"/>
      <c r="B616" s="62"/>
      <c r="C616" s="62"/>
      <c r="D616" s="61"/>
    </row>
    <row r="617" spans="1:4" ht="15.75" x14ac:dyDescent="0.25">
      <c r="A617" s="285"/>
      <c r="B617" s="59"/>
      <c r="C617" s="59"/>
      <c r="D617" s="60"/>
    </row>
    <row r="618" spans="1:4" ht="16.5" thickBot="1" x14ac:dyDescent="0.3">
      <c r="A618" s="286"/>
      <c r="B618" s="62"/>
      <c r="C618" s="62"/>
      <c r="D618" s="61"/>
    </row>
    <row r="619" spans="1:4" ht="16.5" thickBot="1" x14ac:dyDescent="0.3">
      <c r="A619" s="57"/>
      <c r="B619" s="36"/>
      <c r="C619" s="36"/>
      <c r="D619" s="36"/>
    </row>
    <row r="620" spans="1:4" ht="15.75" thickBot="1" x14ac:dyDescent="0.3">
      <c r="A620" s="287"/>
      <c r="B620" s="288"/>
      <c r="C620" s="288"/>
      <c r="D620" s="289"/>
    </row>
    <row r="621" spans="1:4" ht="18.75" x14ac:dyDescent="0.25">
      <c r="A621" s="5"/>
      <c r="B621" s="6"/>
      <c r="C621" s="7"/>
      <c r="D621" s="8"/>
    </row>
    <row r="622" spans="1:4" ht="19.5" thickBot="1" x14ac:dyDescent="0.3">
      <c r="A622" s="9"/>
      <c r="B622" s="10"/>
      <c r="C622" s="10"/>
      <c r="D622" s="11"/>
    </row>
    <row r="623" spans="1:4" ht="21.75" thickBot="1" x14ac:dyDescent="0.3">
      <c r="A623" s="43"/>
      <c r="B623" s="290"/>
      <c r="C623" s="291"/>
      <c r="D623" s="43"/>
    </row>
    <row r="624" spans="1:4" ht="21.75" thickBot="1" x14ac:dyDescent="0.3">
      <c r="A624" s="38"/>
      <c r="B624" s="44"/>
      <c r="C624" s="45"/>
      <c r="D624" s="44"/>
    </row>
    <row r="625" spans="1:4" ht="19.5" thickBot="1" x14ac:dyDescent="0.3">
      <c r="A625" s="19"/>
      <c r="B625" s="20"/>
      <c r="C625" s="63"/>
      <c r="D625" s="14"/>
    </row>
    <row r="626" spans="1:4" ht="19.5" thickBot="1" x14ac:dyDescent="0.3">
      <c r="A626" s="19"/>
      <c r="B626" s="20"/>
      <c r="C626" s="48"/>
      <c r="D626" s="46"/>
    </row>
    <row r="627" spans="1:4" ht="15.75" thickBot="1" x14ac:dyDescent="0.3">
      <c r="A627" s="32"/>
      <c r="B627" s="33"/>
      <c r="C627" s="32"/>
      <c r="D627" s="34"/>
    </row>
    <row r="628" spans="1:4" ht="15.75" thickBot="1" x14ac:dyDescent="0.3">
      <c r="A628" s="58"/>
      <c r="B628" s="58"/>
      <c r="C628" s="58"/>
      <c r="D628" s="35"/>
    </row>
    <row r="629" spans="1:4" ht="15.75" x14ac:dyDescent="0.25">
      <c r="A629" s="285"/>
      <c r="B629" s="59"/>
      <c r="C629" s="59"/>
      <c r="D629" s="60"/>
    </row>
    <row r="630" spans="1:4" ht="16.5" thickBot="1" x14ac:dyDescent="0.3">
      <c r="A630" s="286"/>
      <c r="B630" s="62"/>
      <c r="C630" s="62"/>
      <c r="D630" s="61"/>
    </row>
    <row r="631" spans="1:4" ht="15.75" x14ac:dyDescent="0.25">
      <c r="A631" s="285"/>
      <c r="B631" s="59"/>
      <c r="C631" s="59"/>
      <c r="D631" s="60"/>
    </row>
    <row r="632" spans="1:4" ht="16.5" thickBot="1" x14ac:dyDescent="0.3">
      <c r="A632" s="286"/>
      <c r="B632" s="62"/>
      <c r="C632" s="62"/>
      <c r="D632" s="61"/>
    </row>
    <row r="633" spans="1:4" ht="16.5" thickBot="1" x14ac:dyDescent="0.3">
      <c r="A633" s="57"/>
      <c r="B633" s="36"/>
      <c r="C633" s="36"/>
      <c r="D633" s="36"/>
    </row>
    <row r="634" spans="1:4" ht="15.75" thickBot="1" x14ac:dyDescent="0.3">
      <c r="A634" s="287"/>
      <c r="B634" s="288"/>
      <c r="C634" s="288"/>
      <c r="D634" s="289"/>
    </row>
    <row r="635" spans="1:4" ht="18.75" x14ac:dyDescent="0.25">
      <c r="A635" s="5"/>
      <c r="B635" s="6"/>
      <c r="C635" s="7"/>
      <c r="D635" s="8"/>
    </row>
    <row r="636" spans="1:4" ht="19.5" thickBot="1" x14ac:dyDescent="0.3">
      <c r="A636" s="9"/>
      <c r="B636" s="10"/>
      <c r="C636" s="10"/>
      <c r="D636" s="11"/>
    </row>
    <row r="637" spans="1:4" ht="21.75" thickBot="1" x14ac:dyDescent="0.3">
      <c r="A637" s="43"/>
      <c r="B637" s="290"/>
      <c r="C637" s="291"/>
      <c r="D637" s="43"/>
    </row>
    <row r="638" spans="1:4" ht="21.75" thickBot="1" x14ac:dyDescent="0.3">
      <c r="A638" s="38"/>
      <c r="B638" s="44"/>
      <c r="C638" s="45"/>
      <c r="D638" s="44"/>
    </row>
    <row r="639" spans="1:4" ht="19.5" thickBot="1" x14ac:dyDescent="0.3">
      <c r="A639" s="19"/>
      <c r="B639" s="20"/>
      <c r="C639" s="63"/>
      <c r="D639" s="14"/>
    </row>
    <row r="640" spans="1:4" ht="19.5" thickBot="1" x14ac:dyDescent="0.3">
      <c r="A640" s="19"/>
      <c r="B640" s="20"/>
      <c r="C640" s="63"/>
      <c r="D640" s="14"/>
    </row>
    <row r="641" spans="1:4" ht="19.5" thickBot="1" x14ac:dyDescent="0.3">
      <c r="A641" s="19"/>
      <c r="B641" s="20"/>
      <c r="C641" s="48"/>
      <c r="D641" s="46"/>
    </row>
    <row r="642" spans="1:4" ht="15.75" thickBot="1" x14ac:dyDescent="0.3">
      <c r="A642" s="32"/>
      <c r="B642" s="33"/>
      <c r="C642" s="32"/>
      <c r="D642" s="34"/>
    </row>
    <row r="643" spans="1:4" ht="15.75" thickBot="1" x14ac:dyDescent="0.3">
      <c r="A643" s="58"/>
      <c r="B643" s="58"/>
      <c r="C643" s="58"/>
      <c r="D643" s="35"/>
    </row>
    <row r="644" spans="1:4" ht="15.75" x14ac:dyDescent="0.25">
      <c r="A644" s="285"/>
      <c r="B644" s="59"/>
      <c r="C644" s="59"/>
      <c r="D644" s="60"/>
    </row>
    <row r="645" spans="1:4" ht="16.5" thickBot="1" x14ac:dyDescent="0.3">
      <c r="A645" s="286"/>
      <c r="B645" s="62"/>
      <c r="C645" s="62"/>
      <c r="D645" s="61"/>
    </row>
    <row r="646" spans="1:4" ht="15.75" x14ac:dyDescent="0.25">
      <c r="A646" s="285"/>
      <c r="B646" s="59"/>
      <c r="C646" s="59"/>
      <c r="D646" s="60"/>
    </row>
    <row r="647" spans="1:4" ht="16.5" thickBot="1" x14ac:dyDescent="0.3">
      <c r="A647" s="286"/>
      <c r="B647" s="62"/>
      <c r="C647" s="62"/>
      <c r="D647" s="61"/>
    </row>
    <row r="648" spans="1:4" ht="16.5" thickBot="1" x14ac:dyDescent="0.3">
      <c r="A648" s="57"/>
      <c r="B648" s="36"/>
      <c r="C648" s="36"/>
      <c r="D648" s="36"/>
    </row>
    <row r="649" spans="1:4" ht="15.75" thickBot="1" x14ac:dyDescent="0.3">
      <c r="A649" s="287"/>
      <c r="B649" s="288"/>
      <c r="C649" s="288"/>
      <c r="D649" s="289"/>
    </row>
    <row r="650" spans="1:4" ht="18.75" x14ac:dyDescent="0.25">
      <c r="A650" s="5"/>
      <c r="B650" s="6"/>
      <c r="C650" s="7"/>
      <c r="D650" s="8"/>
    </row>
    <row r="651" spans="1:4" ht="19.5" thickBot="1" x14ac:dyDescent="0.3">
      <c r="A651" s="9"/>
      <c r="B651" s="10"/>
      <c r="C651" s="10"/>
      <c r="D651" s="11"/>
    </row>
    <row r="652" spans="1:4" ht="21.75" thickBot="1" x14ac:dyDescent="0.3">
      <c r="A652" s="43"/>
      <c r="B652" s="290"/>
      <c r="C652" s="291"/>
      <c r="D652" s="43"/>
    </row>
    <row r="653" spans="1:4" ht="21.75" thickBot="1" x14ac:dyDescent="0.3">
      <c r="A653" s="38"/>
      <c r="B653" s="44"/>
      <c r="C653" s="45"/>
      <c r="D653" s="44"/>
    </row>
    <row r="654" spans="1:4" ht="19.5" thickBot="1" x14ac:dyDescent="0.3">
      <c r="A654" s="19"/>
      <c r="B654" s="20"/>
      <c r="C654" s="63"/>
      <c r="D654" s="14"/>
    </row>
    <row r="655" spans="1:4" ht="19.5" thickBot="1" x14ac:dyDescent="0.3">
      <c r="A655" s="19"/>
      <c r="B655" s="20"/>
      <c r="C655" s="48"/>
      <c r="D655" s="46"/>
    </row>
    <row r="656" spans="1:4" ht="15.75" thickBot="1" x14ac:dyDescent="0.3">
      <c r="A656" s="32"/>
      <c r="B656" s="33"/>
      <c r="C656" s="32"/>
      <c r="D656" s="34"/>
    </row>
    <row r="657" spans="1:4" ht="15.75" thickBot="1" x14ac:dyDescent="0.3">
      <c r="A657" s="58"/>
      <c r="B657" s="58"/>
      <c r="C657" s="58"/>
      <c r="D657" s="35"/>
    </row>
    <row r="658" spans="1:4" ht="15.75" x14ac:dyDescent="0.25">
      <c r="A658" s="285"/>
      <c r="B658" s="59"/>
      <c r="C658" s="59"/>
      <c r="D658" s="60"/>
    </row>
    <row r="659" spans="1:4" ht="16.5" thickBot="1" x14ac:dyDescent="0.3">
      <c r="A659" s="286"/>
      <c r="B659" s="62"/>
      <c r="C659" s="62"/>
      <c r="D659" s="61"/>
    </row>
    <row r="660" spans="1:4" ht="15.75" x14ac:dyDescent="0.25">
      <c r="A660" s="285"/>
      <c r="B660" s="59"/>
      <c r="C660" s="59"/>
      <c r="D660" s="60"/>
    </row>
    <row r="661" spans="1:4" ht="16.5" thickBot="1" x14ac:dyDescent="0.3">
      <c r="A661" s="286"/>
      <c r="B661" s="62"/>
      <c r="C661" s="62"/>
      <c r="D661" s="61"/>
    </row>
    <row r="662" spans="1:4" ht="16.5" thickBot="1" x14ac:dyDescent="0.3">
      <c r="A662" s="57"/>
      <c r="B662" s="36"/>
      <c r="C662" s="36"/>
      <c r="D662" s="36"/>
    </row>
    <row r="663" spans="1:4" ht="15.75" thickBot="1" x14ac:dyDescent="0.3">
      <c r="A663" s="287"/>
      <c r="B663" s="288"/>
      <c r="C663" s="288"/>
      <c r="D663" s="289"/>
    </row>
    <row r="664" spans="1:4" ht="18.75" x14ac:dyDescent="0.25">
      <c r="A664" s="5"/>
      <c r="B664" s="6"/>
      <c r="C664" s="7"/>
      <c r="D664" s="8"/>
    </row>
    <row r="665" spans="1:4" ht="19.5" thickBot="1" x14ac:dyDescent="0.3">
      <c r="A665" s="9"/>
      <c r="B665" s="10"/>
      <c r="C665" s="10"/>
      <c r="D665" s="11"/>
    </row>
    <row r="666" spans="1:4" ht="21.75" thickBot="1" x14ac:dyDescent="0.3">
      <c r="A666" s="43"/>
      <c r="B666" s="290"/>
      <c r="C666" s="291"/>
      <c r="D666" s="43"/>
    </row>
    <row r="667" spans="1:4" ht="21.75" thickBot="1" x14ac:dyDescent="0.3">
      <c r="A667" s="38"/>
      <c r="B667" s="44"/>
      <c r="C667" s="45"/>
      <c r="D667" s="44"/>
    </row>
    <row r="668" spans="1:4" ht="19.5" thickBot="1" x14ac:dyDescent="0.3">
      <c r="A668" s="19"/>
      <c r="B668" s="20"/>
      <c r="C668" s="63"/>
      <c r="D668" s="14"/>
    </row>
    <row r="669" spans="1:4" ht="19.5" thickBot="1" x14ac:dyDescent="0.3">
      <c r="A669" s="19"/>
      <c r="B669" s="20"/>
      <c r="C669" s="63"/>
      <c r="D669" s="14"/>
    </row>
    <row r="670" spans="1:4" ht="19.5" thickBot="1" x14ac:dyDescent="0.3">
      <c r="A670" s="19"/>
      <c r="B670" s="20"/>
      <c r="C670" s="48"/>
      <c r="D670" s="46"/>
    </row>
    <row r="671" spans="1:4" ht="15.75" thickBot="1" x14ac:dyDescent="0.3">
      <c r="A671" s="32"/>
      <c r="B671" s="33"/>
      <c r="C671" s="32"/>
      <c r="D671" s="34"/>
    </row>
    <row r="672" spans="1:4" ht="15.75" thickBot="1" x14ac:dyDescent="0.3">
      <c r="A672" s="58"/>
      <c r="B672" s="58"/>
      <c r="C672" s="58"/>
      <c r="D672" s="35"/>
    </row>
    <row r="673" spans="1:4" ht="15.75" x14ac:dyDescent="0.25">
      <c r="A673" s="285"/>
      <c r="B673" s="59"/>
      <c r="C673" s="59"/>
      <c r="D673" s="60"/>
    </row>
    <row r="674" spans="1:4" ht="16.5" thickBot="1" x14ac:dyDescent="0.3">
      <c r="A674" s="286"/>
      <c r="B674" s="62"/>
      <c r="C674" s="62"/>
      <c r="D674" s="61"/>
    </row>
    <row r="675" spans="1:4" ht="15.75" x14ac:dyDescent="0.25">
      <c r="A675" s="285"/>
      <c r="B675" s="59"/>
      <c r="C675" s="59"/>
      <c r="D675" s="60"/>
    </row>
    <row r="676" spans="1:4" ht="16.5" thickBot="1" x14ac:dyDescent="0.3">
      <c r="A676" s="286"/>
      <c r="B676" s="62"/>
      <c r="C676" s="62"/>
      <c r="D676" s="61"/>
    </row>
    <row r="677" spans="1:4" ht="16.5" thickBot="1" x14ac:dyDescent="0.3">
      <c r="A677" s="57"/>
      <c r="B677" s="36"/>
      <c r="C677" s="36"/>
      <c r="D677" s="36"/>
    </row>
    <row r="678" spans="1:4" ht="15.75" thickBot="1" x14ac:dyDescent="0.3">
      <c r="A678" s="287"/>
      <c r="B678" s="288"/>
      <c r="C678" s="288"/>
      <c r="D678" s="289"/>
    </row>
    <row r="679" spans="1:4" ht="18.75" x14ac:dyDescent="0.25">
      <c r="A679" s="5"/>
      <c r="B679" s="6"/>
      <c r="C679" s="7"/>
      <c r="D679" s="8"/>
    </row>
    <row r="680" spans="1:4" ht="19.5" thickBot="1" x14ac:dyDescent="0.3">
      <c r="A680" s="9"/>
      <c r="B680" s="10"/>
      <c r="C680" s="10"/>
      <c r="D680" s="11"/>
    </row>
    <row r="681" spans="1:4" ht="21.75" thickBot="1" x14ac:dyDescent="0.3">
      <c r="A681" s="43"/>
      <c r="B681" s="290"/>
      <c r="C681" s="291"/>
      <c r="D681" s="43"/>
    </row>
    <row r="682" spans="1:4" ht="21.75" thickBot="1" x14ac:dyDescent="0.3">
      <c r="A682" s="38"/>
      <c r="B682" s="44"/>
      <c r="C682" s="45"/>
      <c r="D682" s="44"/>
    </row>
    <row r="683" spans="1:4" ht="19.5" thickBot="1" x14ac:dyDescent="0.3">
      <c r="A683" s="19"/>
      <c r="B683" s="20"/>
      <c r="C683" s="63"/>
      <c r="D683" s="14"/>
    </row>
    <row r="684" spans="1:4" ht="19.5" thickBot="1" x14ac:dyDescent="0.3">
      <c r="A684" s="19"/>
      <c r="B684" s="20"/>
      <c r="C684" s="48"/>
      <c r="D684" s="46"/>
    </row>
    <row r="685" spans="1:4" ht="15.75" thickBot="1" x14ac:dyDescent="0.3">
      <c r="A685" s="32"/>
      <c r="B685" s="33"/>
      <c r="C685" s="32"/>
      <c r="D685" s="34"/>
    </row>
    <row r="686" spans="1:4" ht="15.75" thickBot="1" x14ac:dyDescent="0.3">
      <c r="A686" s="58"/>
      <c r="B686" s="58"/>
      <c r="C686" s="58"/>
      <c r="D686" s="35"/>
    </row>
    <row r="687" spans="1:4" ht="15.75" x14ac:dyDescent="0.25">
      <c r="A687" s="285"/>
      <c r="B687" s="59"/>
      <c r="C687" s="59"/>
      <c r="D687" s="60"/>
    </row>
    <row r="688" spans="1:4" ht="16.5" thickBot="1" x14ac:dyDescent="0.3">
      <c r="A688" s="286"/>
      <c r="B688" s="62"/>
      <c r="C688" s="62"/>
      <c r="D688" s="61"/>
    </row>
    <row r="689" spans="1:4" ht="15.75" x14ac:dyDescent="0.25">
      <c r="A689" s="285"/>
      <c r="B689" s="59"/>
      <c r="C689" s="59"/>
      <c r="D689" s="60"/>
    </row>
    <row r="690" spans="1:4" ht="16.5" thickBot="1" x14ac:dyDescent="0.3">
      <c r="A690" s="286"/>
      <c r="B690" s="62"/>
      <c r="C690" s="62"/>
      <c r="D690" s="61"/>
    </row>
    <row r="691" spans="1:4" ht="16.5" thickBot="1" x14ac:dyDescent="0.3">
      <c r="A691" s="57"/>
      <c r="B691" s="36"/>
      <c r="C691" s="36"/>
      <c r="D691" s="36"/>
    </row>
    <row r="692" spans="1:4" ht="15.75" thickBot="1" x14ac:dyDescent="0.3">
      <c r="A692" s="287"/>
      <c r="B692" s="288"/>
      <c r="C692" s="288"/>
      <c r="D692" s="289"/>
    </row>
    <row r="693" spans="1:4" ht="18.75" x14ac:dyDescent="0.25">
      <c r="A693" s="5"/>
      <c r="B693" s="6"/>
      <c r="C693" s="7"/>
      <c r="D693" s="8"/>
    </row>
    <row r="694" spans="1:4" ht="19.5" thickBot="1" x14ac:dyDescent="0.3">
      <c r="A694" s="9"/>
      <c r="B694" s="10"/>
      <c r="C694" s="10"/>
      <c r="D694" s="11"/>
    </row>
    <row r="695" spans="1:4" ht="21.75" thickBot="1" x14ac:dyDescent="0.3">
      <c r="A695" s="43"/>
      <c r="B695" s="290"/>
      <c r="C695" s="291"/>
      <c r="D695" s="43"/>
    </row>
    <row r="696" spans="1:4" ht="21.75" thickBot="1" x14ac:dyDescent="0.3">
      <c r="A696" s="38"/>
      <c r="B696" s="44"/>
      <c r="C696" s="45"/>
      <c r="D696" s="44"/>
    </row>
    <row r="697" spans="1:4" ht="19.5" thickBot="1" x14ac:dyDescent="0.3">
      <c r="A697" s="19"/>
      <c r="B697" s="20"/>
      <c r="C697" s="63"/>
      <c r="D697" s="14"/>
    </row>
    <row r="698" spans="1:4" ht="19.5" thickBot="1" x14ac:dyDescent="0.3">
      <c r="A698" s="19"/>
      <c r="B698" s="20"/>
      <c r="C698" s="63"/>
      <c r="D698" s="14"/>
    </row>
    <row r="699" spans="1:4" ht="19.5" thickBot="1" x14ac:dyDescent="0.3">
      <c r="A699" s="19"/>
      <c r="B699" s="20"/>
      <c r="C699" s="48"/>
      <c r="D699" s="46"/>
    </row>
    <row r="700" spans="1:4" ht="15.75" thickBot="1" x14ac:dyDescent="0.3">
      <c r="A700" s="32"/>
      <c r="B700" s="33"/>
      <c r="C700" s="32"/>
      <c r="D700" s="34"/>
    </row>
    <row r="701" spans="1:4" ht="15.75" thickBot="1" x14ac:dyDescent="0.3">
      <c r="A701" s="58"/>
      <c r="B701" s="58"/>
      <c r="C701" s="58"/>
      <c r="D701" s="35"/>
    </row>
    <row r="702" spans="1:4" ht="15.75" x14ac:dyDescent="0.25">
      <c r="A702" s="285"/>
      <c r="B702" s="59"/>
      <c r="C702" s="59"/>
      <c r="D702" s="60"/>
    </row>
    <row r="703" spans="1:4" ht="16.5" thickBot="1" x14ac:dyDescent="0.3">
      <c r="A703" s="286"/>
      <c r="B703" s="62"/>
      <c r="C703" s="62"/>
      <c r="D703" s="61"/>
    </row>
    <row r="704" spans="1:4" ht="15.75" x14ac:dyDescent="0.25">
      <c r="A704" s="285"/>
      <c r="B704" s="59"/>
      <c r="C704" s="59"/>
      <c r="D704" s="60"/>
    </row>
    <row r="705" spans="1:4" ht="16.5" thickBot="1" x14ac:dyDescent="0.3">
      <c r="A705" s="286"/>
      <c r="B705" s="62"/>
      <c r="C705" s="62"/>
      <c r="D705" s="61"/>
    </row>
    <row r="706" spans="1:4" ht="16.5" thickBot="1" x14ac:dyDescent="0.3">
      <c r="A706" s="57"/>
      <c r="B706" s="36"/>
      <c r="C706" s="36"/>
      <c r="D706" s="36"/>
    </row>
    <row r="707" spans="1:4" ht="15.75" thickBot="1" x14ac:dyDescent="0.3">
      <c r="A707" s="287"/>
      <c r="B707" s="288"/>
      <c r="C707" s="288"/>
      <c r="D707" s="289"/>
    </row>
    <row r="708" spans="1:4" ht="18.75" x14ac:dyDescent="0.25">
      <c r="A708" s="5"/>
      <c r="B708" s="6"/>
      <c r="C708" s="7"/>
      <c r="D708" s="8"/>
    </row>
    <row r="709" spans="1:4" ht="19.5" thickBot="1" x14ac:dyDescent="0.3">
      <c r="A709" s="9"/>
      <c r="B709" s="10"/>
      <c r="C709" s="10"/>
      <c r="D709" s="11"/>
    </row>
    <row r="710" spans="1:4" ht="21.75" thickBot="1" x14ac:dyDescent="0.3">
      <c r="A710" s="43"/>
      <c r="B710" s="290"/>
      <c r="C710" s="291"/>
      <c r="D710" s="43"/>
    </row>
    <row r="711" spans="1:4" ht="21.75" thickBot="1" x14ac:dyDescent="0.3">
      <c r="A711" s="38"/>
      <c r="B711" s="44"/>
      <c r="C711" s="45"/>
      <c r="D711" s="44"/>
    </row>
    <row r="712" spans="1:4" ht="19.5" thickBot="1" x14ac:dyDescent="0.3">
      <c r="A712" s="19"/>
      <c r="B712" s="20"/>
      <c r="C712" s="63"/>
      <c r="D712" s="14"/>
    </row>
    <row r="713" spans="1:4" ht="19.5" thickBot="1" x14ac:dyDescent="0.3">
      <c r="A713" s="19"/>
      <c r="B713" s="20"/>
      <c r="C713" s="48"/>
      <c r="D713" s="46"/>
    </row>
    <row r="714" spans="1:4" ht="15.75" thickBot="1" x14ac:dyDescent="0.3">
      <c r="A714" s="32"/>
      <c r="B714" s="33"/>
      <c r="C714" s="32"/>
      <c r="D714" s="34"/>
    </row>
    <row r="715" spans="1:4" ht="15.75" thickBot="1" x14ac:dyDescent="0.3">
      <c r="A715" s="58"/>
      <c r="B715" s="58"/>
      <c r="C715" s="58"/>
      <c r="D715" s="35"/>
    </row>
    <row r="716" spans="1:4" ht="15.75" x14ac:dyDescent="0.25">
      <c r="A716" s="285"/>
      <c r="B716" s="59"/>
      <c r="C716" s="59"/>
      <c r="D716" s="60"/>
    </row>
    <row r="717" spans="1:4" ht="16.5" thickBot="1" x14ac:dyDescent="0.3">
      <c r="A717" s="286"/>
      <c r="B717" s="62"/>
      <c r="C717" s="62"/>
      <c r="D717" s="61"/>
    </row>
    <row r="718" spans="1:4" ht="15.75" x14ac:dyDescent="0.25">
      <c r="A718" s="285"/>
      <c r="B718" s="59"/>
      <c r="C718" s="59"/>
      <c r="D718" s="60"/>
    </row>
    <row r="719" spans="1:4" ht="16.5" thickBot="1" x14ac:dyDescent="0.3">
      <c r="A719" s="286"/>
      <c r="B719" s="62"/>
      <c r="C719" s="62"/>
      <c r="D719" s="61"/>
    </row>
    <row r="720" spans="1:4" ht="16.5" thickBot="1" x14ac:dyDescent="0.3">
      <c r="A720" s="57"/>
      <c r="B720" s="36"/>
      <c r="C720" s="36"/>
      <c r="D720" s="36"/>
    </row>
    <row r="721" spans="1:4" ht="15.75" thickBot="1" x14ac:dyDescent="0.3">
      <c r="A721" s="287"/>
      <c r="B721" s="288"/>
      <c r="C721" s="288"/>
      <c r="D721" s="289"/>
    </row>
    <row r="722" spans="1:4" ht="18.75" x14ac:dyDescent="0.25">
      <c r="A722" s="5"/>
      <c r="B722" s="6"/>
      <c r="C722" s="7"/>
      <c r="D722" s="8"/>
    </row>
    <row r="723" spans="1:4" ht="19.5" thickBot="1" x14ac:dyDescent="0.3">
      <c r="A723" s="9"/>
      <c r="B723" s="10"/>
      <c r="C723" s="10"/>
      <c r="D723" s="11"/>
    </row>
    <row r="724" spans="1:4" ht="21.75" thickBot="1" x14ac:dyDescent="0.3">
      <c r="A724" s="43"/>
      <c r="B724" s="290"/>
      <c r="C724" s="291"/>
      <c r="D724" s="43"/>
    </row>
    <row r="725" spans="1:4" ht="21.75" thickBot="1" x14ac:dyDescent="0.3">
      <c r="A725" s="38"/>
      <c r="B725" s="44"/>
      <c r="C725" s="45"/>
      <c r="D725" s="44"/>
    </row>
    <row r="726" spans="1:4" ht="19.5" thickBot="1" x14ac:dyDescent="0.3">
      <c r="A726" s="19"/>
      <c r="B726" s="20"/>
      <c r="C726" s="63"/>
      <c r="D726" s="14"/>
    </row>
    <row r="727" spans="1:4" ht="19.5" thickBot="1" x14ac:dyDescent="0.3">
      <c r="A727" s="19"/>
      <c r="B727" s="20"/>
      <c r="C727" s="63"/>
      <c r="D727" s="14"/>
    </row>
    <row r="728" spans="1:4" ht="19.5" thickBot="1" x14ac:dyDescent="0.3">
      <c r="A728" s="19"/>
      <c r="B728" s="20"/>
      <c r="C728" s="48"/>
      <c r="D728" s="46"/>
    </row>
    <row r="729" spans="1:4" ht="15.75" thickBot="1" x14ac:dyDescent="0.3">
      <c r="A729" s="32"/>
      <c r="B729" s="33"/>
      <c r="C729" s="32"/>
      <c r="D729" s="34"/>
    </row>
    <row r="730" spans="1:4" ht="15.75" thickBot="1" x14ac:dyDescent="0.3">
      <c r="A730" s="58"/>
      <c r="B730" s="58"/>
      <c r="C730" s="58"/>
      <c r="D730" s="35"/>
    </row>
    <row r="731" spans="1:4" ht="15.75" x14ac:dyDescent="0.25">
      <c r="A731" s="285"/>
      <c r="B731" s="59"/>
      <c r="C731" s="59"/>
      <c r="D731" s="60"/>
    </row>
    <row r="732" spans="1:4" ht="16.5" thickBot="1" x14ac:dyDescent="0.3">
      <c r="A732" s="286"/>
      <c r="B732" s="62"/>
      <c r="C732" s="62"/>
      <c r="D732" s="61"/>
    </row>
    <row r="733" spans="1:4" ht="15.75" x14ac:dyDescent="0.25">
      <c r="A733" s="285"/>
      <c r="B733" s="59"/>
      <c r="C733" s="59"/>
      <c r="D733" s="60"/>
    </row>
    <row r="734" spans="1:4" ht="16.5" thickBot="1" x14ac:dyDescent="0.3">
      <c r="A734" s="286"/>
      <c r="B734" s="62"/>
      <c r="C734" s="62"/>
      <c r="D734" s="61"/>
    </row>
    <row r="735" spans="1:4" ht="16.5" thickBot="1" x14ac:dyDescent="0.3">
      <c r="A735" s="57"/>
      <c r="B735" s="36"/>
      <c r="C735" s="36"/>
      <c r="D735" s="36"/>
    </row>
    <row r="736" spans="1:4" ht="15.75" thickBot="1" x14ac:dyDescent="0.3">
      <c r="A736" s="287"/>
      <c r="B736" s="288"/>
      <c r="C736" s="288"/>
      <c r="D736" s="289"/>
    </row>
    <row r="737" spans="1:4" ht="18.75" x14ac:dyDescent="0.25">
      <c r="A737" s="5"/>
      <c r="B737" s="6"/>
      <c r="C737" s="7"/>
      <c r="D737" s="8"/>
    </row>
    <row r="738" spans="1:4" ht="19.5" thickBot="1" x14ac:dyDescent="0.3">
      <c r="A738" s="9"/>
      <c r="B738" s="10"/>
      <c r="C738" s="10"/>
      <c r="D738" s="11"/>
    </row>
    <row r="739" spans="1:4" ht="21.75" thickBot="1" x14ac:dyDescent="0.3">
      <c r="A739" s="43"/>
      <c r="B739" s="290"/>
      <c r="C739" s="291"/>
      <c r="D739" s="43"/>
    </row>
    <row r="740" spans="1:4" ht="21.75" thickBot="1" x14ac:dyDescent="0.3">
      <c r="A740" s="38"/>
      <c r="B740" s="44"/>
      <c r="C740" s="45"/>
      <c r="D740" s="44"/>
    </row>
    <row r="741" spans="1:4" ht="19.5" thickBot="1" x14ac:dyDescent="0.3">
      <c r="A741" s="19"/>
      <c r="B741" s="20"/>
      <c r="C741" s="63"/>
      <c r="D741" s="14"/>
    </row>
    <row r="742" spans="1:4" ht="19.5" thickBot="1" x14ac:dyDescent="0.3">
      <c r="A742" s="19"/>
      <c r="B742" s="20"/>
      <c r="C742" s="48"/>
      <c r="D742" s="46"/>
    </row>
    <row r="743" spans="1:4" ht="15.75" thickBot="1" x14ac:dyDescent="0.3">
      <c r="A743" s="32"/>
      <c r="B743" s="33"/>
      <c r="C743" s="32"/>
      <c r="D743" s="34"/>
    </row>
    <row r="744" spans="1:4" ht="15.75" thickBot="1" x14ac:dyDescent="0.3">
      <c r="A744" s="58"/>
      <c r="B744" s="58"/>
      <c r="C744" s="58"/>
      <c r="D744" s="35"/>
    </row>
    <row r="745" spans="1:4" ht="15.75" x14ac:dyDescent="0.25">
      <c r="A745" s="285"/>
      <c r="B745" s="59"/>
      <c r="C745" s="59"/>
      <c r="D745" s="60"/>
    </row>
    <row r="746" spans="1:4" ht="16.5" thickBot="1" x14ac:dyDescent="0.3">
      <c r="A746" s="286"/>
      <c r="B746" s="62"/>
      <c r="C746" s="62"/>
      <c r="D746" s="61"/>
    </row>
    <row r="747" spans="1:4" ht="15.75" x14ac:dyDescent="0.25">
      <c r="A747" s="285"/>
      <c r="B747" s="59"/>
      <c r="C747" s="59"/>
      <c r="D747" s="60"/>
    </row>
    <row r="748" spans="1:4" ht="16.5" thickBot="1" x14ac:dyDescent="0.3">
      <c r="A748" s="286"/>
      <c r="B748" s="62"/>
      <c r="C748" s="62"/>
      <c r="D748" s="61"/>
    </row>
    <row r="749" spans="1:4" ht="16.5" thickBot="1" x14ac:dyDescent="0.3">
      <c r="A749" s="57"/>
      <c r="B749" s="36"/>
      <c r="C749" s="36"/>
      <c r="D749" s="36"/>
    </row>
    <row r="750" spans="1:4" ht="15.75" thickBot="1" x14ac:dyDescent="0.3">
      <c r="A750" s="287"/>
      <c r="B750" s="288"/>
      <c r="C750" s="288"/>
      <c r="D750" s="289"/>
    </row>
    <row r="751" spans="1:4" ht="18.75" x14ac:dyDescent="0.25">
      <c r="A751" s="5"/>
      <c r="B751" s="6"/>
      <c r="C751" s="7"/>
      <c r="D751" s="8"/>
    </row>
    <row r="752" spans="1:4" ht="19.5" thickBot="1" x14ac:dyDescent="0.3">
      <c r="A752" s="9"/>
      <c r="B752" s="10"/>
      <c r="C752" s="10"/>
      <c r="D752" s="11"/>
    </row>
    <row r="753" spans="1:4" ht="21.75" thickBot="1" x14ac:dyDescent="0.3">
      <c r="A753" s="43"/>
      <c r="B753" s="290"/>
      <c r="C753" s="291"/>
      <c r="D753" s="43"/>
    </row>
    <row r="754" spans="1:4" ht="21.75" thickBot="1" x14ac:dyDescent="0.3">
      <c r="A754" s="38"/>
      <c r="B754" s="44"/>
      <c r="C754" s="45"/>
      <c r="D754" s="44"/>
    </row>
    <row r="755" spans="1:4" ht="19.5" thickBot="1" x14ac:dyDescent="0.3">
      <c r="A755" s="19"/>
      <c r="B755" s="20"/>
      <c r="C755" s="63"/>
      <c r="D755" s="14"/>
    </row>
    <row r="756" spans="1:4" ht="19.5" thickBot="1" x14ac:dyDescent="0.3">
      <c r="A756" s="19"/>
      <c r="B756" s="20"/>
      <c r="C756" s="63"/>
      <c r="D756" s="14"/>
    </row>
    <row r="757" spans="1:4" ht="19.5" thickBot="1" x14ac:dyDescent="0.3">
      <c r="A757" s="19"/>
      <c r="B757" s="20"/>
      <c r="C757" s="48"/>
      <c r="D757" s="46"/>
    </row>
    <row r="758" spans="1:4" ht="15.75" thickBot="1" x14ac:dyDescent="0.3">
      <c r="A758" s="32"/>
      <c r="B758" s="33"/>
      <c r="C758" s="32"/>
      <c r="D758" s="34"/>
    </row>
    <row r="759" spans="1:4" ht="15.75" thickBot="1" x14ac:dyDescent="0.3">
      <c r="A759" s="58"/>
      <c r="B759" s="58"/>
      <c r="C759" s="58"/>
      <c r="D759" s="35"/>
    </row>
    <row r="760" spans="1:4" ht="15.75" x14ac:dyDescent="0.25">
      <c r="A760" s="285"/>
      <c r="B760" s="59"/>
      <c r="C760" s="59"/>
      <c r="D760" s="60"/>
    </row>
    <row r="761" spans="1:4" ht="16.5" thickBot="1" x14ac:dyDescent="0.3">
      <c r="A761" s="286"/>
      <c r="B761" s="62"/>
      <c r="C761" s="62"/>
      <c r="D761" s="61"/>
    </row>
    <row r="762" spans="1:4" ht="15.75" x14ac:dyDescent="0.25">
      <c r="A762" s="285"/>
      <c r="B762" s="59"/>
      <c r="C762" s="59"/>
      <c r="D762" s="60"/>
    </row>
    <row r="763" spans="1:4" ht="16.5" thickBot="1" x14ac:dyDescent="0.3">
      <c r="A763" s="286"/>
      <c r="B763" s="62"/>
      <c r="C763" s="62"/>
      <c r="D763" s="61"/>
    </row>
    <row r="764" spans="1:4" ht="16.5" thickBot="1" x14ac:dyDescent="0.3">
      <c r="A764" s="57"/>
      <c r="B764" s="36"/>
      <c r="C764" s="36"/>
      <c r="D764" s="36"/>
    </row>
    <row r="765" spans="1:4" ht="15.75" thickBot="1" x14ac:dyDescent="0.3">
      <c r="A765" s="287"/>
      <c r="B765" s="288"/>
      <c r="C765" s="288"/>
      <c r="D765" s="289"/>
    </row>
    <row r="766" spans="1:4" ht="18.75" x14ac:dyDescent="0.25">
      <c r="A766" s="5"/>
      <c r="B766" s="6"/>
      <c r="C766" s="7"/>
      <c r="D766" s="8"/>
    </row>
    <row r="767" spans="1:4" ht="19.5" thickBot="1" x14ac:dyDescent="0.3">
      <c r="A767" s="9"/>
      <c r="B767" s="10"/>
      <c r="C767" s="10"/>
      <c r="D767" s="11"/>
    </row>
    <row r="768" spans="1:4" ht="21.75" thickBot="1" x14ac:dyDescent="0.3">
      <c r="A768" s="43"/>
      <c r="B768" s="290"/>
      <c r="C768" s="291"/>
      <c r="D768" s="43"/>
    </row>
    <row r="769" spans="1:4" ht="21.75" thickBot="1" x14ac:dyDescent="0.3">
      <c r="A769" s="38"/>
      <c r="B769" s="44"/>
      <c r="C769" s="45"/>
      <c r="D769" s="44"/>
    </row>
    <row r="770" spans="1:4" ht="19.5" thickBot="1" x14ac:dyDescent="0.3">
      <c r="A770" s="19"/>
      <c r="B770" s="20"/>
      <c r="C770" s="63"/>
      <c r="D770" s="14"/>
    </row>
    <row r="771" spans="1:4" ht="19.5" thickBot="1" x14ac:dyDescent="0.3">
      <c r="A771" s="19"/>
      <c r="B771" s="20"/>
      <c r="C771" s="48"/>
      <c r="D771" s="46"/>
    </row>
    <row r="772" spans="1:4" ht="15.75" thickBot="1" x14ac:dyDescent="0.3">
      <c r="A772" s="32"/>
      <c r="B772" s="33"/>
      <c r="C772" s="32"/>
      <c r="D772" s="34"/>
    </row>
    <row r="773" spans="1:4" ht="15.75" thickBot="1" x14ac:dyDescent="0.3">
      <c r="A773" s="58"/>
      <c r="B773" s="58"/>
      <c r="C773" s="58"/>
      <c r="D773" s="35"/>
    </row>
    <row r="774" spans="1:4" ht="15.75" x14ac:dyDescent="0.25">
      <c r="A774" s="285"/>
      <c r="B774" s="59"/>
      <c r="C774" s="59"/>
      <c r="D774" s="60"/>
    </row>
    <row r="775" spans="1:4" ht="16.5" thickBot="1" x14ac:dyDescent="0.3">
      <c r="A775" s="286"/>
      <c r="B775" s="62"/>
      <c r="C775" s="62"/>
      <c r="D775" s="61"/>
    </row>
    <row r="776" spans="1:4" ht="15.75" x14ac:dyDescent="0.25">
      <c r="A776" s="285"/>
      <c r="B776" s="59"/>
      <c r="C776" s="59"/>
      <c r="D776" s="60"/>
    </row>
    <row r="777" spans="1:4" ht="16.5" thickBot="1" x14ac:dyDescent="0.3">
      <c r="A777" s="286"/>
      <c r="B777" s="62"/>
      <c r="C777" s="62"/>
      <c r="D777" s="61"/>
    </row>
    <row r="778" spans="1:4" ht="16.5" thickBot="1" x14ac:dyDescent="0.3">
      <c r="A778" s="57"/>
      <c r="B778" s="36"/>
      <c r="C778" s="36"/>
      <c r="D778" s="36"/>
    </row>
    <row r="779" spans="1:4" ht="15.75" thickBot="1" x14ac:dyDescent="0.3">
      <c r="A779" s="287"/>
      <c r="B779" s="288"/>
      <c r="C779" s="288"/>
      <c r="D779" s="289"/>
    </row>
    <row r="780" spans="1:4" ht="18.75" x14ac:dyDescent="0.25">
      <c r="A780" s="5"/>
      <c r="B780" s="6"/>
      <c r="C780" s="7"/>
      <c r="D780" s="8"/>
    </row>
    <row r="781" spans="1:4" ht="19.5" thickBot="1" x14ac:dyDescent="0.3">
      <c r="A781" s="9"/>
      <c r="B781" s="10"/>
      <c r="C781" s="10"/>
      <c r="D781" s="11"/>
    </row>
    <row r="782" spans="1:4" ht="21.75" thickBot="1" x14ac:dyDescent="0.3">
      <c r="A782" s="43"/>
      <c r="B782" s="290"/>
      <c r="C782" s="291"/>
      <c r="D782" s="43"/>
    </row>
    <row r="783" spans="1:4" ht="21.75" thickBot="1" x14ac:dyDescent="0.3">
      <c r="A783" s="38"/>
      <c r="B783" s="44"/>
      <c r="C783" s="45"/>
      <c r="D783" s="44"/>
    </row>
    <row r="784" spans="1:4" ht="19.5" thickBot="1" x14ac:dyDescent="0.3">
      <c r="A784" s="19"/>
      <c r="B784" s="20"/>
      <c r="C784" s="63"/>
      <c r="D784" s="14"/>
    </row>
    <row r="785" spans="1:4" ht="19.5" thickBot="1" x14ac:dyDescent="0.3">
      <c r="A785" s="19"/>
      <c r="B785" s="20"/>
      <c r="C785" s="63"/>
      <c r="D785" s="14"/>
    </row>
    <row r="786" spans="1:4" ht="19.5" thickBot="1" x14ac:dyDescent="0.3">
      <c r="A786" s="19"/>
      <c r="B786" s="20"/>
      <c r="C786" s="48"/>
      <c r="D786" s="46"/>
    </row>
    <row r="787" spans="1:4" ht="15.75" thickBot="1" x14ac:dyDescent="0.3">
      <c r="A787" s="32"/>
      <c r="B787" s="33"/>
      <c r="C787" s="32"/>
      <c r="D787" s="34"/>
    </row>
    <row r="788" spans="1:4" ht="15.75" thickBot="1" x14ac:dyDescent="0.3">
      <c r="A788" s="58"/>
      <c r="B788" s="58"/>
      <c r="C788" s="58"/>
      <c r="D788" s="35"/>
    </row>
    <row r="789" spans="1:4" ht="15.75" x14ac:dyDescent="0.25">
      <c r="A789" s="285"/>
      <c r="B789" s="59"/>
      <c r="C789" s="59"/>
      <c r="D789" s="60"/>
    </row>
    <row r="790" spans="1:4" ht="16.5" thickBot="1" x14ac:dyDescent="0.3">
      <c r="A790" s="286"/>
      <c r="B790" s="62"/>
      <c r="C790" s="62"/>
      <c r="D790" s="61"/>
    </row>
    <row r="791" spans="1:4" ht="15.75" x14ac:dyDescent="0.25">
      <c r="A791" s="285"/>
      <c r="B791" s="59"/>
      <c r="C791" s="59"/>
      <c r="D791" s="60"/>
    </row>
    <row r="792" spans="1:4" ht="16.5" thickBot="1" x14ac:dyDescent="0.3">
      <c r="A792" s="286"/>
      <c r="B792" s="62"/>
      <c r="C792" s="62"/>
      <c r="D792" s="61"/>
    </row>
    <row r="793" spans="1:4" ht="16.5" thickBot="1" x14ac:dyDescent="0.3">
      <c r="A793" s="57"/>
      <c r="B793" s="36"/>
      <c r="C793" s="36"/>
      <c r="D793" s="36"/>
    </row>
    <row r="794" spans="1:4" ht="15.75" thickBot="1" x14ac:dyDescent="0.3">
      <c r="A794" s="287"/>
      <c r="B794" s="288"/>
      <c r="C794" s="288"/>
      <c r="D794" s="289"/>
    </row>
    <row r="795" spans="1:4" ht="18.75" x14ac:dyDescent="0.25">
      <c r="A795" s="5"/>
      <c r="B795" s="6"/>
      <c r="C795" s="7"/>
      <c r="D795" s="8"/>
    </row>
    <row r="796" spans="1:4" ht="19.5" thickBot="1" x14ac:dyDescent="0.3">
      <c r="A796" s="9"/>
      <c r="B796" s="10"/>
      <c r="C796" s="10"/>
      <c r="D796" s="11"/>
    </row>
    <row r="797" spans="1:4" ht="21.75" thickBot="1" x14ac:dyDescent="0.3">
      <c r="A797" s="43"/>
      <c r="B797" s="290"/>
      <c r="C797" s="291"/>
      <c r="D797" s="43"/>
    </row>
    <row r="798" spans="1:4" ht="21.75" thickBot="1" x14ac:dyDescent="0.3">
      <c r="A798" s="38"/>
      <c r="B798" s="44"/>
      <c r="C798" s="45"/>
      <c r="D798" s="44"/>
    </row>
    <row r="799" spans="1:4" ht="19.5" thickBot="1" x14ac:dyDescent="0.3">
      <c r="A799" s="19"/>
      <c r="B799" s="20"/>
      <c r="C799" s="63"/>
      <c r="D799" s="14"/>
    </row>
    <row r="800" spans="1:4" ht="19.5" thickBot="1" x14ac:dyDescent="0.3">
      <c r="A800" s="19"/>
      <c r="B800" s="20"/>
      <c r="C800" s="48"/>
      <c r="D800" s="46"/>
    </row>
    <row r="801" spans="1:4" ht="15.75" thickBot="1" x14ac:dyDescent="0.3">
      <c r="A801" s="32"/>
      <c r="B801" s="33"/>
      <c r="C801" s="32"/>
      <c r="D801" s="34"/>
    </row>
    <row r="802" spans="1:4" ht="15.75" thickBot="1" x14ac:dyDescent="0.3">
      <c r="A802" s="58"/>
      <c r="B802" s="58"/>
      <c r="C802" s="58"/>
      <c r="D802" s="35"/>
    </row>
    <row r="803" spans="1:4" ht="15.75" x14ac:dyDescent="0.25">
      <c r="A803" s="285"/>
      <c r="B803" s="59"/>
      <c r="C803" s="59"/>
      <c r="D803" s="60"/>
    </row>
    <row r="804" spans="1:4" ht="16.5" thickBot="1" x14ac:dyDescent="0.3">
      <c r="A804" s="286"/>
      <c r="B804" s="62"/>
      <c r="C804" s="62"/>
      <c r="D804" s="61"/>
    </row>
    <row r="805" spans="1:4" ht="15.75" x14ac:dyDescent="0.25">
      <c r="A805" s="285"/>
      <c r="B805" s="59"/>
      <c r="C805" s="59"/>
      <c r="D805" s="60"/>
    </row>
    <row r="806" spans="1:4" ht="16.5" thickBot="1" x14ac:dyDescent="0.3">
      <c r="A806" s="286"/>
      <c r="B806" s="62"/>
      <c r="C806" s="62"/>
      <c r="D806" s="61"/>
    </row>
    <row r="807" spans="1:4" ht="16.5" thickBot="1" x14ac:dyDescent="0.3">
      <c r="A807" s="57"/>
      <c r="B807" s="36"/>
      <c r="C807" s="36"/>
      <c r="D807" s="36"/>
    </row>
    <row r="808" spans="1:4" ht="15.75" thickBot="1" x14ac:dyDescent="0.3">
      <c r="A808" s="287"/>
      <c r="B808" s="288"/>
      <c r="C808" s="288"/>
      <c r="D808" s="289"/>
    </row>
    <row r="809" spans="1:4" ht="18.75" x14ac:dyDescent="0.25">
      <c r="A809" s="5"/>
      <c r="B809" s="6"/>
      <c r="C809" s="7"/>
      <c r="D809" s="8"/>
    </row>
    <row r="810" spans="1:4" ht="19.5" thickBot="1" x14ac:dyDescent="0.3">
      <c r="A810" s="9"/>
      <c r="B810" s="10"/>
      <c r="C810" s="10"/>
      <c r="D810" s="11"/>
    </row>
    <row r="811" spans="1:4" ht="21.75" thickBot="1" x14ac:dyDescent="0.3">
      <c r="A811" s="43"/>
      <c r="B811" s="290"/>
      <c r="C811" s="291"/>
      <c r="D811" s="43"/>
    </row>
    <row r="812" spans="1:4" ht="21.75" thickBot="1" x14ac:dyDescent="0.3">
      <c r="A812" s="38"/>
      <c r="B812" s="44"/>
      <c r="C812" s="45"/>
      <c r="D812" s="44"/>
    </row>
    <row r="813" spans="1:4" ht="19.5" thickBot="1" x14ac:dyDescent="0.3">
      <c r="A813" s="19"/>
      <c r="B813" s="20"/>
      <c r="C813" s="63"/>
      <c r="D813" s="14"/>
    </row>
    <row r="814" spans="1:4" ht="19.5" thickBot="1" x14ac:dyDescent="0.3">
      <c r="A814" s="19"/>
      <c r="B814" s="20"/>
      <c r="C814" s="63"/>
      <c r="D814" s="14"/>
    </row>
    <row r="815" spans="1:4" ht="19.5" thickBot="1" x14ac:dyDescent="0.3">
      <c r="A815" s="19"/>
      <c r="B815" s="20"/>
      <c r="C815" s="48"/>
      <c r="D815" s="46"/>
    </row>
    <row r="816" spans="1:4" ht="15.75" thickBot="1" x14ac:dyDescent="0.3">
      <c r="A816" s="32"/>
      <c r="B816" s="33"/>
      <c r="C816" s="32"/>
      <c r="D816" s="34"/>
    </row>
    <row r="817" spans="1:4" ht="15.75" thickBot="1" x14ac:dyDescent="0.3">
      <c r="A817" s="58"/>
      <c r="B817" s="58"/>
      <c r="C817" s="58"/>
      <c r="D817" s="35"/>
    </row>
    <row r="818" spans="1:4" ht="15.75" x14ac:dyDescent="0.25">
      <c r="A818" s="285"/>
      <c r="B818" s="59"/>
      <c r="C818" s="59"/>
      <c r="D818" s="60"/>
    </row>
    <row r="819" spans="1:4" ht="16.5" thickBot="1" x14ac:dyDescent="0.3">
      <c r="A819" s="286"/>
      <c r="B819" s="62"/>
      <c r="C819" s="62"/>
      <c r="D819" s="61"/>
    </row>
    <row r="820" spans="1:4" ht="15.75" x14ac:dyDescent="0.25">
      <c r="A820" s="285"/>
      <c r="B820" s="59"/>
      <c r="C820" s="59"/>
      <c r="D820" s="60"/>
    </row>
    <row r="821" spans="1:4" ht="16.5" thickBot="1" x14ac:dyDescent="0.3">
      <c r="A821" s="286"/>
      <c r="B821" s="62"/>
      <c r="C821" s="62"/>
      <c r="D821" s="61"/>
    </row>
    <row r="822" spans="1:4" ht="16.5" thickBot="1" x14ac:dyDescent="0.3">
      <c r="A822" s="57"/>
      <c r="B822" s="36"/>
      <c r="C822" s="36"/>
      <c r="D822" s="36"/>
    </row>
    <row r="823" spans="1:4" ht="15.75" thickBot="1" x14ac:dyDescent="0.3">
      <c r="A823" s="287"/>
      <c r="B823" s="288"/>
      <c r="C823" s="288"/>
      <c r="D823" s="289"/>
    </row>
    <row r="824" spans="1:4" ht="18.75" x14ac:dyDescent="0.25">
      <c r="A824" s="5"/>
      <c r="B824" s="6"/>
      <c r="C824" s="7"/>
      <c r="D824" s="8"/>
    </row>
    <row r="825" spans="1:4" ht="19.5" thickBot="1" x14ac:dyDescent="0.3">
      <c r="A825" s="9"/>
      <c r="B825" s="10"/>
      <c r="C825" s="10"/>
      <c r="D825" s="11"/>
    </row>
    <row r="826" spans="1:4" ht="21.75" thickBot="1" x14ac:dyDescent="0.3">
      <c r="A826" s="43"/>
      <c r="B826" s="290"/>
      <c r="C826" s="291"/>
      <c r="D826" s="43"/>
    </row>
    <row r="827" spans="1:4" ht="21.75" thickBot="1" x14ac:dyDescent="0.3">
      <c r="A827" s="38"/>
      <c r="B827" s="44"/>
      <c r="C827" s="45"/>
      <c r="D827" s="44"/>
    </row>
    <row r="828" spans="1:4" ht="19.5" thickBot="1" x14ac:dyDescent="0.3">
      <c r="A828" s="19"/>
      <c r="B828" s="20"/>
      <c r="C828" s="63"/>
      <c r="D828" s="14"/>
    </row>
    <row r="829" spans="1:4" ht="19.5" thickBot="1" x14ac:dyDescent="0.3">
      <c r="A829" s="19"/>
      <c r="B829" s="20"/>
      <c r="C829" s="48"/>
      <c r="D829" s="46"/>
    </row>
    <row r="830" spans="1:4" ht="15.75" thickBot="1" x14ac:dyDescent="0.3">
      <c r="A830" s="32"/>
      <c r="B830" s="33"/>
      <c r="C830" s="32"/>
      <c r="D830" s="34"/>
    </row>
    <row r="831" spans="1:4" ht="15.75" thickBot="1" x14ac:dyDescent="0.3">
      <c r="A831" s="58"/>
      <c r="B831" s="58"/>
      <c r="C831" s="58"/>
      <c r="D831" s="35"/>
    </row>
    <row r="832" spans="1:4" ht="15.75" x14ac:dyDescent="0.25">
      <c r="A832" s="285"/>
      <c r="B832" s="59"/>
      <c r="C832" s="59"/>
      <c r="D832" s="60"/>
    </row>
    <row r="833" spans="1:4" ht="16.5" thickBot="1" x14ac:dyDescent="0.3">
      <c r="A833" s="286"/>
      <c r="B833" s="62"/>
      <c r="C833" s="62"/>
      <c r="D833" s="61"/>
    </row>
    <row r="834" spans="1:4" ht="15.75" x14ac:dyDescent="0.25">
      <c r="A834" s="285"/>
      <c r="B834" s="59"/>
      <c r="C834" s="59"/>
      <c r="D834" s="60"/>
    </row>
    <row r="835" spans="1:4" ht="16.5" thickBot="1" x14ac:dyDescent="0.3">
      <c r="A835" s="286"/>
      <c r="B835" s="62"/>
      <c r="C835" s="62"/>
      <c r="D835" s="61"/>
    </row>
    <row r="836" spans="1:4" ht="16.5" thickBot="1" x14ac:dyDescent="0.3">
      <c r="A836" s="57"/>
      <c r="B836" s="36"/>
      <c r="C836" s="36"/>
      <c r="D836" s="36"/>
    </row>
    <row r="837" spans="1:4" ht="15.75" thickBot="1" x14ac:dyDescent="0.3">
      <c r="A837" s="287"/>
      <c r="B837" s="288"/>
      <c r="C837" s="288"/>
      <c r="D837" s="289"/>
    </row>
    <row r="838" spans="1:4" ht="18.75" x14ac:dyDescent="0.25">
      <c r="A838" s="5"/>
      <c r="B838" s="6"/>
      <c r="C838" s="7"/>
      <c r="D838" s="8"/>
    </row>
    <row r="839" spans="1:4" ht="19.5" thickBot="1" x14ac:dyDescent="0.3">
      <c r="A839" s="9"/>
      <c r="B839" s="10"/>
      <c r="C839" s="10"/>
      <c r="D839" s="11"/>
    </row>
    <row r="840" spans="1:4" ht="21.75" thickBot="1" x14ac:dyDescent="0.3">
      <c r="A840" s="43"/>
      <c r="B840" s="290"/>
      <c r="C840" s="291"/>
      <c r="D840" s="43"/>
    </row>
    <row r="841" spans="1:4" ht="21.75" thickBot="1" x14ac:dyDescent="0.3">
      <c r="A841" s="38"/>
      <c r="B841" s="44"/>
      <c r="C841" s="45"/>
      <c r="D841" s="44"/>
    </row>
    <row r="842" spans="1:4" ht="19.5" thickBot="1" x14ac:dyDescent="0.3">
      <c r="A842" s="19"/>
      <c r="B842" s="20"/>
      <c r="C842" s="63"/>
      <c r="D842" s="14"/>
    </row>
    <row r="843" spans="1:4" ht="19.5" thickBot="1" x14ac:dyDescent="0.3">
      <c r="A843" s="19"/>
      <c r="B843" s="20"/>
      <c r="C843" s="63"/>
      <c r="D843" s="14"/>
    </row>
    <row r="844" spans="1:4" ht="19.5" thickBot="1" x14ac:dyDescent="0.3">
      <c r="A844" s="19"/>
      <c r="B844" s="20"/>
      <c r="C844" s="48"/>
      <c r="D844" s="46"/>
    </row>
    <row r="845" spans="1:4" ht="15.75" thickBot="1" x14ac:dyDescent="0.3">
      <c r="A845" s="32"/>
      <c r="B845" s="33"/>
      <c r="C845" s="32"/>
      <c r="D845" s="34"/>
    </row>
    <row r="846" spans="1:4" ht="15.75" thickBot="1" x14ac:dyDescent="0.3">
      <c r="A846" s="58"/>
      <c r="B846" s="58"/>
      <c r="C846" s="58"/>
      <c r="D846" s="35"/>
    </row>
    <row r="847" spans="1:4" ht="15.75" x14ac:dyDescent="0.25">
      <c r="A847" s="285"/>
      <c r="B847" s="59"/>
      <c r="C847" s="59"/>
      <c r="D847" s="60"/>
    </row>
    <row r="848" spans="1:4" ht="16.5" thickBot="1" x14ac:dyDescent="0.3">
      <c r="A848" s="286"/>
      <c r="B848" s="62"/>
      <c r="C848" s="62"/>
      <c r="D848" s="61"/>
    </row>
    <row r="849" spans="1:4" ht="15.75" x14ac:dyDescent="0.25">
      <c r="A849" s="285"/>
      <c r="B849" s="59"/>
      <c r="C849" s="59"/>
      <c r="D849" s="60"/>
    </row>
    <row r="850" spans="1:4" ht="16.5" thickBot="1" x14ac:dyDescent="0.3">
      <c r="A850" s="286"/>
      <c r="B850" s="62"/>
      <c r="C850" s="62"/>
      <c r="D850" s="61"/>
    </row>
    <row r="851" spans="1:4" ht="16.5" thickBot="1" x14ac:dyDescent="0.3">
      <c r="A851" s="57"/>
      <c r="B851" s="36"/>
      <c r="C851" s="36"/>
      <c r="D851" s="36"/>
    </row>
    <row r="852" spans="1:4" ht="15.75" thickBot="1" x14ac:dyDescent="0.3">
      <c r="A852" s="287"/>
      <c r="B852" s="288"/>
      <c r="C852" s="288"/>
      <c r="D852" s="289"/>
    </row>
    <row r="853" spans="1:4" ht="18.75" x14ac:dyDescent="0.25">
      <c r="A853" s="5"/>
      <c r="B853" s="6"/>
      <c r="C853" s="7"/>
      <c r="D853" s="8"/>
    </row>
    <row r="854" spans="1:4" ht="19.5" thickBot="1" x14ac:dyDescent="0.3">
      <c r="A854" s="9"/>
      <c r="B854" s="10"/>
      <c r="C854" s="10"/>
      <c r="D854" s="11"/>
    </row>
    <row r="855" spans="1:4" ht="21.75" thickBot="1" x14ac:dyDescent="0.3">
      <c r="A855" s="43"/>
      <c r="B855" s="290"/>
      <c r="C855" s="291"/>
      <c r="D855" s="43"/>
    </row>
    <row r="856" spans="1:4" ht="21.75" thickBot="1" x14ac:dyDescent="0.3">
      <c r="A856" s="38"/>
      <c r="B856" s="44"/>
      <c r="C856" s="45"/>
      <c r="D856" s="44"/>
    </row>
    <row r="857" spans="1:4" ht="19.5" thickBot="1" x14ac:dyDescent="0.3">
      <c r="A857" s="19"/>
      <c r="B857" s="20"/>
      <c r="C857" s="63"/>
      <c r="D857" s="14"/>
    </row>
    <row r="858" spans="1:4" ht="19.5" thickBot="1" x14ac:dyDescent="0.3">
      <c r="A858" s="19"/>
      <c r="B858" s="20"/>
      <c r="C858" s="48"/>
      <c r="D858" s="46"/>
    </row>
    <row r="859" spans="1:4" ht="15.75" thickBot="1" x14ac:dyDescent="0.3">
      <c r="A859" s="32"/>
      <c r="B859" s="33"/>
      <c r="C859" s="32"/>
      <c r="D859" s="34"/>
    </row>
    <row r="860" spans="1:4" ht="15.75" thickBot="1" x14ac:dyDescent="0.3">
      <c r="A860" s="58"/>
      <c r="B860" s="58"/>
      <c r="C860" s="58"/>
      <c r="D860" s="35"/>
    </row>
    <row r="861" spans="1:4" ht="15.75" x14ac:dyDescent="0.25">
      <c r="A861" s="285"/>
      <c r="B861" s="59"/>
      <c r="C861" s="59"/>
      <c r="D861" s="60"/>
    </row>
    <row r="862" spans="1:4" ht="16.5" thickBot="1" x14ac:dyDescent="0.3">
      <c r="A862" s="286"/>
      <c r="B862" s="62"/>
      <c r="C862" s="62"/>
      <c r="D862" s="61"/>
    </row>
    <row r="863" spans="1:4" ht="15.75" x14ac:dyDescent="0.25">
      <c r="A863" s="285"/>
      <c r="B863" s="59"/>
      <c r="C863" s="59"/>
      <c r="D863" s="60"/>
    </row>
    <row r="864" spans="1:4" ht="16.5" thickBot="1" x14ac:dyDescent="0.3">
      <c r="A864" s="286"/>
      <c r="B864" s="62"/>
      <c r="C864" s="62"/>
      <c r="D864" s="61"/>
    </row>
    <row r="865" spans="1:4" ht="16.5" thickBot="1" x14ac:dyDescent="0.3">
      <c r="A865" s="57"/>
      <c r="B865" s="36"/>
      <c r="C865" s="36"/>
      <c r="D865" s="36"/>
    </row>
    <row r="866" spans="1:4" ht="15.75" thickBot="1" x14ac:dyDescent="0.3">
      <c r="A866" s="287"/>
      <c r="B866" s="288"/>
      <c r="C866" s="288"/>
      <c r="D866" s="289"/>
    </row>
    <row r="867" spans="1:4" ht="18.75" x14ac:dyDescent="0.25">
      <c r="A867" s="5"/>
      <c r="B867" s="6"/>
      <c r="C867" s="7"/>
      <c r="D867" s="8"/>
    </row>
    <row r="868" spans="1:4" ht="19.5" thickBot="1" x14ac:dyDescent="0.3">
      <c r="A868" s="9"/>
      <c r="B868" s="10"/>
      <c r="C868" s="10"/>
      <c r="D868" s="11"/>
    </row>
    <row r="869" spans="1:4" ht="21.75" thickBot="1" x14ac:dyDescent="0.3">
      <c r="A869" s="43"/>
      <c r="B869" s="290"/>
      <c r="C869" s="291"/>
      <c r="D869" s="43"/>
    </row>
    <row r="870" spans="1:4" ht="21.75" thickBot="1" x14ac:dyDescent="0.3">
      <c r="A870" s="38"/>
      <c r="B870" s="44"/>
      <c r="C870" s="45"/>
      <c r="D870" s="44"/>
    </row>
    <row r="871" spans="1:4" ht="19.5" thickBot="1" x14ac:dyDescent="0.3">
      <c r="A871" s="19"/>
      <c r="B871" s="20"/>
      <c r="C871" s="63"/>
      <c r="D871" s="14"/>
    </row>
    <row r="872" spans="1:4" ht="19.5" thickBot="1" x14ac:dyDescent="0.3">
      <c r="A872" s="19"/>
      <c r="B872" s="20"/>
      <c r="C872" s="63"/>
      <c r="D872" s="14"/>
    </row>
    <row r="873" spans="1:4" ht="19.5" thickBot="1" x14ac:dyDescent="0.3">
      <c r="A873" s="19"/>
      <c r="B873" s="20"/>
      <c r="C873" s="48"/>
      <c r="D873" s="46"/>
    </row>
    <row r="874" spans="1:4" ht="15.75" thickBot="1" x14ac:dyDescent="0.3">
      <c r="A874" s="32"/>
      <c r="B874" s="33"/>
      <c r="C874" s="32"/>
      <c r="D874" s="34"/>
    </row>
    <row r="875" spans="1:4" ht="15.75" thickBot="1" x14ac:dyDescent="0.3">
      <c r="A875" s="58"/>
      <c r="B875" s="58"/>
      <c r="C875" s="58"/>
      <c r="D875" s="35"/>
    </row>
    <row r="876" spans="1:4" ht="15.75" x14ac:dyDescent="0.25">
      <c r="A876" s="285"/>
      <c r="B876" s="59"/>
      <c r="C876" s="59"/>
      <c r="D876" s="60"/>
    </row>
    <row r="877" spans="1:4" ht="16.5" thickBot="1" x14ac:dyDescent="0.3">
      <c r="A877" s="286"/>
      <c r="B877" s="62"/>
      <c r="C877" s="62"/>
      <c r="D877" s="61"/>
    </row>
    <row r="878" spans="1:4" ht="15.75" x14ac:dyDescent="0.25">
      <c r="A878" s="285"/>
      <c r="B878" s="59"/>
      <c r="C878" s="59"/>
      <c r="D878" s="60"/>
    </row>
    <row r="879" spans="1:4" ht="16.5" thickBot="1" x14ac:dyDescent="0.3">
      <c r="A879" s="286"/>
      <c r="B879" s="62"/>
      <c r="C879" s="62"/>
      <c r="D879" s="61"/>
    </row>
    <row r="880" spans="1:4" ht="16.5" thickBot="1" x14ac:dyDescent="0.3">
      <c r="A880" s="57"/>
      <c r="B880" s="36"/>
      <c r="C880" s="36"/>
      <c r="D880" s="36"/>
    </row>
    <row r="881" spans="1:4" ht="15.75" thickBot="1" x14ac:dyDescent="0.3">
      <c r="A881" s="287"/>
      <c r="B881" s="288"/>
      <c r="C881" s="288"/>
      <c r="D881" s="289"/>
    </row>
    <row r="882" spans="1:4" ht="18.75" x14ac:dyDescent="0.25">
      <c r="A882" s="5"/>
      <c r="B882" s="6"/>
      <c r="C882" s="7"/>
      <c r="D882" s="8"/>
    </row>
    <row r="883" spans="1:4" ht="19.5" thickBot="1" x14ac:dyDescent="0.3">
      <c r="A883" s="9"/>
      <c r="B883" s="10"/>
      <c r="C883" s="10"/>
      <c r="D883" s="11"/>
    </row>
    <row r="884" spans="1:4" ht="21.75" thickBot="1" x14ac:dyDescent="0.3">
      <c r="A884" s="43"/>
      <c r="B884" s="290"/>
      <c r="C884" s="291"/>
      <c r="D884" s="43"/>
    </row>
    <row r="885" spans="1:4" ht="21.75" thickBot="1" x14ac:dyDescent="0.3">
      <c r="A885" s="38"/>
      <c r="B885" s="44"/>
      <c r="C885" s="45"/>
      <c r="D885" s="44"/>
    </row>
    <row r="886" spans="1:4" ht="19.5" thickBot="1" x14ac:dyDescent="0.3">
      <c r="A886" s="19"/>
      <c r="B886" s="20"/>
      <c r="C886" s="63"/>
      <c r="D886" s="14"/>
    </row>
    <row r="887" spans="1:4" ht="19.5" thickBot="1" x14ac:dyDescent="0.3">
      <c r="A887" s="19"/>
      <c r="B887" s="20"/>
      <c r="C887" s="48"/>
      <c r="D887" s="46"/>
    </row>
    <row r="888" spans="1:4" ht="15.75" thickBot="1" x14ac:dyDescent="0.3">
      <c r="A888" s="32"/>
      <c r="B888" s="33"/>
      <c r="C888" s="32"/>
      <c r="D888" s="34"/>
    </row>
    <row r="889" spans="1:4" ht="15.75" thickBot="1" x14ac:dyDescent="0.3">
      <c r="A889" s="58"/>
      <c r="B889" s="58"/>
      <c r="C889" s="58"/>
      <c r="D889" s="35"/>
    </row>
    <row r="890" spans="1:4" ht="15.75" x14ac:dyDescent="0.25">
      <c r="A890" s="285"/>
      <c r="B890" s="59"/>
      <c r="C890" s="59"/>
      <c r="D890" s="60"/>
    </row>
    <row r="891" spans="1:4" ht="16.5" thickBot="1" x14ac:dyDescent="0.3">
      <c r="A891" s="286"/>
      <c r="B891" s="62"/>
      <c r="C891" s="62"/>
      <c r="D891" s="61"/>
    </row>
    <row r="892" spans="1:4" ht="15.75" x14ac:dyDescent="0.25">
      <c r="A892" s="285"/>
      <c r="B892" s="59"/>
      <c r="C892" s="59"/>
      <c r="D892" s="60"/>
    </row>
    <row r="893" spans="1:4" ht="16.5" thickBot="1" x14ac:dyDescent="0.3">
      <c r="A893" s="286"/>
      <c r="B893" s="62"/>
      <c r="C893" s="62"/>
      <c r="D893" s="61"/>
    </row>
    <row r="894" spans="1:4" ht="16.5" thickBot="1" x14ac:dyDescent="0.3">
      <c r="A894" s="57"/>
      <c r="B894" s="36"/>
      <c r="C894" s="36"/>
      <c r="D894" s="36"/>
    </row>
    <row r="895" spans="1:4" ht="15.75" thickBot="1" x14ac:dyDescent="0.3">
      <c r="A895" s="287"/>
      <c r="B895" s="288"/>
      <c r="C895" s="288"/>
      <c r="D895" s="289"/>
    </row>
    <row r="896" spans="1:4" ht="18.75" x14ac:dyDescent="0.25">
      <c r="A896" s="5"/>
      <c r="B896" s="6"/>
      <c r="C896" s="7"/>
      <c r="D896" s="8"/>
    </row>
    <row r="897" spans="1:4" ht="19.5" thickBot="1" x14ac:dyDescent="0.3">
      <c r="A897" s="9"/>
      <c r="B897" s="10"/>
      <c r="C897" s="10"/>
      <c r="D897" s="11"/>
    </row>
    <row r="898" spans="1:4" ht="21.75" thickBot="1" x14ac:dyDescent="0.3">
      <c r="A898" s="43"/>
      <c r="B898" s="290"/>
      <c r="C898" s="291"/>
      <c r="D898" s="43"/>
    </row>
    <row r="899" spans="1:4" ht="21.75" thickBot="1" x14ac:dyDescent="0.3">
      <c r="A899" s="38"/>
      <c r="B899" s="44"/>
      <c r="C899" s="45"/>
      <c r="D899" s="44"/>
    </row>
    <row r="900" spans="1:4" ht="19.5" thickBot="1" x14ac:dyDescent="0.3">
      <c r="A900" s="19"/>
      <c r="B900" s="20"/>
      <c r="C900" s="63"/>
      <c r="D900" s="14"/>
    </row>
    <row r="901" spans="1:4" ht="19.5" thickBot="1" x14ac:dyDescent="0.3">
      <c r="A901" s="19"/>
      <c r="B901" s="20"/>
      <c r="C901" s="63"/>
      <c r="D901" s="14"/>
    </row>
    <row r="902" spans="1:4" ht="19.5" thickBot="1" x14ac:dyDescent="0.3">
      <c r="A902" s="19"/>
      <c r="B902" s="20"/>
      <c r="C902" s="48"/>
      <c r="D902" s="46"/>
    </row>
    <row r="903" spans="1:4" ht="15.75" thickBot="1" x14ac:dyDescent="0.3">
      <c r="A903" s="32"/>
      <c r="B903" s="33"/>
      <c r="C903" s="32"/>
      <c r="D903" s="34"/>
    </row>
    <row r="904" spans="1:4" ht="15.75" thickBot="1" x14ac:dyDescent="0.3">
      <c r="A904" s="58"/>
      <c r="B904" s="58"/>
      <c r="C904" s="58"/>
      <c r="D904" s="35"/>
    </row>
    <row r="905" spans="1:4" ht="15.75" x14ac:dyDescent="0.25">
      <c r="A905" s="285"/>
      <c r="B905" s="59"/>
      <c r="C905" s="59"/>
      <c r="D905" s="60"/>
    </row>
    <row r="906" spans="1:4" ht="16.5" thickBot="1" x14ac:dyDescent="0.3">
      <c r="A906" s="286"/>
      <c r="B906" s="62"/>
      <c r="C906" s="62"/>
      <c r="D906" s="61"/>
    </row>
    <row r="907" spans="1:4" ht="15.75" x14ac:dyDescent="0.25">
      <c r="A907" s="285"/>
      <c r="B907" s="59"/>
      <c r="C907" s="59"/>
      <c r="D907" s="60"/>
    </row>
    <row r="908" spans="1:4" ht="16.5" thickBot="1" x14ac:dyDescent="0.3">
      <c r="A908" s="286"/>
      <c r="B908" s="62"/>
      <c r="C908" s="62"/>
      <c r="D908" s="61"/>
    </row>
    <row r="909" spans="1:4" ht="16.5" thickBot="1" x14ac:dyDescent="0.3">
      <c r="A909" s="57"/>
      <c r="B909" s="36"/>
      <c r="C909" s="36"/>
      <c r="D909" s="36"/>
    </row>
    <row r="910" spans="1:4" ht="15.75" thickBot="1" x14ac:dyDescent="0.3">
      <c r="A910" s="287"/>
      <c r="B910" s="288"/>
      <c r="C910" s="288"/>
      <c r="D910" s="289"/>
    </row>
    <row r="911" spans="1:4" ht="18.75" x14ac:dyDescent="0.25">
      <c r="A911" s="5"/>
      <c r="B911" s="6"/>
      <c r="C911" s="7"/>
      <c r="D911" s="8"/>
    </row>
    <row r="912" spans="1:4" ht="19.5" thickBot="1" x14ac:dyDescent="0.3">
      <c r="A912" s="9"/>
      <c r="B912" s="10"/>
      <c r="C912" s="10"/>
      <c r="D912" s="11"/>
    </row>
    <row r="913" spans="1:4" ht="21.75" thickBot="1" x14ac:dyDescent="0.3">
      <c r="A913" s="43"/>
      <c r="B913" s="290"/>
      <c r="C913" s="291"/>
      <c r="D913" s="43"/>
    </row>
    <row r="914" spans="1:4" ht="21.75" thickBot="1" x14ac:dyDescent="0.3">
      <c r="A914" s="38"/>
      <c r="B914" s="44"/>
      <c r="C914" s="45"/>
      <c r="D914" s="44"/>
    </row>
    <row r="915" spans="1:4" ht="19.5" thickBot="1" x14ac:dyDescent="0.3">
      <c r="A915" s="19"/>
      <c r="B915" s="20"/>
      <c r="C915" s="63"/>
      <c r="D915" s="14"/>
    </row>
    <row r="916" spans="1:4" ht="19.5" thickBot="1" x14ac:dyDescent="0.3">
      <c r="A916" s="19"/>
      <c r="B916" s="20"/>
      <c r="C916" s="48"/>
      <c r="D916" s="46"/>
    </row>
    <row r="917" spans="1:4" ht="15.75" thickBot="1" x14ac:dyDescent="0.3">
      <c r="A917" s="32"/>
      <c r="B917" s="33"/>
      <c r="C917" s="32"/>
      <c r="D917" s="34"/>
    </row>
    <row r="918" spans="1:4" ht="15.75" thickBot="1" x14ac:dyDescent="0.3">
      <c r="A918" s="58"/>
      <c r="B918" s="58"/>
      <c r="C918" s="58"/>
      <c r="D918" s="35"/>
    </row>
    <row r="919" spans="1:4" ht="15.75" x14ac:dyDescent="0.25">
      <c r="A919" s="285"/>
      <c r="B919" s="59"/>
      <c r="C919" s="59"/>
      <c r="D919" s="60"/>
    </row>
    <row r="920" spans="1:4" ht="16.5" thickBot="1" x14ac:dyDescent="0.3">
      <c r="A920" s="286"/>
      <c r="B920" s="62"/>
      <c r="C920" s="62"/>
      <c r="D920" s="61"/>
    </row>
    <row r="921" spans="1:4" ht="15.75" x14ac:dyDescent="0.25">
      <c r="A921" s="285"/>
      <c r="B921" s="59"/>
      <c r="C921" s="59"/>
      <c r="D921" s="60"/>
    </row>
    <row r="922" spans="1:4" ht="16.5" thickBot="1" x14ac:dyDescent="0.3">
      <c r="A922" s="286"/>
      <c r="B922" s="62"/>
      <c r="C922" s="62"/>
      <c r="D922" s="61"/>
    </row>
    <row r="923" spans="1:4" ht="16.5" thickBot="1" x14ac:dyDescent="0.3">
      <c r="A923" s="57"/>
      <c r="B923" s="36"/>
      <c r="C923" s="36"/>
      <c r="D923" s="36"/>
    </row>
    <row r="924" spans="1:4" ht="15.75" thickBot="1" x14ac:dyDescent="0.3">
      <c r="A924" s="287"/>
      <c r="B924" s="288"/>
      <c r="C924" s="288"/>
      <c r="D924" s="289"/>
    </row>
    <row r="925" spans="1:4" ht="18.75" x14ac:dyDescent="0.25">
      <c r="A925" s="5"/>
      <c r="B925" s="6"/>
      <c r="C925" s="7"/>
      <c r="D925" s="8"/>
    </row>
    <row r="926" spans="1:4" ht="19.5" thickBot="1" x14ac:dyDescent="0.3">
      <c r="A926" s="9"/>
      <c r="B926" s="10"/>
      <c r="C926" s="10"/>
      <c r="D926" s="11"/>
    </row>
    <row r="927" spans="1:4" ht="21.75" thickBot="1" x14ac:dyDescent="0.3">
      <c r="A927" s="43"/>
      <c r="B927" s="290"/>
      <c r="C927" s="291"/>
      <c r="D927" s="43"/>
    </row>
    <row r="928" spans="1:4" ht="21.75" thickBot="1" x14ac:dyDescent="0.3">
      <c r="A928" s="38"/>
      <c r="B928" s="44"/>
      <c r="C928" s="45"/>
      <c r="D928" s="44"/>
    </row>
    <row r="929" spans="1:4" ht="19.5" thickBot="1" x14ac:dyDescent="0.3">
      <c r="A929" s="19"/>
      <c r="B929" s="20"/>
      <c r="C929" s="63"/>
      <c r="D929" s="14"/>
    </row>
    <row r="930" spans="1:4" ht="19.5" thickBot="1" x14ac:dyDescent="0.3">
      <c r="A930" s="19"/>
      <c r="B930" s="20"/>
      <c r="C930" s="63"/>
      <c r="D930" s="14"/>
    </row>
    <row r="931" spans="1:4" ht="19.5" thickBot="1" x14ac:dyDescent="0.3">
      <c r="A931" s="19"/>
      <c r="B931" s="20"/>
      <c r="C931" s="48"/>
      <c r="D931" s="46"/>
    </row>
    <row r="932" spans="1:4" ht="15.75" thickBot="1" x14ac:dyDescent="0.3">
      <c r="A932" s="32"/>
      <c r="B932" s="33"/>
      <c r="C932" s="32"/>
      <c r="D932" s="34"/>
    </row>
    <row r="933" spans="1:4" ht="15.75" thickBot="1" x14ac:dyDescent="0.3">
      <c r="A933" s="58"/>
      <c r="B933" s="58"/>
      <c r="C933" s="58"/>
      <c r="D933" s="35"/>
    </row>
    <row r="934" spans="1:4" ht="15.75" x14ac:dyDescent="0.25">
      <c r="A934" s="285"/>
      <c r="B934" s="59"/>
      <c r="C934" s="59"/>
      <c r="D934" s="60"/>
    </row>
    <row r="935" spans="1:4" ht="16.5" thickBot="1" x14ac:dyDescent="0.3">
      <c r="A935" s="286"/>
      <c r="B935" s="62"/>
      <c r="C935" s="62"/>
      <c r="D935" s="61"/>
    </row>
    <row r="936" spans="1:4" ht="15.75" x14ac:dyDescent="0.25">
      <c r="A936" s="285"/>
      <c r="B936" s="59"/>
      <c r="C936" s="59"/>
      <c r="D936" s="60"/>
    </row>
    <row r="937" spans="1:4" ht="16.5" thickBot="1" x14ac:dyDescent="0.3">
      <c r="A937" s="286"/>
      <c r="B937" s="62"/>
      <c r="C937" s="62"/>
      <c r="D937" s="61"/>
    </row>
    <row r="938" spans="1:4" ht="16.5" thickBot="1" x14ac:dyDescent="0.3">
      <c r="A938" s="57"/>
      <c r="B938" s="36"/>
      <c r="C938" s="36"/>
      <c r="D938" s="36"/>
    </row>
    <row r="939" spans="1:4" ht="15.75" thickBot="1" x14ac:dyDescent="0.3">
      <c r="A939" s="287"/>
      <c r="B939" s="288"/>
      <c r="C939" s="288"/>
      <c r="D939" s="289"/>
    </row>
    <row r="940" spans="1:4" ht="18.75" x14ac:dyDescent="0.25">
      <c r="A940" s="5"/>
      <c r="B940" s="6"/>
      <c r="C940" s="7"/>
      <c r="D940" s="8"/>
    </row>
    <row r="941" spans="1:4" ht="19.5" thickBot="1" x14ac:dyDescent="0.3">
      <c r="A941" s="9"/>
      <c r="B941" s="10"/>
      <c r="C941" s="10"/>
      <c r="D941" s="11"/>
    </row>
    <row r="942" spans="1:4" ht="21.75" thickBot="1" x14ac:dyDescent="0.3">
      <c r="A942" s="43"/>
      <c r="B942" s="290"/>
      <c r="C942" s="291"/>
      <c r="D942" s="43"/>
    </row>
    <row r="943" spans="1:4" ht="21.75" thickBot="1" x14ac:dyDescent="0.3">
      <c r="A943" s="38"/>
      <c r="B943" s="44"/>
      <c r="C943" s="45"/>
      <c r="D943" s="44"/>
    </row>
    <row r="944" spans="1:4" ht="19.5" thickBot="1" x14ac:dyDescent="0.3">
      <c r="A944" s="19"/>
      <c r="B944" s="20"/>
      <c r="C944" s="63"/>
      <c r="D944" s="14"/>
    </row>
    <row r="945" spans="1:4" ht="19.5" thickBot="1" x14ac:dyDescent="0.3">
      <c r="A945" s="19"/>
      <c r="B945" s="20"/>
      <c r="C945" s="48"/>
      <c r="D945" s="46"/>
    </row>
    <row r="946" spans="1:4" ht="15.75" thickBot="1" x14ac:dyDescent="0.3">
      <c r="A946" s="32"/>
      <c r="B946" s="33"/>
      <c r="C946" s="32"/>
      <c r="D946" s="34"/>
    </row>
    <row r="947" spans="1:4" ht="15.75" thickBot="1" x14ac:dyDescent="0.3">
      <c r="A947" s="58"/>
      <c r="B947" s="58"/>
      <c r="C947" s="58"/>
      <c r="D947" s="35"/>
    </row>
    <row r="948" spans="1:4" ht="15.75" x14ac:dyDescent="0.25">
      <c r="A948" s="285"/>
      <c r="B948" s="59"/>
      <c r="C948" s="59"/>
      <c r="D948" s="60"/>
    </row>
    <row r="949" spans="1:4" ht="16.5" thickBot="1" x14ac:dyDescent="0.3">
      <c r="A949" s="286"/>
      <c r="B949" s="62"/>
      <c r="C949" s="62"/>
      <c r="D949" s="61"/>
    </row>
    <row r="950" spans="1:4" ht="15.75" x14ac:dyDescent="0.25">
      <c r="A950" s="285"/>
      <c r="B950" s="59"/>
      <c r="C950" s="59"/>
      <c r="D950" s="60"/>
    </row>
    <row r="951" spans="1:4" ht="16.5" thickBot="1" x14ac:dyDescent="0.3">
      <c r="A951" s="286"/>
      <c r="B951" s="62"/>
      <c r="C951" s="62"/>
      <c r="D951" s="61"/>
    </row>
    <row r="952" spans="1:4" ht="16.5" thickBot="1" x14ac:dyDescent="0.3">
      <c r="A952" s="57"/>
      <c r="B952" s="36"/>
      <c r="C952" s="36"/>
      <c r="D952" s="36"/>
    </row>
    <row r="953" spans="1:4" ht="15.75" thickBot="1" x14ac:dyDescent="0.3">
      <c r="A953" s="287"/>
      <c r="B953" s="288"/>
      <c r="C953" s="288"/>
      <c r="D953" s="289"/>
    </row>
    <row r="954" spans="1:4" ht="18.75" x14ac:dyDescent="0.25">
      <c r="A954" s="5"/>
      <c r="B954" s="6"/>
      <c r="C954" s="7"/>
      <c r="D954" s="8"/>
    </row>
    <row r="955" spans="1:4" ht="19.5" thickBot="1" x14ac:dyDescent="0.3">
      <c r="A955" s="9"/>
      <c r="B955" s="10"/>
      <c r="C955" s="10"/>
      <c r="D955" s="11"/>
    </row>
    <row r="956" spans="1:4" ht="21.75" thickBot="1" x14ac:dyDescent="0.3">
      <c r="A956" s="43"/>
      <c r="B956" s="290"/>
      <c r="C956" s="291"/>
      <c r="D956" s="43"/>
    </row>
    <row r="957" spans="1:4" ht="21.75" thickBot="1" x14ac:dyDescent="0.3">
      <c r="A957" s="38"/>
      <c r="B957" s="44"/>
      <c r="C957" s="45"/>
      <c r="D957" s="44"/>
    </row>
    <row r="958" spans="1:4" ht="19.5" thickBot="1" x14ac:dyDescent="0.3">
      <c r="A958" s="19"/>
      <c r="B958" s="20"/>
      <c r="C958" s="63"/>
      <c r="D958" s="14"/>
    </row>
    <row r="959" spans="1:4" ht="19.5" thickBot="1" x14ac:dyDescent="0.3">
      <c r="A959" s="19"/>
      <c r="B959" s="20"/>
      <c r="C959" s="63"/>
      <c r="D959" s="14"/>
    </row>
    <row r="960" spans="1:4" ht="19.5" thickBot="1" x14ac:dyDescent="0.3">
      <c r="A960" s="19"/>
      <c r="B960" s="20"/>
      <c r="C960" s="48"/>
      <c r="D960" s="46"/>
    </row>
    <row r="961" spans="1:4" ht="15.75" thickBot="1" x14ac:dyDescent="0.3">
      <c r="A961" s="32"/>
      <c r="B961" s="33"/>
      <c r="C961" s="32"/>
      <c r="D961" s="34"/>
    </row>
    <row r="962" spans="1:4" ht="15.75" thickBot="1" x14ac:dyDescent="0.3">
      <c r="A962" s="58"/>
      <c r="B962" s="58"/>
      <c r="C962" s="58"/>
      <c r="D962" s="35"/>
    </row>
    <row r="963" spans="1:4" ht="15.75" x14ac:dyDescent="0.25">
      <c r="A963" s="285"/>
      <c r="B963" s="59"/>
      <c r="C963" s="59"/>
      <c r="D963" s="60"/>
    </row>
    <row r="964" spans="1:4" ht="16.5" thickBot="1" x14ac:dyDescent="0.3">
      <c r="A964" s="286"/>
      <c r="B964" s="62"/>
      <c r="C964" s="62"/>
      <c r="D964" s="61"/>
    </row>
    <row r="965" spans="1:4" ht="15.75" x14ac:dyDescent="0.25">
      <c r="A965" s="285"/>
      <c r="B965" s="59"/>
      <c r="C965" s="59"/>
      <c r="D965" s="60"/>
    </row>
    <row r="966" spans="1:4" ht="16.5" thickBot="1" x14ac:dyDescent="0.3">
      <c r="A966" s="286"/>
      <c r="B966" s="62"/>
      <c r="C966" s="62"/>
      <c r="D966" s="61"/>
    </row>
    <row r="967" spans="1:4" ht="16.5" thickBot="1" x14ac:dyDescent="0.3">
      <c r="A967" s="57"/>
      <c r="B967" s="36"/>
      <c r="C967" s="36"/>
      <c r="D967" s="36"/>
    </row>
    <row r="968" spans="1:4" ht="15.75" thickBot="1" x14ac:dyDescent="0.3">
      <c r="A968" s="287"/>
      <c r="B968" s="288"/>
      <c r="C968" s="288"/>
      <c r="D968" s="289"/>
    </row>
    <row r="969" spans="1:4" ht="18.75" x14ac:dyDescent="0.25">
      <c r="A969" s="5"/>
      <c r="B969" s="6"/>
      <c r="C969" s="7"/>
      <c r="D969" s="8"/>
    </row>
    <row r="970" spans="1:4" ht="19.5" thickBot="1" x14ac:dyDescent="0.3">
      <c r="A970" s="9"/>
      <c r="B970" s="10"/>
      <c r="C970" s="10"/>
      <c r="D970" s="11"/>
    </row>
    <row r="971" spans="1:4" ht="21.75" thickBot="1" x14ac:dyDescent="0.3">
      <c r="A971" s="43"/>
      <c r="B971" s="290"/>
      <c r="C971" s="291"/>
      <c r="D971" s="43"/>
    </row>
    <row r="972" spans="1:4" ht="21.75" thickBot="1" x14ac:dyDescent="0.3">
      <c r="A972" s="38"/>
      <c r="B972" s="44"/>
      <c r="C972" s="45"/>
      <c r="D972" s="44"/>
    </row>
    <row r="973" spans="1:4" ht="19.5" thickBot="1" x14ac:dyDescent="0.3">
      <c r="A973" s="19"/>
      <c r="B973" s="20"/>
      <c r="C973" s="63"/>
      <c r="D973" s="14"/>
    </row>
    <row r="974" spans="1:4" ht="19.5" thickBot="1" x14ac:dyDescent="0.3">
      <c r="A974" s="19"/>
      <c r="B974" s="20"/>
      <c r="C974" s="48"/>
      <c r="D974" s="46"/>
    </row>
    <row r="975" spans="1:4" ht="15.75" thickBot="1" x14ac:dyDescent="0.3">
      <c r="A975" s="32"/>
      <c r="B975" s="33"/>
      <c r="C975" s="32"/>
      <c r="D975" s="34"/>
    </row>
    <row r="976" spans="1:4" ht="15.75" thickBot="1" x14ac:dyDescent="0.3">
      <c r="A976" s="58"/>
      <c r="B976" s="58"/>
      <c r="C976" s="58"/>
      <c r="D976" s="35"/>
    </row>
    <row r="977" spans="1:4" ht="15.75" x14ac:dyDescent="0.25">
      <c r="A977" s="285"/>
      <c r="B977" s="59"/>
      <c r="C977" s="59"/>
      <c r="D977" s="60"/>
    </row>
    <row r="978" spans="1:4" ht="16.5" thickBot="1" x14ac:dyDescent="0.3">
      <c r="A978" s="286"/>
      <c r="B978" s="62"/>
      <c r="C978" s="62"/>
      <c r="D978" s="61"/>
    </row>
    <row r="979" spans="1:4" ht="15.75" x14ac:dyDescent="0.25">
      <c r="A979" s="285"/>
      <c r="B979" s="59"/>
      <c r="C979" s="59"/>
      <c r="D979" s="60"/>
    </row>
    <row r="980" spans="1:4" ht="16.5" thickBot="1" x14ac:dyDescent="0.3">
      <c r="A980" s="286"/>
      <c r="B980" s="62"/>
      <c r="C980" s="62"/>
      <c r="D980" s="61"/>
    </row>
    <row r="981" spans="1:4" ht="16.5" thickBot="1" x14ac:dyDescent="0.3">
      <c r="A981" s="57"/>
      <c r="B981" s="36"/>
      <c r="C981" s="36"/>
      <c r="D981" s="36"/>
    </row>
    <row r="982" spans="1:4" ht="15.75" thickBot="1" x14ac:dyDescent="0.3">
      <c r="A982" s="287"/>
      <c r="B982" s="288"/>
      <c r="C982" s="288"/>
      <c r="D982" s="289"/>
    </row>
    <row r="983" spans="1:4" ht="18.75" x14ac:dyDescent="0.25">
      <c r="A983" s="5"/>
      <c r="B983" s="6"/>
      <c r="C983" s="7"/>
      <c r="D983" s="8"/>
    </row>
    <row r="984" spans="1:4" ht="19.5" thickBot="1" x14ac:dyDescent="0.3">
      <c r="A984" s="9"/>
      <c r="B984" s="10"/>
      <c r="C984" s="10"/>
      <c r="D984" s="11"/>
    </row>
    <row r="985" spans="1:4" ht="21.75" thickBot="1" x14ac:dyDescent="0.3">
      <c r="A985" s="43"/>
      <c r="B985" s="290"/>
      <c r="C985" s="291"/>
      <c r="D985" s="43"/>
    </row>
    <row r="986" spans="1:4" ht="21.75" thickBot="1" x14ac:dyDescent="0.3">
      <c r="A986" s="38"/>
      <c r="B986" s="44"/>
      <c r="C986" s="45"/>
      <c r="D986" s="44"/>
    </row>
    <row r="987" spans="1:4" ht="19.5" thickBot="1" x14ac:dyDescent="0.3">
      <c r="A987" s="19"/>
      <c r="B987" s="20"/>
      <c r="C987" s="63"/>
      <c r="D987" s="14"/>
    </row>
    <row r="988" spans="1:4" ht="19.5" thickBot="1" x14ac:dyDescent="0.3">
      <c r="A988" s="19"/>
      <c r="B988" s="20"/>
      <c r="C988" s="63"/>
      <c r="D988" s="14"/>
    </row>
    <row r="989" spans="1:4" ht="19.5" thickBot="1" x14ac:dyDescent="0.3">
      <c r="A989" s="19"/>
      <c r="B989" s="20"/>
      <c r="C989" s="48"/>
      <c r="D989" s="46"/>
    </row>
    <row r="990" spans="1:4" ht="15.75" thickBot="1" x14ac:dyDescent="0.3">
      <c r="A990" s="32"/>
      <c r="B990" s="33"/>
      <c r="C990" s="32"/>
      <c r="D990" s="34"/>
    </row>
    <row r="991" spans="1:4" ht="15.75" thickBot="1" x14ac:dyDescent="0.3">
      <c r="A991" s="58"/>
      <c r="B991" s="58"/>
      <c r="C991" s="58"/>
      <c r="D991" s="35"/>
    </row>
    <row r="992" spans="1:4" ht="15.75" x14ac:dyDescent="0.25">
      <c r="A992" s="285"/>
      <c r="B992" s="59"/>
      <c r="C992" s="59"/>
      <c r="D992" s="60"/>
    </row>
    <row r="993" spans="1:4" ht="16.5" thickBot="1" x14ac:dyDescent="0.3">
      <c r="A993" s="286"/>
      <c r="B993" s="62"/>
      <c r="C993" s="62"/>
      <c r="D993" s="61"/>
    </row>
    <row r="994" spans="1:4" ht="15.75" x14ac:dyDescent="0.25">
      <c r="A994" s="285"/>
      <c r="B994" s="59"/>
      <c r="C994" s="59"/>
      <c r="D994" s="60"/>
    </row>
    <row r="995" spans="1:4" ht="16.5" thickBot="1" x14ac:dyDescent="0.3">
      <c r="A995" s="286"/>
      <c r="B995" s="62"/>
      <c r="C995" s="62"/>
      <c r="D995" s="61"/>
    </row>
    <row r="996" spans="1:4" ht="16.5" thickBot="1" x14ac:dyDescent="0.3">
      <c r="A996" s="57"/>
      <c r="B996" s="36"/>
      <c r="C996" s="36"/>
      <c r="D996" s="36"/>
    </row>
    <row r="997" spans="1:4" ht="15.75" thickBot="1" x14ac:dyDescent="0.3">
      <c r="A997" s="287"/>
      <c r="B997" s="288"/>
      <c r="C997" s="288"/>
      <c r="D997" s="289"/>
    </row>
    <row r="998" spans="1:4" ht="18.75" x14ac:dyDescent="0.25">
      <c r="A998" s="5"/>
      <c r="B998" s="6"/>
      <c r="C998" s="7"/>
      <c r="D998" s="8"/>
    </row>
    <row r="999" spans="1:4" ht="19.5" thickBot="1" x14ac:dyDescent="0.3">
      <c r="A999" s="9"/>
      <c r="B999" s="10"/>
      <c r="C999" s="10"/>
      <c r="D999" s="11"/>
    </row>
    <row r="1000" spans="1:4" ht="21.75" thickBot="1" x14ac:dyDescent="0.3">
      <c r="A1000" s="43"/>
      <c r="B1000" s="290"/>
      <c r="C1000" s="291"/>
      <c r="D1000" s="43"/>
    </row>
    <row r="1001" spans="1:4" ht="21.75" thickBot="1" x14ac:dyDescent="0.3">
      <c r="A1001" s="38"/>
      <c r="B1001" s="44"/>
      <c r="C1001" s="45"/>
      <c r="D1001" s="44"/>
    </row>
    <row r="1002" spans="1:4" ht="19.5" thickBot="1" x14ac:dyDescent="0.3">
      <c r="A1002" s="19"/>
      <c r="B1002" s="20"/>
      <c r="C1002" s="63"/>
      <c r="D1002" s="14"/>
    </row>
    <row r="1003" spans="1:4" ht="19.5" thickBot="1" x14ac:dyDescent="0.3">
      <c r="A1003" s="19"/>
      <c r="B1003" s="20"/>
      <c r="C1003" s="48"/>
      <c r="D1003" s="46"/>
    </row>
    <row r="1004" spans="1:4" ht="15.75" thickBot="1" x14ac:dyDescent="0.3">
      <c r="A1004" s="32"/>
      <c r="B1004" s="33"/>
      <c r="C1004" s="32"/>
      <c r="D1004" s="34"/>
    </row>
    <row r="1005" spans="1:4" ht="15.75" thickBot="1" x14ac:dyDescent="0.3">
      <c r="A1005" s="58"/>
      <c r="B1005" s="58"/>
      <c r="C1005" s="58"/>
      <c r="D1005" s="35"/>
    </row>
    <row r="1006" spans="1:4" ht="15.75" x14ac:dyDescent="0.25">
      <c r="A1006" s="285"/>
      <c r="B1006" s="59"/>
      <c r="C1006" s="59"/>
      <c r="D1006" s="60"/>
    </row>
    <row r="1007" spans="1:4" ht="16.5" thickBot="1" x14ac:dyDescent="0.3">
      <c r="A1007" s="286"/>
      <c r="B1007" s="62"/>
      <c r="C1007" s="62"/>
      <c r="D1007" s="61"/>
    </row>
    <row r="1008" spans="1:4" ht="15.75" x14ac:dyDescent="0.25">
      <c r="A1008" s="285"/>
      <c r="B1008" s="59"/>
      <c r="C1008" s="59"/>
      <c r="D1008" s="60"/>
    </row>
    <row r="1009" spans="1:4" ht="16.5" thickBot="1" x14ac:dyDescent="0.3">
      <c r="A1009" s="286"/>
      <c r="B1009" s="62"/>
      <c r="C1009" s="62"/>
      <c r="D1009" s="61"/>
    </row>
    <row r="1010" spans="1:4" ht="16.5" thickBot="1" x14ac:dyDescent="0.3">
      <c r="A1010" s="57"/>
      <c r="B1010" s="36"/>
      <c r="C1010" s="36"/>
      <c r="D1010" s="36"/>
    </row>
    <row r="1011" spans="1:4" ht="15.75" thickBot="1" x14ac:dyDescent="0.3">
      <c r="A1011" s="287"/>
      <c r="B1011" s="288"/>
      <c r="C1011" s="288"/>
      <c r="D1011" s="289"/>
    </row>
    <row r="1012" spans="1:4" ht="18.75" x14ac:dyDescent="0.25">
      <c r="A1012" s="5"/>
      <c r="B1012" s="6"/>
      <c r="C1012" s="7"/>
      <c r="D1012" s="8"/>
    </row>
    <row r="1013" spans="1:4" ht="19.5" thickBot="1" x14ac:dyDescent="0.3">
      <c r="A1013" s="9"/>
      <c r="B1013" s="10"/>
      <c r="C1013" s="10"/>
      <c r="D1013" s="11"/>
    </row>
    <row r="1014" spans="1:4" ht="21.75" thickBot="1" x14ac:dyDescent="0.3">
      <c r="A1014" s="43"/>
      <c r="B1014" s="290"/>
      <c r="C1014" s="291"/>
      <c r="D1014" s="43"/>
    </row>
    <row r="1015" spans="1:4" ht="21.75" thickBot="1" x14ac:dyDescent="0.3">
      <c r="A1015" s="38"/>
      <c r="B1015" s="44"/>
      <c r="C1015" s="45"/>
      <c r="D1015" s="44"/>
    </row>
    <row r="1016" spans="1:4" ht="19.5" thickBot="1" x14ac:dyDescent="0.3">
      <c r="A1016" s="19"/>
      <c r="B1016" s="20"/>
      <c r="C1016" s="63"/>
      <c r="D1016" s="14"/>
    </row>
    <row r="1017" spans="1:4" ht="19.5" thickBot="1" x14ac:dyDescent="0.3">
      <c r="A1017" s="19"/>
      <c r="B1017" s="20"/>
      <c r="C1017" s="63"/>
      <c r="D1017" s="14"/>
    </row>
    <row r="1018" spans="1:4" ht="19.5" thickBot="1" x14ac:dyDescent="0.3">
      <c r="A1018" s="19"/>
      <c r="B1018" s="20"/>
      <c r="C1018" s="48"/>
      <c r="D1018" s="46"/>
    </row>
    <row r="1019" spans="1:4" ht="15.75" thickBot="1" x14ac:dyDescent="0.3">
      <c r="A1019" s="32"/>
      <c r="B1019" s="33"/>
      <c r="C1019" s="32"/>
      <c r="D1019" s="34"/>
    </row>
    <row r="1020" spans="1:4" ht="15.75" thickBot="1" x14ac:dyDescent="0.3">
      <c r="A1020" s="58"/>
      <c r="B1020" s="58"/>
      <c r="C1020" s="58"/>
      <c r="D1020" s="35"/>
    </row>
    <row r="1021" spans="1:4" ht="15.75" x14ac:dyDescent="0.25">
      <c r="A1021" s="285"/>
      <c r="B1021" s="59"/>
      <c r="C1021" s="59"/>
      <c r="D1021" s="60"/>
    </row>
    <row r="1022" spans="1:4" ht="16.5" thickBot="1" x14ac:dyDescent="0.3">
      <c r="A1022" s="286"/>
      <c r="B1022" s="62"/>
      <c r="C1022" s="62"/>
      <c r="D1022" s="61"/>
    </row>
    <row r="1023" spans="1:4" ht="15.75" x14ac:dyDescent="0.25">
      <c r="A1023" s="285"/>
      <c r="B1023" s="59"/>
      <c r="C1023" s="59"/>
      <c r="D1023" s="60"/>
    </row>
    <row r="1024" spans="1:4" ht="16.5" thickBot="1" x14ac:dyDescent="0.3">
      <c r="A1024" s="286"/>
      <c r="B1024" s="62"/>
      <c r="C1024" s="62"/>
      <c r="D1024" s="61"/>
    </row>
    <row r="1025" spans="1:4" ht="16.5" thickBot="1" x14ac:dyDescent="0.3">
      <c r="A1025" s="57"/>
      <c r="B1025" s="36"/>
      <c r="C1025" s="36"/>
      <c r="D1025" s="36"/>
    </row>
    <row r="1026" spans="1:4" ht="15.75" thickBot="1" x14ac:dyDescent="0.3">
      <c r="A1026" s="287"/>
      <c r="B1026" s="288"/>
      <c r="C1026" s="288"/>
      <c r="D1026" s="289"/>
    </row>
    <row r="1027" spans="1:4" ht="18.75" x14ac:dyDescent="0.25">
      <c r="A1027" s="5"/>
      <c r="B1027" s="6"/>
      <c r="C1027" s="7"/>
      <c r="D1027" s="8"/>
    </row>
    <row r="1028" spans="1:4" ht="19.5" thickBot="1" x14ac:dyDescent="0.3">
      <c r="A1028" s="9"/>
      <c r="B1028" s="10"/>
      <c r="C1028" s="10"/>
      <c r="D1028" s="11"/>
    </row>
    <row r="1029" spans="1:4" ht="21.75" thickBot="1" x14ac:dyDescent="0.3">
      <c r="A1029" s="43"/>
      <c r="B1029" s="290"/>
      <c r="C1029" s="291"/>
      <c r="D1029" s="43"/>
    </row>
    <row r="1030" spans="1:4" ht="21.75" thickBot="1" x14ac:dyDescent="0.3">
      <c r="A1030" s="38"/>
      <c r="B1030" s="44"/>
      <c r="C1030" s="45"/>
      <c r="D1030" s="44"/>
    </row>
    <row r="1031" spans="1:4" ht="19.5" thickBot="1" x14ac:dyDescent="0.3">
      <c r="A1031" s="19"/>
      <c r="B1031" s="20"/>
      <c r="C1031" s="63"/>
      <c r="D1031" s="14"/>
    </row>
    <row r="1032" spans="1:4" ht="19.5" thickBot="1" x14ac:dyDescent="0.3">
      <c r="A1032" s="19"/>
      <c r="B1032" s="20"/>
      <c r="C1032" s="48"/>
      <c r="D1032" s="46"/>
    </row>
    <row r="1033" spans="1:4" ht="15.75" thickBot="1" x14ac:dyDescent="0.3">
      <c r="A1033" s="32"/>
      <c r="B1033" s="33"/>
      <c r="C1033" s="32"/>
      <c r="D1033" s="34"/>
    </row>
    <row r="1034" spans="1:4" ht="15.75" thickBot="1" x14ac:dyDescent="0.3">
      <c r="A1034" s="58"/>
      <c r="B1034" s="58"/>
      <c r="C1034" s="58"/>
      <c r="D1034" s="35"/>
    </row>
    <row r="1035" spans="1:4" ht="15.75" x14ac:dyDescent="0.25">
      <c r="A1035" s="285"/>
      <c r="B1035" s="59"/>
      <c r="C1035" s="59"/>
      <c r="D1035" s="60"/>
    </row>
    <row r="1036" spans="1:4" ht="16.5" thickBot="1" x14ac:dyDescent="0.3">
      <c r="A1036" s="286"/>
      <c r="B1036" s="62"/>
      <c r="C1036" s="62"/>
      <c r="D1036" s="61"/>
    </row>
    <row r="1037" spans="1:4" ht="15.75" x14ac:dyDescent="0.25">
      <c r="A1037" s="285"/>
      <c r="B1037" s="59"/>
      <c r="C1037" s="59"/>
      <c r="D1037" s="60"/>
    </row>
    <row r="1038" spans="1:4" ht="16.5" thickBot="1" x14ac:dyDescent="0.3">
      <c r="A1038" s="286"/>
      <c r="B1038" s="62"/>
      <c r="C1038" s="62"/>
      <c r="D1038" s="61"/>
    </row>
    <row r="1039" spans="1:4" ht="16.5" thickBot="1" x14ac:dyDescent="0.3">
      <c r="A1039" s="57"/>
      <c r="B1039" s="36"/>
      <c r="C1039" s="36"/>
      <c r="D1039" s="36"/>
    </row>
    <row r="1040" spans="1:4" ht="15.75" thickBot="1" x14ac:dyDescent="0.3">
      <c r="A1040" s="287"/>
      <c r="B1040" s="288"/>
      <c r="C1040" s="288"/>
      <c r="D1040" s="289"/>
    </row>
    <row r="1041" spans="1:4" ht="18.75" x14ac:dyDescent="0.25">
      <c r="A1041" s="5"/>
      <c r="B1041" s="6"/>
      <c r="C1041" s="7"/>
      <c r="D1041" s="8"/>
    </row>
    <row r="1042" spans="1:4" ht="19.5" thickBot="1" x14ac:dyDescent="0.3">
      <c r="A1042" s="9"/>
      <c r="B1042" s="10"/>
      <c r="C1042" s="10"/>
      <c r="D1042" s="11"/>
    </row>
    <row r="1043" spans="1:4" ht="21.75" thickBot="1" x14ac:dyDescent="0.3">
      <c r="A1043" s="43"/>
      <c r="B1043" s="290"/>
      <c r="C1043" s="291"/>
      <c r="D1043" s="43"/>
    </row>
    <row r="1044" spans="1:4" ht="21.75" thickBot="1" x14ac:dyDescent="0.3">
      <c r="A1044" s="38"/>
      <c r="B1044" s="44"/>
      <c r="C1044" s="45"/>
      <c r="D1044" s="44"/>
    </row>
    <row r="1045" spans="1:4" ht="19.5" thickBot="1" x14ac:dyDescent="0.3">
      <c r="A1045" s="19"/>
      <c r="B1045" s="20"/>
      <c r="C1045" s="63"/>
      <c r="D1045" s="14"/>
    </row>
    <row r="1046" spans="1:4" ht="19.5" thickBot="1" x14ac:dyDescent="0.3">
      <c r="A1046" s="19"/>
      <c r="B1046" s="20"/>
      <c r="C1046" s="63"/>
      <c r="D1046" s="14"/>
    </row>
    <row r="1047" spans="1:4" ht="19.5" thickBot="1" x14ac:dyDescent="0.3">
      <c r="A1047" s="19"/>
      <c r="B1047" s="20"/>
      <c r="C1047" s="48"/>
      <c r="D1047" s="46"/>
    </row>
    <row r="1048" spans="1:4" ht="15.75" thickBot="1" x14ac:dyDescent="0.3">
      <c r="A1048" s="32"/>
      <c r="B1048" s="33"/>
      <c r="C1048" s="32"/>
      <c r="D1048" s="34"/>
    </row>
    <row r="1049" spans="1:4" ht="15.75" thickBot="1" x14ac:dyDescent="0.3">
      <c r="A1049" s="58"/>
      <c r="B1049" s="58"/>
      <c r="C1049" s="58"/>
      <c r="D1049" s="35"/>
    </row>
    <row r="1050" spans="1:4" ht="15.75" x14ac:dyDescent="0.25">
      <c r="A1050" s="285"/>
      <c r="B1050" s="59"/>
      <c r="C1050" s="59"/>
      <c r="D1050" s="60"/>
    </row>
    <row r="1051" spans="1:4" ht="16.5" thickBot="1" x14ac:dyDescent="0.3">
      <c r="A1051" s="286"/>
      <c r="B1051" s="62"/>
      <c r="C1051" s="62"/>
      <c r="D1051" s="61"/>
    </row>
    <row r="1052" spans="1:4" ht="15.75" x14ac:dyDescent="0.25">
      <c r="A1052" s="285"/>
      <c r="B1052" s="59"/>
      <c r="C1052" s="59"/>
      <c r="D1052" s="60"/>
    </row>
    <row r="1053" spans="1:4" ht="16.5" thickBot="1" x14ac:dyDescent="0.3">
      <c r="A1053" s="286"/>
      <c r="B1053" s="62"/>
      <c r="C1053" s="62"/>
      <c r="D1053" s="61"/>
    </row>
    <row r="1054" spans="1:4" ht="16.5" thickBot="1" x14ac:dyDescent="0.3">
      <c r="A1054" s="57"/>
      <c r="B1054" s="36"/>
      <c r="C1054" s="36"/>
      <c r="D1054" s="36"/>
    </row>
    <row r="1055" spans="1:4" ht="15.75" thickBot="1" x14ac:dyDescent="0.3">
      <c r="A1055" s="287"/>
      <c r="B1055" s="288"/>
      <c r="C1055" s="288"/>
      <c r="D1055" s="289"/>
    </row>
    <row r="1056" spans="1:4" ht="18.75" x14ac:dyDescent="0.25">
      <c r="A1056" s="5"/>
      <c r="B1056" s="6"/>
      <c r="C1056" s="7"/>
      <c r="D1056" s="8"/>
    </row>
    <row r="1057" spans="1:4" ht="19.5" thickBot="1" x14ac:dyDescent="0.3">
      <c r="A1057" s="9"/>
      <c r="B1057" s="10"/>
      <c r="C1057" s="10"/>
      <c r="D1057" s="11"/>
    </row>
    <row r="1058" spans="1:4" ht="21.75" thickBot="1" x14ac:dyDescent="0.3">
      <c r="A1058" s="43"/>
      <c r="B1058" s="290"/>
      <c r="C1058" s="291"/>
      <c r="D1058" s="43"/>
    </row>
    <row r="1059" spans="1:4" ht="21.75" thickBot="1" x14ac:dyDescent="0.3">
      <c r="A1059" s="38"/>
      <c r="B1059" s="44"/>
      <c r="C1059" s="45"/>
      <c r="D1059" s="44"/>
    </row>
    <row r="1060" spans="1:4" ht="19.5" thickBot="1" x14ac:dyDescent="0.3">
      <c r="A1060" s="19"/>
      <c r="B1060" s="20"/>
      <c r="C1060" s="63"/>
      <c r="D1060" s="14"/>
    </row>
    <row r="1061" spans="1:4" ht="19.5" thickBot="1" x14ac:dyDescent="0.3">
      <c r="A1061" s="19"/>
      <c r="B1061" s="20"/>
      <c r="C1061" s="48"/>
      <c r="D1061" s="46"/>
    </row>
    <row r="1062" spans="1:4" ht="15.75" thickBot="1" x14ac:dyDescent="0.3">
      <c r="A1062" s="32"/>
      <c r="B1062" s="33"/>
      <c r="C1062" s="32"/>
      <c r="D1062" s="34"/>
    </row>
    <row r="1063" spans="1:4" ht="15.75" thickBot="1" x14ac:dyDescent="0.3">
      <c r="A1063" s="58"/>
      <c r="B1063" s="58"/>
      <c r="C1063" s="58"/>
      <c r="D1063" s="35"/>
    </row>
    <row r="1064" spans="1:4" ht="15.75" x14ac:dyDescent="0.25">
      <c r="A1064" s="285"/>
      <c r="B1064" s="59"/>
      <c r="C1064" s="59"/>
      <c r="D1064" s="60"/>
    </row>
    <row r="1065" spans="1:4" ht="16.5" thickBot="1" x14ac:dyDescent="0.3">
      <c r="A1065" s="286"/>
      <c r="B1065" s="62"/>
      <c r="C1065" s="62"/>
      <c r="D1065" s="61"/>
    </row>
    <row r="1066" spans="1:4" ht="15.75" x14ac:dyDescent="0.25">
      <c r="A1066" s="285"/>
      <c r="B1066" s="59"/>
      <c r="C1066" s="59"/>
      <c r="D1066" s="60"/>
    </row>
    <row r="1067" spans="1:4" ht="16.5" thickBot="1" x14ac:dyDescent="0.3">
      <c r="A1067" s="286"/>
      <c r="B1067" s="62"/>
      <c r="C1067" s="62"/>
      <c r="D1067" s="61"/>
    </row>
    <row r="1068" spans="1:4" ht="16.5" thickBot="1" x14ac:dyDescent="0.3">
      <c r="A1068" s="57"/>
      <c r="B1068" s="36"/>
      <c r="C1068" s="36"/>
      <c r="D1068" s="36"/>
    </row>
    <row r="1069" spans="1:4" ht="15.75" thickBot="1" x14ac:dyDescent="0.3">
      <c r="A1069" s="287"/>
      <c r="B1069" s="288"/>
      <c r="C1069" s="288"/>
      <c r="D1069" s="289"/>
    </row>
    <row r="1070" spans="1:4" ht="18.75" x14ac:dyDescent="0.25">
      <c r="A1070" s="5"/>
      <c r="B1070" s="6"/>
      <c r="C1070" s="7"/>
      <c r="D1070" s="8"/>
    </row>
    <row r="1071" spans="1:4" ht="19.5" thickBot="1" x14ac:dyDescent="0.3">
      <c r="A1071" s="9"/>
      <c r="B1071" s="10"/>
      <c r="C1071" s="10"/>
      <c r="D1071" s="11"/>
    </row>
    <row r="1072" spans="1:4" ht="21.75" thickBot="1" x14ac:dyDescent="0.3">
      <c r="A1072" s="43"/>
      <c r="B1072" s="290"/>
      <c r="C1072" s="291"/>
      <c r="D1072" s="43"/>
    </row>
    <row r="1073" spans="1:4" ht="21.75" thickBot="1" x14ac:dyDescent="0.3">
      <c r="A1073" s="38"/>
      <c r="B1073" s="44"/>
      <c r="C1073" s="45"/>
      <c r="D1073" s="44"/>
    </row>
    <row r="1074" spans="1:4" ht="19.5" thickBot="1" x14ac:dyDescent="0.3">
      <c r="A1074" s="19"/>
      <c r="B1074" s="20"/>
      <c r="C1074" s="63"/>
      <c r="D1074" s="14"/>
    </row>
    <row r="1075" spans="1:4" ht="19.5" thickBot="1" x14ac:dyDescent="0.3">
      <c r="A1075" s="19"/>
      <c r="B1075" s="20"/>
      <c r="C1075" s="63"/>
      <c r="D1075" s="14"/>
    </row>
    <row r="1076" spans="1:4" ht="19.5" thickBot="1" x14ac:dyDescent="0.3">
      <c r="A1076" s="19"/>
      <c r="B1076" s="20"/>
      <c r="C1076" s="48"/>
      <c r="D1076" s="46"/>
    </row>
    <row r="1077" spans="1:4" ht="15.75" thickBot="1" x14ac:dyDescent="0.3">
      <c r="A1077" s="32"/>
      <c r="B1077" s="33"/>
      <c r="C1077" s="32"/>
      <c r="D1077" s="34"/>
    </row>
    <row r="1078" spans="1:4" ht="15.75" thickBot="1" x14ac:dyDescent="0.3">
      <c r="A1078" s="58"/>
      <c r="B1078" s="58"/>
      <c r="C1078" s="58"/>
      <c r="D1078" s="35"/>
    </row>
    <row r="1079" spans="1:4" ht="15.75" x14ac:dyDescent="0.25">
      <c r="A1079" s="285"/>
      <c r="B1079" s="59"/>
      <c r="C1079" s="59"/>
      <c r="D1079" s="60"/>
    </row>
    <row r="1080" spans="1:4" ht="16.5" thickBot="1" x14ac:dyDescent="0.3">
      <c r="A1080" s="286"/>
      <c r="B1080" s="62"/>
      <c r="C1080" s="62"/>
      <c r="D1080" s="61"/>
    </row>
    <row r="1081" spans="1:4" ht="15.75" x14ac:dyDescent="0.25">
      <c r="A1081" s="285"/>
      <c r="B1081" s="59"/>
      <c r="C1081" s="59"/>
      <c r="D1081" s="60"/>
    </row>
    <row r="1082" spans="1:4" ht="16.5" thickBot="1" x14ac:dyDescent="0.3">
      <c r="A1082" s="286"/>
      <c r="B1082" s="62"/>
      <c r="C1082" s="62"/>
      <c r="D1082" s="61"/>
    </row>
    <row r="1083" spans="1:4" ht="16.5" thickBot="1" x14ac:dyDescent="0.3">
      <c r="A1083" s="57"/>
      <c r="B1083" s="36"/>
      <c r="C1083" s="36"/>
      <c r="D1083" s="36"/>
    </row>
    <row r="1084" spans="1:4" ht="15.75" thickBot="1" x14ac:dyDescent="0.3">
      <c r="A1084" s="287"/>
      <c r="B1084" s="288"/>
      <c r="C1084" s="288"/>
      <c r="D1084" s="289"/>
    </row>
    <row r="1085" spans="1:4" ht="18.75" x14ac:dyDescent="0.25">
      <c r="A1085" s="5"/>
      <c r="B1085" s="6"/>
      <c r="C1085" s="7"/>
      <c r="D1085" s="8"/>
    </row>
    <row r="1086" spans="1:4" ht="19.5" thickBot="1" x14ac:dyDescent="0.3">
      <c r="A1086" s="9"/>
      <c r="B1086" s="10"/>
      <c r="C1086" s="10"/>
      <c r="D1086" s="11"/>
    </row>
    <row r="1087" spans="1:4" ht="21.75" thickBot="1" x14ac:dyDescent="0.3">
      <c r="A1087" s="43"/>
      <c r="B1087" s="290"/>
      <c r="C1087" s="291"/>
      <c r="D1087" s="43"/>
    </row>
    <row r="1088" spans="1:4" ht="21.75" thickBot="1" x14ac:dyDescent="0.3">
      <c r="A1088" s="38"/>
      <c r="B1088" s="44"/>
      <c r="C1088" s="45"/>
      <c r="D1088" s="44"/>
    </row>
    <row r="1089" spans="1:4" ht="19.5" thickBot="1" x14ac:dyDescent="0.3">
      <c r="A1089" s="19"/>
      <c r="B1089" s="20"/>
      <c r="C1089" s="63"/>
      <c r="D1089" s="14"/>
    </row>
    <row r="1090" spans="1:4" ht="19.5" thickBot="1" x14ac:dyDescent="0.3">
      <c r="A1090" s="19"/>
      <c r="B1090" s="20"/>
      <c r="C1090" s="48"/>
      <c r="D1090" s="46"/>
    </row>
    <row r="1091" spans="1:4" ht="15.75" thickBot="1" x14ac:dyDescent="0.3">
      <c r="A1091" s="32"/>
      <c r="B1091" s="33"/>
      <c r="C1091" s="32"/>
      <c r="D1091" s="34"/>
    </row>
    <row r="1092" spans="1:4" ht="15.75" thickBot="1" x14ac:dyDescent="0.3">
      <c r="A1092" s="58"/>
      <c r="B1092" s="58"/>
      <c r="C1092" s="58"/>
      <c r="D1092" s="35"/>
    </row>
    <row r="1093" spans="1:4" ht="15.75" x14ac:dyDescent="0.25">
      <c r="A1093" s="285"/>
      <c r="B1093" s="59"/>
      <c r="C1093" s="59"/>
      <c r="D1093" s="60"/>
    </row>
    <row r="1094" spans="1:4" ht="16.5" thickBot="1" x14ac:dyDescent="0.3">
      <c r="A1094" s="286"/>
      <c r="B1094" s="62"/>
      <c r="C1094" s="62"/>
      <c r="D1094" s="61"/>
    </row>
    <row r="1095" spans="1:4" ht="15.75" x14ac:dyDescent="0.25">
      <c r="A1095" s="285"/>
      <c r="B1095" s="59"/>
      <c r="C1095" s="59"/>
      <c r="D1095" s="60"/>
    </row>
    <row r="1096" spans="1:4" ht="16.5" thickBot="1" x14ac:dyDescent="0.3">
      <c r="A1096" s="286"/>
      <c r="B1096" s="62"/>
      <c r="C1096" s="62"/>
      <c r="D1096" s="61"/>
    </row>
    <row r="1097" spans="1:4" ht="16.5" thickBot="1" x14ac:dyDescent="0.3">
      <c r="A1097" s="57"/>
      <c r="B1097" s="36"/>
      <c r="C1097" s="36"/>
      <c r="D1097" s="36"/>
    </row>
    <row r="1098" spans="1:4" ht="15.75" thickBot="1" x14ac:dyDescent="0.3">
      <c r="A1098" s="287"/>
      <c r="B1098" s="288"/>
      <c r="C1098" s="288"/>
      <c r="D1098" s="289"/>
    </row>
    <row r="1099" spans="1:4" ht="18.75" x14ac:dyDescent="0.25">
      <c r="A1099" s="5"/>
      <c r="B1099" s="6"/>
      <c r="C1099" s="7"/>
      <c r="D1099" s="8"/>
    </row>
    <row r="1100" spans="1:4" ht="19.5" thickBot="1" x14ac:dyDescent="0.3">
      <c r="A1100" s="9"/>
      <c r="B1100" s="10"/>
      <c r="C1100" s="10"/>
      <c r="D1100" s="11"/>
    </row>
    <row r="1101" spans="1:4" ht="21.75" thickBot="1" x14ac:dyDescent="0.3">
      <c r="A1101" s="43"/>
      <c r="B1101" s="290"/>
      <c r="C1101" s="291"/>
      <c r="D1101" s="43"/>
    </row>
    <row r="1102" spans="1:4" ht="21.75" thickBot="1" x14ac:dyDescent="0.3">
      <c r="A1102" s="38"/>
      <c r="B1102" s="44"/>
      <c r="C1102" s="45"/>
      <c r="D1102" s="44"/>
    </row>
    <row r="1103" spans="1:4" ht="19.5" thickBot="1" x14ac:dyDescent="0.3">
      <c r="A1103" s="19"/>
      <c r="B1103" s="20"/>
      <c r="C1103" s="63"/>
      <c r="D1103" s="14"/>
    </row>
    <row r="1104" spans="1:4" ht="19.5" thickBot="1" x14ac:dyDescent="0.3">
      <c r="A1104" s="19"/>
      <c r="B1104" s="20"/>
      <c r="C1104" s="63"/>
      <c r="D1104" s="14"/>
    </row>
    <row r="1105" spans="1:4" ht="19.5" thickBot="1" x14ac:dyDescent="0.3">
      <c r="A1105" s="19"/>
      <c r="B1105" s="20"/>
      <c r="C1105" s="48"/>
      <c r="D1105" s="46"/>
    </row>
    <row r="1106" spans="1:4" ht="15.75" thickBot="1" x14ac:dyDescent="0.3">
      <c r="A1106" s="32"/>
      <c r="B1106" s="33"/>
      <c r="C1106" s="32"/>
      <c r="D1106" s="34"/>
    </row>
    <row r="1107" spans="1:4" ht="15.75" thickBot="1" x14ac:dyDescent="0.3">
      <c r="A1107" s="58"/>
      <c r="B1107" s="58"/>
      <c r="C1107" s="58"/>
      <c r="D1107" s="35"/>
    </row>
    <row r="1108" spans="1:4" ht="15.75" x14ac:dyDescent="0.25">
      <c r="A1108" s="285"/>
      <c r="B1108" s="59"/>
      <c r="C1108" s="59"/>
      <c r="D1108" s="60"/>
    </row>
    <row r="1109" spans="1:4" ht="16.5" thickBot="1" x14ac:dyDescent="0.3">
      <c r="A1109" s="286"/>
      <c r="B1109" s="62"/>
      <c r="C1109" s="62"/>
      <c r="D1109" s="61"/>
    </row>
    <row r="1110" spans="1:4" ht="15.75" x14ac:dyDescent="0.25">
      <c r="A1110" s="285"/>
      <c r="B1110" s="59"/>
      <c r="C1110" s="59"/>
      <c r="D1110" s="60"/>
    </row>
    <row r="1111" spans="1:4" ht="16.5" thickBot="1" x14ac:dyDescent="0.3">
      <c r="A1111" s="286"/>
      <c r="B1111" s="62"/>
      <c r="C1111" s="62"/>
      <c r="D1111" s="61"/>
    </row>
    <row r="1112" spans="1:4" ht="16.5" thickBot="1" x14ac:dyDescent="0.3">
      <c r="A1112" s="57"/>
      <c r="B1112" s="36"/>
      <c r="C1112" s="36"/>
      <c r="D1112" s="36"/>
    </row>
    <row r="1113" spans="1:4" ht="15.75" thickBot="1" x14ac:dyDescent="0.3">
      <c r="A1113" s="287"/>
      <c r="B1113" s="288"/>
      <c r="C1113" s="288"/>
      <c r="D1113" s="289"/>
    </row>
    <row r="1114" spans="1:4" ht="18.75" x14ac:dyDescent="0.25">
      <c r="A1114" s="5"/>
      <c r="B1114" s="6"/>
      <c r="C1114" s="7"/>
      <c r="D1114" s="8"/>
    </row>
    <row r="1115" spans="1:4" ht="19.5" thickBot="1" x14ac:dyDescent="0.3">
      <c r="A1115" s="9"/>
      <c r="B1115" s="10"/>
      <c r="C1115" s="10"/>
      <c r="D1115" s="11"/>
    </row>
    <row r="1116" spans="1:4" ht="21.75" thickBot="1" x14ac:dyDescent="0.3">
      <c r="A1116" s="43"/>
      <c r="B1116" s="290"/>
      <c r="C1116" s="291"/>
      <c r="D1116" s="43"/>
    </row>
    <row r="1117" spans="1:4" ht="21.75" thickBot="1" x14ac:dyDescent="0.3">
      <c r="A1117" s="38"/>
      <c r="B1117" s="44"/>
      <c r="C1117" s="45"/>
      <c r="D1117" s="44"/>
    </row>
    <row r="1118" spans="1:4" ht="19.5" thickBot="1" x14ac:dyDescent="0.3">
      <c r="A1118" s="19"/>
      <c r="B1118" s="20"/>
      <c r="C1118" s="63"/>
      <c r="D1118" s="14"/>
    </row>
    <row r="1119" spans="1:4" ht="19.5" thickBot="1" x14ac:dyDescent="0.3">
      <c r="A1119" s="19"/>
      <c r="B1119" s="20"/>
      <c r="C1119" s="48"/>
      <c r="D1119" s="46"/>
    </row>
    <row r="1120" spans="1:4" ht="15.75" thickBot="1" x14ac:dyDescent="0.3">
      <c r="A1120" s="32"/>
      <c r="B1120" s="33"/>
      <c r="C1120" s="32"/>
      <c r="D1120" s="34"/>
    </row>
    <row r="1121" spans="1:4" ht="15.75" thickBot="1" x14ac:dyDescent="0.3">
      <c r="A1121" s="58"/>
      <c r="B1121" s="58"/>
      <c r="C1121" s="58"/>
      <c r="D1121" s="35"/>
    </row>
    <row r="1122" spans="1:4" ht="15.75" x14ac:dyDescent="0.25">
      <c r="A1122" s="285"/>
      <c r="B1122" s="59"/>
      <c r="C1122" s="59"/>
      <c r="D1122" s="60"/>
    </row>
    <row r="1123" spans="1:4" ht="16.5" thickBot="1" x14ac:dyDescent="0.3">
      <c r="A1123" s="286"/>
      <c r="B1123" s="62"/>
      <c r="C1123" s="62"/>
      <c r="D1123" s="61"/>
    </row>
    <row r="1124" spans="1:4" ht="15.75" x14ac:dyDescent="0.25">
      <c r="A1124" s="285"/>
      <c r="B1124" s="59"/>
      <c r="C1124" s="59"/>
      <c r="D1124" s="60"/>
    </row>
    <row r="1125" spans="1:4" ht="16.5" thickBot="1" x14ac:dyDescent="0.3">
      <c r="A1125" s="286"/>
      <c r="B1125" s="62"/>
      <c r="C1125" s="62"/>
      <c r="D1125" s="61"/>
    </row>
    <row r="1126" spans="1:4" ht="16.5" thickBot="1" x14ac:dyDescent="0.3">
      <c r="A1126" s="57"/>
      <c r="B1126" s="36"/>
      <c r="C1126" s="36"/>
      <c r="D1126" s="36"/>
    </row>
    <row r="1127" spans="1:4" ht="15.75" thickBot="1" x14ac:dyDescent="0.3">
      <c r="A1127" s="287"/>
      <c r="B1127" s="288"/>
      <c r="C1127" s="288"/>
      <c r="D1127" s="289"/>
    </row>
    <row r="1128" spans="1:4" ht="18.75" x14ac:dyDescent="0.25">
      <c r="A1128" s="5"/>
      <c r="B1128" s="6"/>
      <c r="C1128" s="7"/>
      <c r="D1128" s="8"/>
    </row>
    <row r="1129" spans="1:4" ht="19.5" thickBot="1" x14ac:dyDescent="0.3">
      <c r="A1129" s="9"/>
      <c r="B1129" s="10"/>
      <c r="C1129" s="10"/>
      <c r="D1129" s="11"/>
    </row>
    <row r="1130" spans="1:4" ht="21.75" thickBot="1" x14ac:dyDescent="0.3">
      <c r="A1130" s="43"/>
      <c r="B1130" s="290"/>
      <c r="C1130" s="291"/>
      <c r="D1130" s="43"/>
    </row>
    <row r="1131" spans="1:4" ht="21.75" thickBot="1" x14ac:dyDescent="0.3">
      <c r="A1131" s="38"/>
      <c r="B1131" s="44"/>
      <c r="C1131" s="45"/>
      <c r="D1131" s="44"/>
    </row>
    <row r="1132" spans="1:4" ht="19.5" thickBot="1" x14ac:dyDescent="0.3">
      <c r="A1132" s="19"/>
      <c r="B1132" s="20"/>
      <c r="C1132" s="63"/>
      <c r="D1132" s="14"/>
    </row>
    <row r="1133" spans="1:4" ht="19.5" thickBot="1" x14ac:dyDescent="0.3">
      <c r="A1133" s="19"/>
      <c r="B1133" s="20"/>
      <c r="C1133" s="63"/>
      <c r="D1133" s="14"/>
    </row>
    <row r="1134" spans="1:4" ht="19.5" thickBot="1" x14ac:dyDescent="0.3">
      <c r="A1134" s="19"/>
      <c r="B1134" s="20"/>
      <c r="C1134" s="48"/>
      <c r="D1134" s="46"/>
    </row>
    <row r="1135" spans="1:4" ht="15.75" thickBot="1" x14ac:dyDescent="0.3">
      <c r="A1135" s="32"/>
      <c r="B1135" s="33"/>
      <c r="C1135" s="32"/>
      <c r="D1135" s="34"/>
    </row>
    <row r="1136" spans="1:4" ht="15.75" thickBot="1" x14ac:dyDescent="0.3">
      <c r="A1136" s="58"/>
      <c r="B1136" s="58"/>
      <c r="C1136" s="58"/>
      <c r="D1136" s="35"/>
    </row>
    <row r="1137" spans="1:4" ht="15.75" x14ac:dyDescent="0.25">
      <c r="A1137" s="285"/>
      <c r="B1137" s="59"/>
      <c r="C1137" s="59"/>
      <c r="D1137" s="60"/>
    </row>
    <row r="1138" spans="1:4" ht="16.5" thickBot="1" x14ac:dyDescent="0.3">
      <c r="A1138" s="286"/>
      <c r="B1138" s="62"/>
      <c r="C1138" s="62"/>
      <c r="D1138" s="61"/>
    </row>
    <row r="1139" spans="1:4" ht="15.75" x14ac:dyDescent="0.25">
      <c r="A1139" s="285"/>
      <c r="B1139" s="59"/>
      <c r="C1139" s="59"/>
      <c r="D1139" s="60"/>
    </row>
    <row r="1140" spans="1:4" ht="16.5" thickBot="1" x14ac:dyDescent="0.3">
      <c r="A1140" s="286"/>
      <c r="B1140" s="62"/>
      <c r="C1140" s="62"/>
      <c r="D1140" s="61"/>
    </row>
    <row r="1141" spans="1:4" ht="16.5" thickBot="1" x14ac:dyDescent="0.3">
      <c r="A1141" s="57"/>
      <c r="B1141" s="36"/>
      <c r="C1141" s="36"/>
      <c r="D1141" s="36"/>
    </row>
    <row r="1142" spans="1:4" ht="15.75" thickBot="1" x14ac:dyDescent="0.3">
      <c r="A1142" s="287"/>
      <c r="B1142" s="288"/>
      <c r="C1142" s="288"/>
      <c r="D1142" s="289"/>
    </row>
    <row r="1143" spans="1:4" ht="18.75" x14ac:dyDescent="0.25">
      <c r="A1143" s="5"/>
      <c r="B1143" s="6"/>
      <c r="C1143" s="7"/>
      <c r="D1143" s="8"/>
    </row>
    <row r="1144" spans="1:4" ht="19.5" thickBot="1" x14ac:dyDescent="0.3">
      <c r="A1144" s="9"/>
      <c r="B1144" s="10"/>
      <c r="C1144" s="10"/>
      <c r="D1144" s="11"/>
    </row>
    <row r="1145" spans="1:4" ht="21.75" thickBot="1" x14ac:dyDescent="0.3">
      <c r="A1145" s="43"/>
      <c r="B1145" s="290"/>
      <c r="C1145" s="291"/>
      <c r="D1145" s="43"/>
    </row>
    <row r="1146" spans="1:4" ht="21.75" thickBot="1" x14ac:dyDescent="0.3">
      <c r="A1146" s="38"/>
      <c r="B1146" s="44"/>
      <c r="C1146" s="45"/>
      <c r="D1146" s="44"/>
    </row>
    <row r="1147" spans="1:4" ht="19.5" thickBot="1" x14ac:dyDescent="0.3">
      <c r="A1147" s="19"/>
      <c r="B1147" s="20"/>
      <c r="C1147" s="63"/>
      <c r="D1147" s="14"/>
    </row>
    <row r="1148" spans="1:4" ht="19.5" thickBot="1" x14ac:dyDescent="0.3">
      <c r="A1148" s="19"/>
      <c r="B1148" s="20"/>
      <c r="C1148" s="48"/>
      <c r="D1148" s="46"/>
    </row>
    <row r="1149" spans="1:4" ht="15.75" thickBot="1" x14ac:dyDescent="0.3">
      <c r="A1149" s="32"/>
      <c r="B1149" s="33"/>
      <c r="C1149" s="32"/>
      <c r="D1149" s="34"/>
    </row>
    <row r="1150" spans="1:4" ht="15.75" thickBot="1" x14ac:dyDescent="0.3">
      <c r="A1150" s="58"/>
      <c r="B1150" s="58"/>
      <c r="C1150" s="58"/>
      <c r="D1150" s="35"/>
    </row>
    <row r="1151" spans="1:4" ht="15.75" x14ac:dyDescent="0.25">
      <c r="A1151" s="285"/>
      <c r="B1151" s="59"/>
      <c r="C1151" s="59"/>
      <c r="D1151" s="60"/>
    </row>
    <row r="1152" spans="1:4" ht="16.5" thickBot="1" x14ac:dyDescent="0.3">
      <c r="A1152" s="286"/>
      <c r="B1152" s="62"/>
      <c r="C1152" s="62"/>
      <c r="D1152" s="61"/>
    </row>
    <row r="1153" spans="1:4" ht="15.75" x14ac:dyDescent="0.25">
      <c r="A1153" s="285"/>
      <c r="B1153" s="59"/>
      <c r="C1153" s="59"/>
      <c r="D1153" s="60"/>
    </row>
    <row r="1154" spans="1:4" ht="16.5" thickBot="1" x14ac:dyDescent="0.3">
      <c r="A1154" s="286"/>
      <c r="B1154" s="62"/>
      <c r="C1154" s="62"/>
      <c r="D1154" s="61"/>
    </row>
    <row r="1155" spans="1:4" ht="16.5" thickBot="1" x14ac:dyDescent="0.3">
      <c r="A1155" s="57"/>
      <c r="B1155" s="36"/>
      <c r="C1155" s="36"/>
      <c r="D1155" s="36"/>
    </row>
    <row r="1156" spans="1:4" ht="15.75" thickBot="1" x14ac:dyDescent="0.3">
      <c r="A1156" s="287"/>
      <c r="B1156" s="288"/>
      <c r="C1156" s="288"/>
      <c r="D1156" s="289"/>
    </row>
    <row r="1157" spans="1:4" ht="18.75" x14ac:dyDescent="0.25">
      <c r="A1157" s="5"/>
      <c r="B1157" s="6"/>
      <c r="C1157" s="7"/>
      <c r="D1157" s="8"/>
    </row>
    <row r="1158" spans="1:4" ht="19.5" thickBot="1" x14ac:dyDescent="0.3">
      <c r="A1158" s="9"/>
      <c r="B1158" s="10"/>
      <c r="C1158" s="10"/>
      <c r="D1158" s="11"/>
    </row>
    <row r="1159" spans="1:4" ht="21.75" thickBot="1" x14ac:dyDescent="0.3">
      <c r="A1159" s="43"/>
      <c r="B1159" s="290"/>
      <c r="C1159" s="291"/>
      <c r="D1159" s="43"/>
    </row>
    <row r="1160" spans="1:4" ht="21.75" thickBot="1" x14ac:dyDescent="0.3">
      <c r="A1160" s="38"/>
      <c r="B1160" s="44"/>
      <c r="C1160" s="45"/>
      <c r="D1160" s="44"/>
    </row>
    <row r="1161" spans="1:4" ht="19.5" thickBot="1" x14ac:dyDescent="0.3">
      <c r="A1161" s="19"/>
      <c r="B1161" s="20"/>
      <c r="C1161" s="63"/>
      <c r="D1161" s="14"/>
    </row>
    <row r="1162" spans="1:4" ht="19.5" thickBot="1" x14ac:dyDescent="0.3">
      <c r="A1162" s="19"/>
      <c r="B1162" s="20"/>
      <c r="C1162" s="63"/>
      <c r="D1162" s="14"/>
    </row>
    <row r="1163" spans="1:4" ht="19.5" thickBot="1" x14ac:dyDescent="0.3">
      <c r="A1163" s="19"/>
      <c r="B1163" s="20"/>
      <c r="C1163" s="48"/>
      <c r="D1163" s="46"/>
    </row>
    <row r="1164" spans="1:4" ht="15.75" thickBot="1" x14ac:dyDescent="0.3">
      <c r="A1164" s="32"/>
      <c r="B1164" s="33"/>
      <c r="C1164" s="32"/>
      <c r="D1164" s="34"/>
    </row>
    <row r="1165" spans="1:4" ht="15.75" thickBot="1" x14ac:dyDescent="0.3">
      <c r="A1165" s="58"/>
      <c r="B1165" s="58"/>
      <c r="C1165" s="58"/>
      <c r="D1165" s="35"/>
    </row>
    <row r="1166" spans="1:4" ht="15.75" x14ac:dyDescent="0.25">
      <c r="A1166" s="285"/>
      <c r="B1166" s="59"/>
      <c r="C1166" s="59"/>
      <c r="D1166" s="60"/>
    </row>
    <row r="1167" spans="1:4" ht="16.5" thickBot="1" x14ac:dyDescent="0.3">
      <c r="A1167" s="286"/>
      <c r="B1167" s="62"/>
      <c r="C1167" s="62"/>
      <c r="D1167" s="61"/>
    </row>
    <row r="1168" spans="1:4" ht="15.75" x14ac:dyDescent="0.25">
      <c r="A1168" s="285"/>
      <c r="B1168" s="59"/>
      <c r="C1168" s="59"/>
      <c r="D1168" s="60"/>
    </row>
    <row r="1169" spans="1:4" ht="16.5" thickBot="1" x14ac:dyDescent="0.3">
      <c r="A1169" s="286"/>
      <c r="B1169" s="62"/>
      <c r="C1169" s="62"/>
      <c r="D1169" s="61"/>
    </row>
    <row r="1170" spans="1:4" ht="16.5" thickBot="1" x14ac:dyDescent="0.3">
      <c r="A1170" s="57"/>
      <c r="B1170" s="36"/>
      <c r="C1170" s="36"/>
      <c r="D1170" s="36"/>
    </row>
    <row r="1171" spans="1:4" ht="15.75" thickBot="1" x14ac:dyDescent="0.3">
      <c r="A1171" s="287"/>
      <c r="B1171" s="288"/>
      <c r="C1171" s="288"/>
      <c r="D1171" s="289"/>
    </row>
    <row r="1172" spans="1:4" ht="18.75" x14ac:dyDescent="0.25">
      <c r="A1172" s="5"/>
      <c r="B1172" s="6"/>
      <c r="C1172" s="7"/>
      <c r="D1172" s="8"/>
    </row>
    <row r="1173" spans="1:4" ht="19.5" thickBot="1" x14ac:dyDescent="0.3">
      <c r="A1173" s="9"/>
      <c r="B1173" s="10"/>
      <c r="C1173" s="10"/>
      <c r="D1173" s="11"/>
    </row>
    <row r="1174" spans="1:4" ht="21.75" thickBot="1" x14ac:dyDescent="0.3">
      <c r="A1174" s="43"/>
      <c r="B1174" s="290"/>
      <c r="C1174" s="291"/>
      <c r="D1174" s="43"/>
    </row>
    <row r="1175" spans="1:4" ht="21.75" thickBot="1" x14ac:dyDescent="0.3">
      <c r="A1175" s="38"/>
      <c r="B1175" s="44"/>
      <c r="C1175" s="45"/>
      <c r="D1175" s="44"/>
    </row>
    <row r="1176" spans="1:4" ht="19.5" thickBot="1" x14ac:dyDescent="0.3">
      <c r="A1176" s="19"/>
      <c r="B1176" s="20"/>
      <c r="C1176" s="63"/>
      <c r="D1176" s="14"/>
    </row>
    <row r="1177" spans="1:4" ht="19.5" thickBot="1" x14ac:dyDescent="0.3">
      <c r="A1177" s="19"/>
      <c r="B1177" s="20"/>
      <c r="C1177" s="48"/>
      <c r="D1177" s="46"/>
    </row>
    <row r="1178" spans="1:4" ht="15.75" thickBot="1" x14ac:dyDescent="0.3">
      <c r="A1178" s="32"/>
      <c r="B1178" s="33"/>
      <c r="C1178" s="32"/>
      <c r="D1178" s="34"/>
    </row>
    <row r="1179" spans="1:4" ht="15.75" thickBot="1" x14ac:dyDescent="0.3">
      <c r="A1179" s="58"/>
      <c r="B1179" s="58"/>
      <c r="C1179" s="58"/>
      <c r="D1179" s="35"/>
    </row>
    <row r="1180" spans="1:4" ht="15.75" x14ac:dyDescent="0.25">
      <c r="A1180" s="285"/>
      <c r="B1180" s="59"/>
      <c r="C1180" s="59"/>
      <c r="D1180" s="60"/>
    </row>
    <row r="1181" spans="1:4" ht="16.5" thickBot="1" x14ac:dyDescent="0.3">
      <c r="A1181" s="286"/>
      <c r="B1181" s="62"/>
      <c r="C1181" s="62"/>
      <c r="D1181" s="61"/>
    </row>
    <row r="1182" spans="1:4" ht="15.75" x14ac:dyDescent="0.25">
      <c r="A1182" s="285"/>
      <c r="B1182" s="59"/>
      <c r="C1182" s="59"/>
      <c r="D1182" s="60"/>
    </row>
    <row r="1183" spans="1:4" ht="16.5" thickBot="1" x14ac:dyDescent="0.3">
      <c r="A1183" s="286"/>
      <c r="B1183" s="62"/>
      <c r="C1183" s="62"/>
      <c r="D1183" s="61"/>
    </row>
    <row r="1184" spans="1:4" ht="16.5" thickBot="1" x14ac:dyDescent="0.3">
      <c r="A1184" s="57"/>
      <c r="B1184" s="36"/>
      <c r="C1184" s="36"/>
      <c r="D1184" s="36"/>
    </row>
    <row r="1185" spans="1:4" ht="15.75" thickBot="1" x14ac:dyDescent="0.3">
      <c r="A1185" s="287"/>
      <c r="B1185" s="288"/>
      <c r="C1185" s="288"/>
      <c r="D1185" s="289"/>
    </row>
    <row r="1186" spans="1:4" ht="18.75" x14ac:dyDescent="0.25">
      <c r="A1186" s="5"/>
      <c r="B1186" s="6"/>
      <c r="C1186" s="7"/>
      <c r="D1186" s="8"/>
    </row>
    <row r="1187" spans="1:4" ht="19.5" thickBot="1" x14ac:dyDescent="0.3">
      <c r="A1187" s="9"/>
      <c r="B1187" s="10"/>
      <c r="C1187" s="10"/>
      <c r="D1187" s="11"/>
    </row>
    <row r="1188" spans="1:4" ht="21.75" thickBot="1" x14ac:dyDescent="0.3">
      <c r="A1188" s="43"/>
      <c r="B1188" s="290"/>
      <c r="C1188" s="291"/>
      <c r="D1188" s="43"/>
    </row>
    <row r="1189" spans="1:4" ht="21.75" thickBot="1" x14ac:dyDescent="0.3">
      <c r="A1189" s="38"/>
      <c r="B1189" s="44"/>
      <c r="C1189" s="45"/>
      <c r="D1189" s="44"/>
    </row>
    <row r="1190" spans="1:4" ht="19.5" thickBot="1" x14ac:dyDescent="0.3">
      <c r="A1190" s="19"/>
      <c r="B1190" s="20"/>
      <c r="C1190" s="63"/>
      <c r="D1190" s="14"/>
    </row>
    <row r="1191" spans="1:4" ht="19.5" thickBot="1" x14ac:dyDescent="0.3">
      <c r="A1191" s="19"/>
      <c r="B1191" s="20"/>
      <c r="C1191" s="63"/>
      <c r="D1191" s="14"/>
    </row>
    <row r="1192" spans="1:4" ht="19.5" thickBot="1" x14ac:dyDescent="0.3">
      <c r="A1192" s="19"/>
      <c r="B1192" s="20"/>
      <c r="C1192" s="48"/>
      <c r="D1192" s="46"/>
    </row>
    <row r="1193" spans="1:4" ht="15.75" thickBot="1" x14ac:dyDescent="0.3">
      <c r="A1193" s="32"/>
      <c r="B1193" s="33"/>
      <c r="C1193" s="32"/>
      <c r="D1193" s="34"/>
    </row>
    <row r="1194" spans="1:4" ht="15.75" thickBot="1" x14ac:dyDescent="0.3">
      <c r="A1194" s="58"/>
      <c r="B1194" s="58"/>
      <c r="C1194" s="58"/>
      <c r="D1194" s="35"/>
    </row>
    <row r="1195" spans="1:4" ht="15.75" x14ac:dyDescent="0.25">
      <c r="A1195" s="285"/>
      <c r="B1195" s="59"/>
      <c r="C1195" s="59"/>
      <c r="D1195" s="60"/>
    </row>
    <row r="1196" spans="1:4" ht="16.5" thickBot="1" x14ac:dyDescent="0.3">
      <c r="A1196" s="286"/>
      <c r="B1196" s="62"/>
      <c r="C1196" s="62"/>
      <c r="D1196" s="61"/>
    </row>
    <row r="1197" spans="1:4" ht="15.75" x14ac:dyDescent="0.25">
      <c r="A1197" s="285"/>
      <c r="B1197" s="59"/>
      <c r="C1197" s="59"/>
      <c r="D1197" s="60"/>
    </row>
    <row r="1198" spans="1:4" ht="16.5" thickBot="1" x14ac:dyDescent="0.3">
      <c r="A1198" s="286"/>
      <c r="B1198" s="62"/>
      <c r="C1198" s="62"/>
      <c r="D1198" s="61"/>
    </row>
    <row r="1199" spans="1:4" ht="16.5" thickBot="1" x14ac:dyDescent="0.3">
      <c r="A1199" s="57"/>
      <c r="B1199" s="36"/>
      <c r="C1199" s="36"/>
      <c r="D1199" s="36"/>
    </row>
    <row r="1200" spans="1:4" ht="15.75" thickBot="1" x14ac:dyDescent="0.3">
      <c r="A1200" s="287"/>
      <c r="B1200" s="288"/>
      <c r="C1200" s="288"/>
      <c r="D1200" s="289"/>
    </row>
    <row r="1201" spans="1:4" ht="18.75" x14ac:dyDescent="0.25">
      <c r="A1201" s="5"/>
      <c r="B1201" s="6"/>
      <c r="C1201" s="7"/>
      <c r="D1201" s="8"/>
    </row>
    <row r="1202" spans="1:4" ht="19.5" thickBot="1" x14ac:dyDescent="0.3">
      <c r="A1202" s="9"/>
      <c r="B1202" s="10"/>
      <c r="C1202" s="10"/>
      <c r="D1202" s="11"/>
    </row>
    <row r="1203" spans="1:4" ht="21.75" thickBot="1" x14ac:dyDescent="0.3">
      <c r="A1203" s="43"/>
      <c r="B1203" s="290"/>
      <c r="C1203" s="291"/>
      <c r="D1203" s="43"/>
    </row>
    <row r="1204" spans="1:4" ht="21.75" thickBot="1" x14ac:dyDescent="0.3">
      <c r="A1204" s="38"/>
      <c r="B1204" s="44"/>
      <c r="C1204" s="45"/>
      <c r="D1204" s="44"/>
    </row>
    <row r="1205" spans="1:4" ht="19.5" thickBot="1" x14ac:dyDescent="0.3">
      <c r="A1205" s="19"/>
      <c r="B1205" s="20"/>
      <c r="C1205" s="63"/>
      <c r="D1205" s="14"/>
    </row>
    <row r="1206" spans="1:4" ht="19.5" thickBot="1" x14ac:dyDescent="0.3">
      <c r="A1206" s="19"/>
      <c r="B1206" s="20"/>
      <c r="C1206" s="48"/>
      <c r="D1206" s="46"/>
    </row>
    <row r="1207" spans="1:4" ht="15.75" thickBot="1" x14ac:dyDescent="0.3">
      <c r="A1207" s="32"/>
      <c r="B1207" s="33"/>
      <c r="C1207" s="32"/>
      <c r="D1207" s="34"/>
    </row>
    <row r="1208" spans="1:4" ht="15.75" thickBot="1" x14ac:dyDescent="0.3">
      <c r="A1208" s="58"/>
      <c r="B1208" s="58"/>
      <c r="C1208" s="58"/>
      <c r="D1208" s="35"/>
    </row>
    <row r="1209" spans="1:4" ht="15.75" x14ac:dyDescent="0.25">
      <c r="A1209" s="285"/>
      <c r="B1209" s="59"/>
      <c r="C1209" s="59"/>
      <c r="D1209" s="60"/>
    </row>
    <row r="1210" spans="1:4" ht="16.5" thickBot="1" x14ac:dyDescent="0.3">
      <c r="A1210" s="286"/>
      <c r="B1210" s="62"/>
      <c r="C1210" s="62"/>
      <c r="D1210" s="61"/>
    </row>
    <row r="1211" spans="1:4" ht="15.75" x14ac:dyDescent="0.25">
      <c r="A1211" s="285"/>
      <c r="B1211" s="59"/>
      <c r="C1211" s="59"/>
      <c r="D1211" s="60"/>
    </row>
    <row r="1212" spans="1:4" ht="16.5" thickBot="1" x14ac:dyDescent="0.3">
      <c r="A1212" s="286"/>
      <c r="B1212" s="62"/>
      <c r="C1212" s="62"/>
      <c r="D1212" s="61"/>
    </row>
    <row r="1213" spans="1:4" ht="16.5" thickBot="1" x14ac:dyDescent="0.3">
      <c r="A1213" s="57"/>
      <c r="B1213" s="36"/>
      <c r="C1213" s="36"/>
      <c r="D1213" s="36"/>
    </row>
    <row r="1214" spans="1:4" ht="15.75" thickBot="1" x14ac:dyDescent="0.3">
      <c r="A1214" s="287"/>
      <c r="B1214" s="288"/>
      <c r="C1214" s="288"/>
      <c r="D1214" s="289"/>
    </row>
    <row r="1215" spans="1:4" ht="18.75" x14ac:dyDescent="0.25">
      <c r="A1215" s="5"/>
      <c r="B1215" s="6"/>
      <c r="C1215" s="7"/>
      <c r="D1215" s="8"/>
    </row>
    <row r="1216" spans="1:4" ht="19.5" thickBot="1" x14ac:dyDescent="0.3">
      <c r="A1216" s="9"/>
      <c r="B1216" s="10"/>
      <c r="C1216" s="10"/>
      <c r="D1216" s="11"/>
    </row>
    <row r="1217" spans="1:4" ht="21.75" thickBot="1" x14ac:dyDescent="0.3">
      <c r="A1217" s="43"/>
      <c r="B1217" s="290"/>
      <c r="C1217" s="291"/>
      <c r="D1217" s="43"/>
    </row>
    <row r="1218" spans="1:4" ht="21.75" thickBot="1" x14ac:dyDescent="0.3">
      <c r="A1218" s="38"/>
      <c r="B1218" s="44"/>
      <c r="C1218" s="45"/>
      <c r="D1218" s="44"/>
    </row>
    <row r="1219" spans="1:4" ht="19.5" thickBot="1" x14ac:dyDescent="0.3">
      <c r="A1219" s="19"/>
      <c r="B1219" s="20"/>
      <c r="C1219" s="63"/>
      <c r="D1219" s="14"/>
    </row>
    <row r="1220" spans="1:4" ht="19.5" thickBot="1" x14ac:dyDescent="0.3">
      <c r="A1220" s="19"/>
      <c r="B1220" s="20"/>
      <c r="C1220" s="63"/>
      <c r="D1220" s="14"/>
    </row>
    <row r="1221" spans="1:4" ht="19.5" thickBot="1" x14ac:dyDescent="0.3">
      <c r="A1221" s="19"/>
      <c r="B1221" s="20"/>
      <c r="C1221" s="48"/>
      <c r="D1221" s="46"/>
    </row>
    <row r="1222" spans="1:4" ht="15.75" thickBot="1" x14ac:dyDescent="0.3">
      <c r="A1222" s="32"/>
      <c r="B1222" s="33"/>
      <c r="C1222" s="32"/>
      <c r="D1222" s="34"/>
    </row>
    <row r="1223" spans="1:4" ht="15.75" thickBot="1" x14ac:dyDescent="0.3">
      <c r="A1223" s="58"/>
      <c r="B1223" s="58"/>
      <c r="C1223" s="58"/>
      <c r="D1223" s="35"/>
    </row>
    <row r="1224" spans="1:4" ht="15.75" x14ac:dyDescent="0.25">
      <c r="A1224" s="285"/>
      <c r="B1224" s="59"/>
      <c r="C1224" s="59"/>
      <c r="D1224" s="60"/>
    </row>
    <row r="1225" spans="1:4" ht="16.5" thickBot="1" x14ac:dyDescent="0.3">
      <c r="A1225" s="286"/>
      <c r="B1225" s="62"/>
      <c r="C1225" s="62"/>
      <c r="D1225" s="61"/>
    </row>
    <row r="1226" spans="1:4" ht="15.75" x14ac:dyDescent="0.25">
      <c r="A1226" s="285"/>
      <c r="B1226" s="59"/>
      <c r="C1226" s="59"/>
      <c r="D1226" s="60"/>
    </row>
    <row r="1227" spans="1:4" ht="16.5" thickBot="1" x14ac:dyDescent="0.3">
      <c r="A1227" s="286"/>
      <c r="B1227" s="62"/>
      <c r="C1227" s="62"/>
      <c r="D1227" s="61"/>
    </row>
    <row r="1228" spans="1:4" ht="16.5" thickBot="1" x14ac:dyDescent="0.3">
      <c r="A1228" s="57"/>
      <c r="B1228" s="36"/>
      <c r="C1228" s="36"/>
      <c r="D1228" s="36"/>
    </row>
    <row r="1229" spans="1:4" ht="15.75" thickBot="1" x14ac:dyDescent="0.3">
      <c r="A1229" s="287"/>
      <c r="B1229" s="288"/>
      <c r="C1229" s="288"/>
      <c r="D1229" s="289"/>
    </row>
    <row r="1230" spans="1:4" ht="18.75" x14ac:dyDescent="0.25">
      <c r="A1230" s="5"/>
      <c r="B1230" s="6"/>
      <c r="C1230" s="7"/>
      <c r="D1230" s="8"/>
    </row>
    <row r="1231" spans="1:4" ht="19.5" thickBot="1" x14ac:dyDescent="0.3">
      <c r="A1231" s="9"/>
      <c r="B1231" s="10"/>
      <c r="C1231" s="10"/>
      <c r="D1231" s="11"/>
    </row>
    <row r="1232" spans="1:4" ht="21.75" thickBot="1" x14ac:dyDescent="0.3">
      <c r="A1232" s="43"/>
      <c r="B1232" s="290"/>
      <c r="C1232" s="291"/>
      <c r="D1232" s="43"/>
    </row>
    <row r="1233" spans="1:4" ht="21.75" thickBot="1" x14ac:dyDescent="0.3">
      <c r="A1233" s="38"/>
      <c r="B1233" s="44"/>
      <c r="C1233" s="45"/>
      <c r="D1233" s="44"/>
    </row>
    <row r="1234" spans="1:4" ht="19.5" thickBot="1" x14ac:dyDescent="0.3">
      <c r="A1234" s="19"/>
      <c r="B1234" s="20"/>
      <c r="C1234" s="63"/>
      <c r="D1234" s="14"/>
    </row>
    <row r="1235" spans="1:4" ht="19.5" thickBot="1" x14ac:dyDescent="0.3">
      <c r="A1235" s="19"/>
      <c r="B1235" s="20"/>
      <c r="C1235" s="48"/>
      <c r="D1235" s="46"/>
    </row>
    <row r="1236" spans="1:4" ht="15.75" thickBot="1" x14ac:dyDescent="0.3">
      <c r="A1236" s="32"/>
      <c r="B1236" s="33"/>
      <c r="C1236" s="32"/>
      <c r="D1236" s="34"/>
    </row>
    <row r="1237" spans="1:4" ht="15.75" thickBot="1" x14ac:dyDescent="0.3">
      <c r="A1237" s="58"/>
      <c r="B1237" s="58"/>
      <c r="C1237" s="58"/>
      <c r="D1237" s="35"/>
    </row>
    <row r="1238" spans="1:4" ht="15.75" x14ac:dyDescent="0.25">
      <c r="A1238" s="285"/>
      <c r="B1238" s="59"/>
      <c r="C1238" s="59"/>
      <c r="D1238" s="60"/>
    </row>
    <row r="1239" spans="1:4" ht="16.5" thickBot="1" x14ac:dyDescent="0.3">
      <c r="A1239" s="286"/>
      <c r="B1239" s="62"/>
      <c r="C1239" s="62"/>
      <c r="D1239" s="61"/>
    </row>
    <row r="1240" spans="1:4" ht="15.75" x14ac:dyDescent="0.25">
      <c r="A1240" s="285"/>
      <c r="B1240" s="59"/>
      <c r="C1240" s="59"/>
      <c r="D1240" s="60"/>
    </row>
    <row r="1241" spans="1:4" ht="16.5" thickBot="1" x14ac:dyDescent="0.3">
      <c r="A1241" s="286"/>
      <c r="B1241" s="62"/>
      <c r="C1241" s="62"/>
      <c r="D1241" s="61"/>
    </row>
    <row r="1242" spans="1:4" ht="16.5" thickBot="1" x14ac:dyDescent="0.3">
      <c r="A1242" s="57"/>
      <c r="B1242" s="36"/>
      <c r="C1242" s="36"/>
      <c r="D1242" s="36"/>
    </row>
    <row r="1243" spans="1:4" ht="15.75" thickBot="1" x14ac:dyDescent="0.3">
      <c r="A1243" s="287"/>
      <c r="B1243" s="288"/>
      <c r="C1243" s="288"/>
      <c r="D1243" s="289"/>
    </row>
    <row r="1244" spans="1:4" ht="18.75" x14ac:dyDescent="0.25">
      <c r="A1244" s="5"/>
      <c r="B1244" s="6"/>
      <c r="C1244" s="7"/>
      <c r="D1244" s="8"/>
    </row>
    <row r="1245" spans="1:4" ht="19.5" thickBot="1" x14ac:dyDescent="0.3">
      <c r="A1245" s="9"/>
      <c r="B1245" s="10"/>
      <c r="C1245" s="10"/>
      <c r="D1245" s="11"/>
    </row>
    <row r="1246" spans="1:4" ht="21.75" thickBot="1" x14ac:dyDescent="0.3">
      <c r="A1246" s="43"/>
      <c r="B1246" s="290"/>
      <c r="C1246" s="291"/>
      <c r="D1246" s="43"/>
    </row>
    <row r="1247" spans="1:4" ht="21.75" thickBot="1" x14ac:dyDescent="0.3">
      <c r="A1247" s="38"/>
      <c r="B1247" s="44"/>
      <c r="C1247" s="45"/>
      <c r="D1247" s="44"/>
    </row>
    <row r="1248" spans="1:4" ht="19.5" thickBot="1" x14ac:dyDescent="0.3">
      <c r="A1248" s="19"/>
      <c r="B1248" s="20"/>
      <c r="C1248" s="63"/>
      <c r="D1248" s="14"/>
    </row>
    <row r="1249" spans="1:4" ht="19.5" thickBot="1" x14ac:dyDescent="0.3">
      <c r="A1249" s="19"/>
      <c r="B1249" s="20"/>
      <c r="C1249" s="63"/>
      <c r="D1249" s="14"/>
    </row>
    <row r="1250" spans="1:4" ht="19.5" thickBot="1" x14ac:dyDescent="0.3">
      <c r="A1250" s="19"/>
      <c r="B1250" s="20"/>
      <c r="C1250" s="48"/>
      <c r="D1250" s="46"/>
    </row>
    <row r="1251" spans="1:4" ht="15.75" thickBot="1" x14ac:dyDescent="0.3">
      <c r="A1251" s="32"/>
      <c r="B1251" s="33"/>
      <c r="C1251" s="32"/>
      <c r="D1251" s="34"/>
    </row>
    <row r="1252" spans="1:4" ht="15.75" thickBot="1" x14ac:dyDescent="0.3">
      <c r="A1252" s="58"/>
      <c r="B1252" s="58"/>
      <c r="C1252" s="58"/>
      <c r="D1252" s="35"/>
    </row>
    <row r="1253" spans="1:4" ht="15.75" x14ac:dyDescent="0.25">
      <c r="A1253" s="285"/>
      <c r="B1253" s="59"/>
      <c r="C1253" s="59"/>
      <c r="D1253" s="60"/>
    </row>
    <row r="1254" spans="1:4" ht="16.5" thickBot="1" x14ac:dyDescent="0.3">
      <c r="A1254" s="286"/>
      <c r="B1254" s="62"/>
      <c r="C1254" s="62"/>
      <c r="D1254" s="61"/>
    </row>
    <row r="1255" spans="1:4" ht="15.75" x14ac:dyDescent="0.25">
      <c r="A1255" s="285"/>
      <c r="B1255" s="59"/>
      <c r="C1255" s="59"/>
      <c r="D1255" s="60"/>
    </row>
    <row r="1256" spans="1:4" ht="16.5" thickBot="1" x14ac:dyDescent="0.3">
      <c r="A1256" s="286"/>
      <c r="B1256" s="62"/>
      <c r="C1256" s="62"/>
      <c r="D1256" s="61"/>
    </row>
    <row r="1257" spans="1:4" ht="16.5" thickBot="1" x14ac:dyDescent="0.3">
      <c r="A1257" s="57"/>
      <c r="B1257" s="36"/>
      <c r="C1257" s="36"/>
      <c r="D1257" s="36"/>
    </row>
    <row r="1258" spans="1:4" ht="15.75" thickBot="1" x14ac:dyDescent="0.3">
      <c r="A1258" s="287"/>
      <c r="B1258" s="288"/>
      <c r="C1258" s="288"/>
      <c r="D1258" s="289"/>
    </row>
    <row r="1259" spans="1:4" ht="18.75" x14ac:dyDescent="0.25">
      <c r="A1259" s="5"/>
      <c r="B1259" s="6"/>
      <c r="C1259" s="7"/>
      <c r="D1259" s="8"/>
    </row>
    <row r="1260" spans="1:4" ht="19.5" thickBot="1" x14ac:dyDescent="0.3">
      <c r="A1260" s="9"/>
      <c r="B1260" s="10"/>
      <c r="C1260" s="10"/>
      <c r="D1260" s="11"/>
    </row>
    <row r="1261" spans="1:4" ht="21.75" thickBot="1" x14ac:dyDescent="0.3">
      <c r="A1261" s="43"/>
      <c r="B1261" s="290"/>
      <c r="C1261" s="291"/>
      <c r="D1261" s="43"/>
    </row>
    <row r="1262" spans="1:4" ht="21.75" thickBot="1" x14ac:dyDescent="0.3">
      <c r="A1262" s="38"/>
      <c r="B1262" s="44"/>
      <c r="C1262" s="45"/>
      <c r="D1262" s="44"/>
    </row>
    <row r="1263" spans="1:4" ht="19.5" thickBot="1" x14ac:dyDescent="0.3">
      <c r="A1263" s="19"/>
      <c r="B1263" s="20"/>
      <c r="C1263" s="63"/>
      <c r="D1263" s="14"/>
    </row>
    <row r="1264" spans="1:4" ht="19.5" thickBot="1" x14ac:dyDescent="0.3">
      <c r="A1264" s="19"/>
      <c r="B1264" s="20"/>
      <c r="C1264" s="48"/>
      <c r="D1264" s="46"/>
    </row>
    <row r="1265" spans="1:4" ht="15.75" thickBot="1" x14ac:dyDescent="0.3">
      <c r="A1265" s="32"/>
      <c r="B1265" s="33"/>
      <c r="C1265" s="32"/>
      <c r="D1265" s="34"/>
    </row>
    <row r="1266" spans="1:4" ht="15.75" thickBot="1" x14ac:dyDescent="0.3">
      <c r="A1266" s="58"/>
      <c r="B1266" s="58"/>
      <c r="C1266" s="58"/>
      <c r="D1266" s="35"/>
    </row>
    <row r="1267" spans="1:4" ht="15.75" x14ac:dyDescent="0.25">
      <c r="A1267" s="285"/>
      <c r="B1267" s="59"/>
      <c r="C1267" s="59"/>
      <c r="D1267" s="60"/>
    </row>
    <row r="1268" spans="1:4" ht="16.5" thickBot="1" x14ac:dyDescent="0.3">
      <c r="A1268" s="286"/>
      <c r="B1268" s="62"/>
      <c r="C1268" s="62"/>
      <c r="D1268" s="61"/>
    </row>
    <row r="1269" spans="1:4" ht="15.75" x14ac:dyDescent="0.25">
      <c r="A1269" s="285"/>
      <c r="B1269" s="59"/>
      <c r="C1269" s="59"/>
      <c r="D1269" s="60"/>
    </row>
    <row r="1270" spans="1:4" ht="16.5" thickBot="1" x14ac:dyDescent="0.3">
      <c r="A1270" s="286"/>
      <c r="B1270" s="62"/>
      <c r="C1270" s="62"/>
      <c r="D1270" s="61"/>
    </row>
    <row r="1271" spans="1:4" ht="16.5" thickBot="1" x14ac:dyDescent="0.3">
      <c r="A1271" s="57"/>
      <c r="B1271" s="36"/>
      <c r="C1271" s="36"/>
      <c r="D1271" s="36"/>
    </row>
    <row r="1272" spans="1:4" ht="15.75" thickBot="1" x14ac:dyDescent="0.3">
      <c r="A1272" s="287"/>
      <c r="B1272" s="288"/>
      <c r="C1272" s="288"/>
      <c r="D1272" s="289"/>
    </row>
    <row r="1273" spans="1:4" ht="18.75" x14ac:dyDescent="0.25">
      <c r="A1273" s="5"/>
      <c r="B1273" s="6"/>
      <c r="C1273" s="7"/>
      <c r="D1273" s="8"/>
    </row>
    <row r="1274" spans="1:4" ht="19.5" thickBot="1" x14ac:dyDescent="0.3">
      <c r="A1274" s="9"/>
      <c r="B1274" s="10"/>
      <c r="C1274" s="10"/>
      <c r="D1274" s="11"/>
    </row>
    <row r="1275" spans="1:4" ht="21.75" thickBot="1" x14ac:dyDescent="0.3">
      <c r="A1275" s="43"/>
      <c r="B1275" s="290"/>
      <c r="C1275" s="291"/>
      <c r="D1275" s="43"/>
    </row>
    <row r="1276" spans="1:4" ht="21.75" thickBot="1" x14ac:dyDescent="0.3">
      <c r="A1276" s="38"/>
      <c r="B1276" s="44"/>
      <c r="C1276" s="45"/>
      <c r="D1276" s="44"/>
    </row>
    <row r="1277" spans="1:4" ht="19.5" thickBot="1" x14ac:dyDescent="0.3">
      <c r="A1277" s="19"/>
      <c r="B1277" s="20"/>
      <c r="C1277" s="63"/>
      <c r="D1277" s="14"/>
    </row>
    <row r="1278" spans="1:4" ht="19.5" thickBot="1" x14ac:dyDescent="0.3">
      <c r="A1278" s="19"/>
      <c r="B1278" s="20"/>
      <c r="C1278" s="63"/>
      <c r="D1278" s="14"/>
    </row>
    <row r="1279" spans="1:4" ht="19.5" thickBot="1" x14ac:dyDescent="0.3">
      <c r="A1279" s="19"/>
      <c r="B1279" s="20"/>
      <c r="C1279" s="48"/>
      <c r="D1279" s="46"/>
    </row>
    <row r="1280" spans="1:4" ht="15.75" thickBot="1" x14ac:dyDescent="0.3">
      <c r="A1280" s="32"/>
      <c r="B1280" s="33"/>
      <c r="C1280" s="32"/>
      <c r="D1280" s="34"/>
    </row>
    <row r="1281" spans="1:4" ht="15.75" thickBot="1" x14ac:dyDescent="0.3">
      <c r="A1281" s="58"/>
      <c r="B1281" s="58"/>
      <c r="C1281" s="58"/>
      <c r="D1281" s="35"/>
    </row>
    <row r="1282" spans="1:4" ht="15.75" x14ac:dyDescent="0.25">
      <c r="A1282" s="285"/>
      <c r="B1282" s="59"/>
      <c r="C1282" s="59"/>
      <c r="D1282" s="60"/>
    </row>
    <row r="1283" spans="1:4" ht="16.5" thickBot="1" x14ac:dyDescent="0.3">
      <c r="A1283" s="286"/>
      <c r="B1283" s="62"/>
      <c r="C1283" s="62"/>
      <c r="D1283" s="61"/>
    </row>
    <row r="1284" spans="1:4" ht="15.75" x14ac:dyDescent="0.25">
      <c r="A1284" s="285"/>
      <c r="B1284" s="59"/>
      <c r="C1284" s="59"/>
      <c r="D1284" s="60"/>
    </row>
    <row r="1285" spans="1:4" ht="16.5" thickBot="1" x14ac:dyDescent="0.3">
      <c r="A1285" s="286"/>
      <c r="B1285" s="62"/>
      <c r="C1285" s="62"/>
      <c r="D1285" s="61"/>
    </row>
    <row r="1286" spans="1:4" ht="16.5" thickBot="1" x14ac:dyDescent="0.3">
      <c r="A1286" s="57"/>
      <c r="B1286" s="36"/>
      <c r="C1286" s="36"/>
      <c r="D1286" s="36"/>
    </row>
    <row r="1287" spans="1:4" ht="15.75" thickBot="1" x14ac:dyDescent="0.3">
      <c r="A1287" s="287"/>
      <c r="B1287" s="288"/>
      <c r="C1287" s="288"/>
      <c r="D1287" s="289"/>
    </row>
    <row r="1288" spans="1:4" ht="18.75" x14ac:dyDescent="0.25">
      <c r="A1288" s="5"/>
      <c r="B1288" s="6"/>
      <c r="C1288" s="7"/>
      <c r="D1288" s="8"/>
    </row>
    <row r="1289" spans="1:4" ht="19.5" thickBot="1" x14ac:dyDescent="0.3">
      <c r="A1289" s="9"/>
      <c r="B1289" s="10"/>
      <c r="C1289" s="10"/>
      <c r="D1289" s="11"/>
    </row>
    <row r="1290" spans="1:4" ht="21.75" thickBot="1" x14ac:dyDescent="0.3">
      <c r="A1290" s="43"/>
      <c r="B1290" s="290"/>
      <c r="C1290" s="291"/>
      <c r="D1290" s="43"/>
    </row>
    <row r="1291" spans="1:4" ht="21.75" thickBot="1" x14ac:dyDescent="0.3">
      <c r="A1291" s="38"/>
      <c r="B1291" s="44"/>
      <c r="C1291" s="45"/>
      <c r="D1291" s="44"/>
    </row>
    <row r="1292" spans="1:4" ht="19.5" thickBot="1" x14ac:dyDescent="0.3">
      <c r="A1292" s="19"/>
      <c r="B1292" s="20"/>
      <c r="C1292" s="63"/>
      <c r="D1292" s="14"/>
    </row>
    <row r="1293" spans="1:4" ht="19.5" thickBot="1" x14ac:dyDescent="0.3">
      <c r="A1293" s="19"/>
      <c r="B1293" s="20"/>
      <c r="C1293" s="48"/>
      <c r="D1293" s="46"/>
    </row>
    <row r="1294" spans="1:4" ht="15.75" thickBot="1" x14ac:dyDescent="0.3">
      <c r="A1294" s="32"/>
      <c r="B1294" s="33"/>
      <c r="C1294" s="32"/>
      <c r="D1294" s="34"/>
    </row>
    <row r="1295" spans="1:4" ht="15.75" thickBot="1" x14ac:dyDescent="0.3">
      <c r="A1295" s="58"/>
      <c r="B1295" s="58"/>
      <c r="C1295" s="58"/>
      <c r="D1295" s="35"/>
    </row>
    <row r="1296" spans="1:4" ht="15.75" x14ac:dyDescent="0.25">
      <c r="A1296" s="285"/>
      <c r="B1296" s="59"/>
      <c r="C1296" s="59"/>
      <c r="D1296" s="60"/>
    </row>
    <row r="1297" spans="1:4" ht="16.5" thickBot="1" x14ac:dyDescent="0.3">
      <c r="A1297" s="286"/>
      <c r="B1297" s="62"/>
      <c r="C1297" s="62"/>
      <c r="D1297" s="61"/>
    </row>
    <row r="1298" spans="1:4" ht="15.75" x14ac:dyDescent="0.25">
      <c r="A1298" s="285"/>
      <c r="B1298" s="59"/>
      <c r="C1298" s="59"/>
      <c r="D1298" s="60"/>
    </row>
    <row r="1299" spans="1:4" ht="16.5" thickBot="1" x14ac:dyDescent="0.3">
      <c r="A1299" s="286"/>
      <c r="B1299" s="62"/>
      <c r="C1299" s="62"/>
      <c r="D1299" s="61"/>
    </row>
    <row r="1300" spans="1:4" ht="16.5" thickBot="1" x14ac:dyDescent="0.3">
      <c r="A1300" s="57"/>
      <c r="B1300" s="36"/>
      <c r="C1300" s="36"/>
      <c r="D1300" s="36"/>
    </row>
    <row r="1301" spans="1:4" ht="15.75" thickBot="1" x14ac:dyDescent="0.3">
      <c r="A1301" s="287"/>
      <c r="B1301" s="288"/>
      <c r="C1301" s="288"/>
      <c r="D1301" s="289"/>
    </row>
    <row r="1302" spans="1:4" ht="18.75" x14ac:dyDescent="0.25">
      <c r="A1302" s="5"/>
      <c r="B1302" s="6"/>
      <c r="C1302" s="7"/>
      <c r="D1302" s="8"/>
    </row>
    <row r="1303" spans="1:4" ht="19.5" thickBot="1" x14ac:dyDescent="0.3">
      <c r="A1303" s="9"/>
      <c r="B1303" s="10"/>
      <c r="C1303" s="10"/>
      <c r="D1303" s="11"/>
    </row>
    <row r="1304" spans="1:4" ht="21.75" thickBot="1" x14ac:dyDescent="0.3">
      <c r="A1304" s="43"/>
      <c r="B1304" s="290"/>
      <c r="C1304" s="291"/>
      <c r="D1304" s="43"/>
    </row>
    <row r="1305" spans="1:4" ht="21.75" thickBot="1" x14ac:dyDescent="0.3">
      <c r="A1305" s="38"/>
      <c r="B1305" s="44"/>
      <c r="C1305" s="45"/>
      <c r="D1305" s="44"/>
    </row>
    <row r="1306" spans="1:4" ht="19.5" thickBot="1" x14ac:dyDescent="0.3">
      <c r="A1306" s="19"/>
      <c r="B1306" s="20"/>
      <c r="C1306" s="63"/>
      <c r="D1306" s="14"/>
    </row>
    <row r="1307" spans="1:4" ht="19.5" thickBot="1" x14ac:dyDescent="0.3">
      <c r="A1307" s="19"/>
      <c r="B1307" s="20"/>
      <c r="C1307" s="63"/>
      <c r="D1307" s="14"/>
    </row>
    <row r="1308" spans="1:4" ht="19.5" thickBot="1" x14ac:dyDescent="0.3">
      <c r="A1308" s="19"/>
      <c r="B1308" s="20"/>
      <c r="C1308" s="48"/>
      <c r="D1308" s="46"/>
    </row>
    <row r="1309" spans="1:4" ht="15.75" thickBot="1" x14ac:dyDescent="0.3">
      <c r="A1309" s="32"/>
      <c r="B1309" s="33"/>
      <c r="C1309" s="32"/>
      <c r="D1309" s="34"/>
    </row>
    <row r="1310" spans="1:4" ht="15.75" thickBot="1" x14ac:dyDescent="0.3">
      <c r="A1310" s="58"/>
      <c r="B1310" s="58"/>
      <c r="C1310" s="58"/>
      <c r="D1310" s="35"/>
    </row>
    <row r="1311" spans="1:4" ht="15.75" x14ac:dyDescent="0.25">
      <c r="A1311" s="285"/>
      <c r="B1311" s="59"/>
      <c r="C1311" s="59"/>
      <c r="D1311" s="60"/>
    </row>
    <row r="1312" spans="1:4" ht="16.5" thickBot="1" x14ac:dyDescent="0.3">
      <c r="A1312" s="286"/>
      <c r="B1312" s="62"/>
      <c r="C1312" s="62"/>
      <c r="D1312" s="61"/>
    </row>
    <row r="1313" spans="1:4" ht="15.75" x14ac:dyDescent="0.25">
      <c r="A1313" s="285"/>
      <c r="B1313" s="59"/>
      <c r="C1313" s="59"/>
      <c r="D1313" s="60"/>
    </row>
    <row r="1314" spans="1:4" ht="16.5" thickBot="1" x14ac:dyDescent="0.3">
      <c r="A1314" s="286"/>
      <c r="B1314" s="62"/>
      <c r="C1314" s="62"/>
      <c r="D1314" s="61"/>
    </row>
    <row r="1315" spans="1:4" ht="16.5" thickBot="1" x14ac:dyDescent="0.3">
      <c r="A1315" s="57"/>
      <c r="B1315" s="36"/>
      <c r="C1315" s="36"/>
      <c r="D1315" s="36"/>
    </row>
    <row r="1316" spans="1:4" ht="15.75" thickBot="1" x14ac:dyDescent="0.3">
      <c r="A1316" s="287"/>
      <c r="B1316" s="288"/>
      <c r="C1316" s="288"/>
      <c r="D1316" s="289"/>
    </row>
    <row r="1317" spans="1:4" ht="18.75" x14ac:dyDescent="0.25">
      <c r="A1317" s="5"/>
      <c r="B1317" s="6"/>
      <c r="C1317" s="7"/>
      <c r="D1317" s="8"/>
    </row>
    <row r="1318" spans="1:4" ht="19.5" thickBot="1" x14ac:dyDescent="0.3">
      <c r="A1318" s="9"/>
      <c r="B1318" s="10"/>
      <c r="C1318" s="10"/>
      <c r="D1318" s="11"/>
    </row>
    <row r="1319" spans="1:4" ht="21.75" thickBot="1" x14ac:dyDescent="0.3">
      <c r="A1319" s="43"/>
      <c r="B1319" s="290"/>
      <c r="C1319" s="291"/>
      <c r="D1319" s="43"/>
    </row>
    <row r="1320" spans="1:4" ht="21.75" thickBot="1" x14ac:dyDescent="0.3">
      <c r="A1320" s="38"/>
      <c r="B1320" s="44"/>
      <c r="C1320" s="45"/>
      <c r="D1320" s="44"/>
    </row>
    <row r="1321" spans="1:4" ht="19.5" thickBot="1" x14ac:dyDescent="0.3">
      <c r="A1321" s="19"/>
      <c r="B1321" s="20"/>
      <c r="C1321" s="63"/>
      <c r="D1321" s="14"/>
    </row>
    <row r="1322" spans="1:4" ht="19.5" thickBot="1" x14ac:dyDescent="0.3">
      <c r="A1322" s="19"/>
      <c r="B1322" s="20"/>
      <c r="C1322" s="48"/>
      <c r="D1322" s="46"/>
    </row>
    <row r="1323" spans="1:4" ht="15.75" thickBot="1" x14ac:dyDescent="0.3">
      <c r="A1323" s="32"/>
      <c r="B1323" s="33"/>
      <c r="C1323" s="32"/>
      <c r="D1323" s="34"/>
    </row>
    <row r="1324" spans="1:4" ht="15.75" thickBot="1" x14ac:dyDescent="0.3">
      <c r="A1324" s="58"/>
      <c r="B1324" s="58"/>
      <c r="C1324" s="58"/>
      <c r="D1324" s="35"/>
    </row>
    <row r="1325" spans="1:4" ht="15.75" x14ac:dyDescent="0.25">
      <c r="A1325" s="285"/>
      <c r="B1325" s="59"/>
      <c r="C1325" s="59"/>
      <c r="D1325" s="60"/>
    </row>
    <row r="1326" spans="1:4" ht="16.5" thickBot="1" x14ac:dyDescent="0.3">
      <c r="A1326" s="286"/>
      <c r="B1326" s="62"/>
      <c r="C1326" s="62"/>
      <c r="D1326" s="61"/>
    </row>
    <row r="1327" spans="1:4" ht="15.75" x14ac:dyDescent="0.25">
      <c r="A1327" s="285"/>
      <c r="B1327" s="59"/>
      <c r="C1327" s="59"/>
      <c r="D1327" s="60"/>
    </row>
    <row r="1328" spans="1:4" ht="16.5" thickBot="1" x14ac:dyDescent="0.3">
      <c r="A1328" s="286"/>
      <c r="B1328" s="62"/>
      <c r="C1328" s="62"/>
      <c r="D1328" s="61"/>
    </row>
    <row r="1329" spans="1:4" ht="16.5" thickBot="1" x14ac:dyDescent="0.3">
      <c r="A1329" s="57"/>
      <c r="B1329" s="36"/>
      <c r="C1329" s="36"/>
      <c r="D1329" s="36"/>
    </row>
    <row r="1330" spans="1:4" ht="15.75" thickBot="1" x14ac:dyDescent="0.3">
      <c r="A1330" s="287"/>
      <c r="B1330" s="288"/>
      <c r="C1330" s="288"/>
      <c r="D1330" s="289"/>
    </row>
    <row r="1331" spans="1:4" ht="18.75" x14ac:dyDescent="0.25">
      <c r="A1331" s="5"/>
      <c r="B1331" s="6"/>
      <c r="C1331" s="7"/>
      <c r="D1331" s="8"/>
    </row>
    <row r="1332" spans="1:4" ht="19.5" thickBot="1" x14ac:dyDescent="0.3">
      <c r="A1332" s="9"/>
      <c r="B1332" s="10"/>
      <c r="C1332" s="10"/>
      <c r="D1332" s="11"/>
    </row>
    <row r="1333" spans="1:4" ht="21.75" thickBot="1" x14ac:dyDescent="0.3">
      <c r="A1333" s="43"/>
      <c r="B1333" s="290"/>
      <c r="C1333" s="291"/>
      <c r="D1333" s="43"/>
    </row>
    <row r="1334" spans="1:4" ht="21.75" thickBot="1" x14ac:dyDescent="0.3">
      <c r="A1334" s="38"/>
      <c r="B1334" s="44"/>
      <c r="C1334" s="45"/>
      <c r="D1334" s="44"/>
    </row>
    <row r="1335" spans="1:4" ht="19.5" thickBot="1" x14ac:dyDescent="0.3">
      <c r="A1335" s="19"/>
      <c r="B1335" s="20"/>
      <c r="C1335" s="63"/>
      <c r="D1335" s="14"/>
    </row>
    <row r="1336" spans="1:4" ht="19.5" thickBot="1" x14ac:dyDescent="0.3">
      <c r="A1336" s="19"/>
      <c r="B1336" s="20"/>
      <c r="C1336" s="63"/>
      <c r="D1336" s="14"/>
    </row>
    <row r="1337" spans="1:4" ht="19.5" thickBot="1" x14ac:dyDescent="0.3">
      <c r="A1337" s="19"/>
      <c r="B1337" s="20"/>
      <c r="C1337" s="48"/>
      <c r="D1337" s="46"/>
    </row>
    <row r="1338" spans="1:4" ht="15.75" thickBot="1" x14ac:dyDescent="0.3">
      <c r="A1338" s="32"/>
      <c r="B1338" s="33"/>
      <c r="C1338" s="32"/>
      <c r="D1338" s="34"/>
    </row>
    <row r="1339" spans="1:4" ht="15.75" thickBot="1" x14ac:dyDescent="0.3">
      <c r="A1339" s="58"/>
      <c r="B1339" s="58"/>
      <c r="C1339" s="58"/>
      <c r="D1339" s="35"/>
    </row>
    <row r="1340" spans="1:4" ht="15.75" x14ac:dyDescent="0.25">
      <c r="A1340" s="285"/>
      <c r="B1340" s="59"/>
      <c r="C1340" s="59"/>
      <c r="D1340" s="60"/>
    </row>
    <row r="1341" spans="1:4" ht="16.5" thickBot="1" x14ac:dyDescent="0.3">
      <c r="A1341" s="286"/>
      <c r="B1341" s="62"/>
      <c r="C1341" s="62"/>
      <c r="D1341" s="61"/>
    </row>
    <row r="1342" spans="1:4" ht="15.75" x14ac:dyDescent="0.25">
      <c r="A1342" s="285"/>
      <c r="B1342" s="59"/>
      <c r="C1342" s="59"/>
      <c r="D1342" s="60"/>
    </row>
    <row r="1343" spans="1:4" ht="16.5" thickBot="1" x14ac:dyDescent="0.3">
      <c r="A1343" s="286"/>
      <c r="B1343" s="62"/>
      <c r="C1343" s="62"/>
      <c r="D1343" s="61"/>
    </row>
    <row r="1344" spans="1:4" ht="16.5" thickBot="1" x14ac:dyDescent="0.3">
      <c r="A1344" s="57"/>
      <c r="B1344" s="36"/>
      <c r="C1344" s="36"/>
      <c r="D1344" s="36"/>
    </row>
    <row r="1345" spans="1:4" ht="15.75" thickBot="1" x14ac:dyDescent="0.3">
      <c r="A1345" s="287"/>
      <c r="B1345" s="288"/>
      <c r="C1345" s="288"/>
      <c r="D1345" s="289"/>
    </row>
    <row r="1346" spans="1:4" ht="18.75" x14ac:dyDescent="0.25">
      <c r="A1346" s="5"/>
      <c r="B1346" s="6"/>
      <c r="C1346" s="7"/>
      <c r="D1346" s="8"/>
    </row>
    <row r="1347" spans="1:4" ht="19.5" thickBot="1" x14ac:dyDescent="0.3">
      <c r="A1347" s="9"/>
      <c r="B1347" s="10"/>
      <c r="C1347" s="10"/>
      <c r="D1347" s="11"/>
    </row>
    <row r="1348" spans="1:4" ht="21.75" thickBot="1" x14ac:dyDescent="0.3">
      <c r="A1348" s="43"/>
      <c r="B1348" s="290"/>
      <c r="C1348" s="291"/>
      <c r="D1348" s="43"/>
    </row>
    <row r="1349" spans="1:4" ht="21.75" thickBot="1" x14ac:dyDescent="0.3">
      <c r="A1349" s="38"/>
      <c r="B1349" s="44"/>
      <c r="C1349" s="45"/>
      <c r="D1349" s="44"/>
    </row>
    <row r="1350" spans="1:4" ht="19.5" thickBot="1" x14ac:dyDescent="0.3">
      <c r="A1350" s="19"/>
      <c r="B1350" s="20"/>
      <c r="C1350" s="63"/>
      <c r="D1350" s="14"/>
    </row>
    <row r="1351" spans="1:4" ht="19.5" thickBot="1" x14ac:dyDescent="0.3">
      <c r="A1351" s="19"/>
      <c r="B1351" s="20"/>
      <c r="C1351" s="48"/>
      <c r="D1351" s="46"/>
    </row>
    <row r="1352" spans="1:4" ht="15.75" thickBot="1" x14ac:dyDescent="0.3">
      <c r="A1352" s="32"/>
      <c r="B1352" s="33"/>
      <c r="C1352" s="32"/>
      <c r="D1352" s="34"/>
    </row>
    <row r="1353" spans="1:4" ht="15.75" thickBot="1" x14ac:dyDescent="0.3">
      <c r="A1353" s="58"/>
      <c r="B1353" s="58"/>
      <c r="C1353" s="58"/>
      <c r="D1353" s="35"/>
    </row>
    <row r="1354" spans="1:4" ht="15.75" x14ac:dyDescent="0.25">
      <c r="A1354" s="285"/>
      <c r="B1354" s="59"/>
      <c r="C1354" s="59"/>
      <c r="D1354" s="60"/>
    </row>
    <row r="1355" spans="1:4" ht="16.5" thickBot="1" x14ac:dyDescent="0.3">
      <c r="A1355" s="286"/>
      <c r="B1355" s="62"/>
      <c r="C1355" s="62"/>
      <c r="D1355" s="61"/>
    </row>
    <row r="1356" spans="1:4" ht="15.75" x14ac:dyDescent="0.25">
      <c r="A1356" s="285"/>
      <c r="B1356" s="59"/>
      <c r="C1356" s="59"/>
      <c r="D1356" s="60"/>
    </row>
    <row r="1357" spans="1:4" ht="16.5" thickBot="1" x14ac:dyDescent="0.3">
      <c r="A1357" s="286"/>
      <c r="B1357" s="62"/>
      <c r="C1357" s="62"/>
      <c r="D1357" s="61"/>
    </row>
    <row r="1358" spans="1:4" ht="16.5" thickBot="1" x14ac:dyDescent="0.3">
      <c r="A1358" s="57"/>
      <c r="B1358" s="36"/>
      <c r="C1358" s="36"/>
      <c r="D1358" s="36"/>
    </row>
    <row r="1359" spans="1:4" ht="15.75" thickBot="1" x14ac:dyDescent="0.3">
      <c r="A1359" s="287"/>
      <c r="B1359" s="288"/>
      <c r="C1359" s="288"/>
      <c r="D1359" s="289"/>
    </row>
    <row r="1360" spans="1:4" ht="18.75" x14ac:dyDescent="0.25">
      <c r="A1360" s="5"/>
      <c r="B1360" s="6"/>
      <c r="C1360" s="7"/>
      <c r="D1360" s="8"/>
    </row>
    <row r="1361" spans="1:4" ht="19.5" thickBot="1" x14ac:dyDescent="0.3">
      <c r="A1361" s="9"/>
      <c r="B1361" s="10"/>
      <c r="C1361" s="10"/>
      <c r="D1361" s="11"/>
    </row>
    <row r="1362" spans="1:4" ht="21.75" thickBot="1" x14ac:dyDescent="0.3">
      <c r="A1362" s="43"/>
      <c r="B1362" s="290"/>
      <c r="C1362" s="291"/>
      <c r="D1362" s="43"/>
    </row>
    <row r="1363" spans="1:4" ht="21.75" thickBot="1" x14ac:dyDescent="0.3">
      <c r="A1363" s="38"/>
      <c r="B1363" s="44"/>
      <c r="C1363" s="45"/>
      <c r="D1363" s="44"/>
    </row>
    <row r="1364" spans="1:4" ht="19.5" thickBot="1" x14ac:dyDescent="0.3">
      <c r="A1364" s="19"/>
      <c r="B1364" s="20"/>
      <c r="C1364" s="63"/>
      <c r="D1364" s="14"/>
    </row>
    <row r="1365" spans="1:4" ht="19.5" thickBot="1" x14ac:dyDescent="0.3">
      <c r="A1365" s="19"/>
      <c r="B1365" s="20"/>
      <c r="C1365" s="63"/>
      <c r="D1365" s="14"/>
    </row>
    <row r="1366" spans="1:4" ht="19.5" thickBot="1" x14ac:dyDescent="0.3">
      <c r="A1366" s="19"/>
      <c r="B1366" s="20"/>
      <c r="C1366" s="48"/>
      <c r="D1366" s="46"/>
    </row>
    <row r="1367" spans="1:4" ht="15.75" thickBot="1" x14ac:dyDescent="0.3">
      <c r="A1367" s="32"/>
      <c r="B1367" s="33"/>
      <c r="C1367" s="32"/>
      <c r="D1367" s="34"/>
    </row>
    <row r="1368" spans="1:4" ht="15.75" thickBot="1" x14ac:dyDescent="0.3">
      <c r="A1368" s="58"/>
      <c r="B1368" s="58"/>
      <c r="C1368" s="58"/>
      <c r="D1368" s="35"/>
    </row>
    <row r="1369" spans="1:4" ht="15.75" x14ac:dyDescent="0.25">
      <c r="A1369" s="285"/>
      <c r="B1369" s="59"/>
      <c r="C1369" s="59"/>
      <c r="D1369" s="60"/>
    </row>
    <row r="1370" spans="1:4" ht="16.5" thickBot="1" x14ac:dyDescent="0.3">
      <c r="A1370" s="286"/>
      <c r="B1370" s="62"/>
      <c r="C1370" s="62"/>
      <c r="D1370" s="61"/>
    </row>
    <row r="1371" spans="1:4" ht="15.75" x14ac:dyDescent="0.25">
      <c r="A1371" s="285"/>
      <c r="B1371" s="59"/>
      <c r="C1371" s="59"/>
      <c r="D1371" s="60"/>
    </row>
    <row r="1372" spans="1:4" ht="16.5" thickBot="1" x14ac:dyDescent="0.3">
      <c r="A1372" s="286"/>
      <c r="B1372" s="62"/>
      <c r="C1372" s="62"/>
      <c r="D1372" s="61"/>
    </row>
    <row r="1373" spans="1:4" ht="16.5" thickBot="1" x14ac:dyDescent="0.3">
      <c r="A1373" s="57"/>
      <c r="B1373" s="36"/>
      <c r="C1373" s="36"/>
      <c r="D1373" s="36"/>
    </row>
    <row r="1374" spans="1:4" ht="15.75" thickBot="1" x14ac:dyDescent="0.3">
      <c r="A1374" s="287"/>
      <c r="B1374" s="288"/>
      <c r="C1374" s="288"/>
      <c r="D1374" s="289"/>
    </row>
    <row r="1375" spans="1:4" ht="18.75" x14ac:dyDescent="0.25">
      <c r="A1375" s="5"/>
      <c r="B1375" s="6"/>
      <c r="C1375" s="7"/>
      <c r="D1375" s="8"/>
    </row>
    <row r="1376" spans="1:4" ht="19.5" thickBot="1" x14ac:dyDescent="0.3">
      <c r="A1376" s="9"/>
      <c r="B1376" s="10"/>
      <c r="C1376" s="10"/>
      <c r="D1376" s="11"/>
    </row>
    <row r="1377" spans="1:4" ht="21.75" thickBot="1" x14ac:dyDescent="0.3">
      <c r="A1377" s="43"/>
      <c r="B1377" s="290"/>
      <c r="C1377" s="291"/>
      <c r="D1377" s="43"/>
    </row>
    <row r="1378" spans="1:4" ht="21.75" thickBot="1" x14ac:dyDescent="0.3">
      <c r="A1378" s="38"/>
      <c r="B1378" s="44"/>
      <c r="C1378" s="45"/>
      <c r="D1378" s="44"/>
    </row>
    <row r="1379" spans="1:4" ht="19.5" thickBot="1" x14ac:dyDescent="0.3">
      <c r="A1379" s="19"/>
      <c r="B1379" s="20"/>
      <c r="C1379" s="63"/>
      <c r="D1379" s="14"/>
    </row>
    <row r="1380" spans="1:4" ht="19.5" thickBot="1" x14ac:dyDescent="0.3">
      <c r="A1380" s="19"/>
      <c r="B1380" s="20"/>
      <c r="C1380" s="48"/>
      <c r="D1380" s="46"/>
    </row>
    <row r="1381" spans="1:4" ht="15.75" thickBot="1" x14ac:dyDescent="0.3">
      <c r="A1381" s="32"/>
      <c r="B1381" s="33"/>
      <c r="C1381" s="32"/>
      <c r="D1381" s="34"/>
    </row>
    <row r="1382" spans="1:4" ht="15.75" thickBot="1" x14ac:dyDescent="0.3">
      <c r="A1382" s="58"/>
      <c r="B1382" s="58"/>
      <c r="C1382" s="58"/>
      <c r="D1382" s="35"/>
    </row>
    <row r="1383" spans="1:4" ht="15.75" x14ac:dyDescent="0.25">
      <c r="A1383" s="285"/>
      <c r="B1383" s="59"/>
      <c r="C1383" s="59"/>
      <c r="D1383" s="60"/>
    </row>
    <row r="1384" spans="1:4" ht="16.5" thickBot="1" x14ac:dyDescent="0.3">
      <c r="A1384" s="286"/>
      <c r="B1384" s="62"/>
      <c r="C1384" s="62"/>
      <c r="D1384" s="61"/>
    </row>
    <row r="1385" spans="1:4" ht="15.75" x14ac:dyDescent="0.25">
      <c r="A1385" s="285"/>
      <c r="B1385" s="59"/>
      <c r="C1385" s="59"/>
      <c r="D1385" s="60"/>
    </row>
    <row r="1386" spans="1:4" ht="16.5" thickBot="1" x14ac:dyDescent="0.3">
      <c r="A1386" s="286"/>
      <c r="B1386" s="62"/>
      <c r="C1386" s="62"/>
      <c r="D1386" s="61"/>
    </row>
    <row r="1387" spans="1:4" ht="16.5" thickBot="1" x14ac:dyDescent="0.3">
      <c r="A1387" s="57"/>
      <c r="B1387" s="36"/>
      <c r="C1387" s="36"/>
      <c r="D1387" s="36"/>
    </row>
    <row r="1388" spans="1:4" ht="15.75" thickBot="1" x14ac:dyDescent="0.3">
      <c r="A1388" s="287"/>
      <c r="B1388" s="288"/>
      <c r="C1388" s="288"/>
      <c r="D1388" s="289"/>
    </row>
    <row r="1389" spans="1:4" ht="18.75" x14ac:dyDescent="0.25">
      <c r="A1389" s="5"/>
      <c r="B1389" s="6"/>
      <c r="C1389" s="7"/>
      <c r="D1389" s="8"/>
    </row>
    <row r="1390" spans="1:4" ht="19.5" thickBot="1" x14ac:dyDescent="0.3">
      <c r="A1390" s="9"/>
      <c r="B1390" s="10"/>
      <c r="C1390" s="10"/>
      <c r="D1390" s="11"/>
    </row>
    <row r="1391" spans="1:4" ht="21.75" thickBot="1" x14ac:dyDescent="0.3">
      <c r="A1391" s="43"/>
      <c r="B1391" s="290"/>
      <c r="C1391" s="291"/>
      <c r="D1391" s="43"/>
    </row>
    <row r="1392" spans="1:4" ht="21.75" thickBot="1" x14ac:dyDescent="0.3">
      <c r="A1392" s="38"/>
      <c r="B1392" s="44"/>
      <c r="C1392" s="45"/>
      <c r="D1392" s="44"/>
    </row>
    <row r="1393" spans="1:4" ht="19.5" thickBot="1" x14ac:dyDescent="0.3">
      <c r="A1393" s="19"/>
      <c r="B1393" s="20"/>
      <c r="C1393" s="63"/>
      <c r="D1393" s="14"/>
    </row>
    <row r="1394" spans="1:4" ht="19.5" thickBot="1" x14ac:dyDescent="0.3">
      <c r="A1394" s="19"/>
      <c r="B1394" s="20"/>
      <c r="C1394" s="63"/>
      <c r="D1394" s="14"/>
    </row>
    <row r="1395" spans="1:4" ht="19.5" thickBot="1" x14ac:dyDescent="0.3">
      <c r="A1395" s="19"/>
      <c r="B1395" s="20"/>
      <c r="C1395" s="48"/>
      <c r="D1395" s="46"/>
    </row>
    <row r="1396" spans="1:4" ht="15.75" thickBot="1" x14ac:dyDescent="0.3">
      <c r="A1396" s="32"/>
      <c r="B1396" s="33"/>
      <c r="C1396" s="32"/>
      <c r="D1396" s="34"/>
    </row>
    <row r="1397" spans="1:4" ht="15.75" thickBot="1" x14ac:dyDescent="0.3">
      <c r="A1397" s="58"/>
      <c r="B1397" s="58"/>
      <c r="C1397" s="58"/>
      <c r="D1397" s="35"/>
    </row>
    <row r="1398" spans="1:4" ht="15.75" x14ac:dyDescent="0.25">
      <c r="A1398" s="285"/>
      <c r="B1398" s="59"/>
      <c r="C1398" s="59"/>
      <c r="D1398" s="60"/>
    </row>
    <row r="1399" spans="1:4" ht="16.5" thickBot="1" x14ac:dyDescent="0.3">
      <c r="A1399" s="286"/>
      <c r="B1399" s="62"/>
      <c r="C1399" s="62"/>
      <c r="D1399" s="61"/>
    </row>
    <row r="1400" spans="1:4" ht="15.75" x14ac:dyDescent="0.25">
      <c r="A1400" s="285"/>
      <c r="B1400" s="59"/>
      <c r="C1400" s="59"/>
      <c r="D1400" s="60"/>
    </row>
    <row r="1401" spans="1:4" ht="16.5" thickBot="1" x14ac:dyDescent="0.3">
      <c r="A1401" s="286"/>
      <c r="B1401" s="62"/>
      <c r="C1401" s="62"/>
      <c r="D1401" s="61"/>
    </row>
    <row r="1402" spans="1:4" ht="16.5" thickBot="1" x14ac:dyDescent="0.3">
      <c r="A1402" s="57"/>
      <c r="B1402" s="36"/>
      <c r="C1402" s="36"/>
      <c r="D1402" s="36"/>
    </row>
    <row r="1403" spans="1:4" ht="15.75" thickBot="1" x14ac:dyDescent="0.3">
      <c r="A1403" s="287"/>
      <c r="B1403" s="288"/>
      <c r="C1403" s="288"/>
      <c r="D1403" s="289"/>
    </row>
    <row r="1404" spans="1:4" ht="18.75" x14ac:dyDescent="0.25">
      <c r="A1404" s="5"/>
      <c r="B1404" s="6"/>
      <c r="C1404" s="7"/>
      <c r="D1404" s="8"/>
    </row>
    <row r="1405" spans="1:4" ht="19.5" thickBot="1" x14ac:dyDescent="0.3">
      <c r="A1405" s="9"/>
      <c r="B1405" s="10"/>
      <c r="C1405" s="10"/>
      <c r="D1405" s="11"/>
    </row>
    <row r="1406" spans="1:4" ht="21.75" thickBot="1" x14ac:dyDescent="0.3">
      <c r="A1406" s="43"/>
      <c r="B1406" s="290"/>
      <c r="C1406" s="291"/>
      <c r="D1406" s="43"/>
    </row>
    <row r="1407" spans="1:4" ht="21.75" thickBot="1" x14ac:dyDescent="0.3">
      <c r="A1407" s="38"/>
      <c r="B1407" s="44"/>
      <c r="C1407" s="45"/>
      <c r="D1407" s="44"/>
    </row>
    <row r="1408" spans="1:4" ht="19.5" thickBot="1" x14ac:dyDescent="0.3">
      <c r="A1408" s="19"/>
      <c r="B1408" s="20"/>
      <c r="C1408" s="63"/>
      <c r="D1408" s="14"/>
    </row>
    <row r="1409" spans="1:4" ht="19.5" thickBot="1" x14ac:dyDescent="0.3">
      <c r="A1409" s="19"/>
      <c r="B1409" s="20"/>
      <c r="C1409" s="48"/>
      <c r="D1409" s="46"/>
    </row>
    <row r="1410" spans="1:4" ht="15.75" thickBot="1" x14ac:dyDescent="0.3">
      <c r="A1410" s="32"/>
      <c r="B1410" s="33"/>
      <c r="C1410" s="32"/>
      <c r="D1410" s="34"/>
    </row>
    <row r="1411" spans="1:4" ht="15.75" thickBot="1" x14ac:dyDescent="0.3">
      <c r="A1411" s="58"/>
      <c r="B1411" s="58"/>
      <c r="C1411" s="58"/>
      <c r="D1411" s="35"/>
    </row>
    <row r="1412" spans="1:4" ht="15.75" x14ac:dyDescent="0.25">
      <c r="A1412" s="285"/>
      <c r="B1412" s="59"/>
      <c r="C1412" s="59"/>
      <c r="D1412" s="60"/>
    </row>
    <row r="1413" spans="1:4" ht="16.5" thickBot="1" x14ac:dyDescent="0.3">
      <c r="A1413" s="286"/>
      <c r="B1413" s="62"/>
      <c r="C1413" s="62"/>
      <c r="D1413" s="61"/>
    </row>
    <row r="1414" spans="1:4" ht="15.75" x14ac:dyDescent="0.25">
      <c r="A1414" s="285"/>
      <c r="B1414" s="59"/>
      <c r="C1414" s="59"/>
      <c r="D1414" s="60"/>
    </row>
    <row r="1415" spans="1:4" ht="16.5" thickBot="1" x14ac:dyDescent="0.3">
      <c r="A1415" s="286"/>
      <c r="B1415" s="62"/>
      <c r="C1415" s="62"/>
      <c r="D1415" s="61"/>
    </row>
    <row r="1416" spans="1:4" ht="16.5" thickBot="1" x14ac:dyDescent="0.3">
      <c r="A1416" s="57"/>
      <c r="B1416" s="36"/>
      <c r="C1416" s="36"/>
      <c r="D1416" s="36"/>
    </row>
    <row r="1417" spans="1:4" ht="15.75" thickBot="1" x14ac:dyDescent="0.3">
      <c r="A1417" s="287"/>
      <c r="B1417" s="288"/>
      <c r="C1417" s="288"/>
      <c r="D1417" s="289"/>
    </row>
    <row r="1418" spans="1:4" ht="18.75" x14ac:dyDescent="0.25">
      <c r="A1418" s="5"/>
      <c r="B1418" s="6"/>
      <c r="C1418" s="7"/>
      <c r="D1418" s="8"/>
    </row>
    <row r="1419" spans="1:4" ht="19.5" thickBot="1" x14ac:dyDescent="0.3">
      <c r="A1419" s="9"/>
      <c r="B1419" s="10"/>
      <c r="C1419" s="10"/>
      <c r="D1419" s="11"/>
    </row>
    <row r="1420" spans="1:4" ht="21.75" thickBot="1" x14ac:dyDescent="0.3">
      <c r="A1420" s="43"/>
      <c r="B1420" s="290"/>
      <c r="C1420" s="291"/>
      <c r="D1420" s="43"/>
    </row>
    <row r="1421" spans="1:4" ht="21.75" thickBot="1" x14ac:dyDescent="0.3">
      <c r="A1421" s="38"/>
      <c r="B1421" s="44"/>
      <c r="C1421" s="45"/>
      <c r="D1421" s="44"/>
    </row>
    <row r="1422" spans="1:4" ht="19.5" thickBot="1" x14ac:dyDescent="0.3">
      <c r="A1422" s="19"/>
      <c r="B1422" s="20"/>
      <c r="C1422" s="63"/>
      <c r="D1422" s="14"/>
    </row>
    <row r="1423" spans="1:4" ht="19.5" thickBot="1" x14ac:dyDescent="0.3">
      <c r="A1423" s="19"/>
      <c r="B1423" s="20"/>
      <c r="C1423" s="63"/>
      <c r="D1423" s="14"/>
    </row>
    <row r="1424" spans="1:4" ht="19.5" thickBot="1" x14ac:dyDescent="0.3">
      <c r="A1424" s="19"/>
      <c r="B1424" s="20"/>
      <c r="C1424" s="48"/>
      <c r="D1424" s="46"/>
    </row>
    <row r="1425" spans="1:4" ht="15.75" thickBot="1" x14ac:dyDescent="0.3">
      <c r="A1425" s="32"/>
      <c r="B1425" s="33"/>
      <c r="C1425" s="32"/>
      <c r="D1425" s="34"/>
    </row>
    <row r="1426" spans="1:4" ht="15.75" thickBot="1" x14ac:dyDescent="0.3">
      <c r="A1426" s="58"/>
      <c r="B1426" s="58"/>
      <c r="C1426" s="58"/>
      <c r="D1426" s="35"/>
    </row>
    <row r="1427" spans="1:4" ht="15.75" x14ac:dyDescent="0.25">
      <c r="A1427" s="285"/>
      <c r="B1427" s="59"/>
      <c r="C1427" s="59"/>
      <c r="D1427" s="60"/>
    </row>
    <row r="1428" spans="1:4" ht="16.5" thickBot="1" x14ac:dyDescent="0.3">
      <c r="A1428" s="286"/>
      <c r="B1428" s="62"/>
      <c r="C1428" s="62"/>
      <c r="D1428" s="61"/>
    </row>
    <row r="1429" spans="1:4" ht="15.75" x14ac:dyDescent="0.25">
      <c r="A1429" s="285"/>
      <c r="B1429" s="59"/>
      <c r="C1429" s="59"/>
      <c r="D1429" s="60"/>
    </row>
    <row r="1430" spans="1:4" ht="16.5" thickBot="1" x14ac:dyDescent="0.3">
      <c r="A1430" s="286"/>
      <c r="B1430" s="62"/>
      <c r="C1430" s="62"/>
      <c r="D1430" s="61"/>
    </row>
    <row r="1431" spans="1:4" ht="16.5" thickBot="1" x14ac:dyDescent="0.3">
      <c r="A1431" s="57"/>
      <c r="B1431" s="36"/>
      <c r="C1431" s="36"/>
      <c r="D1431" s="36"/>
    </row>
    <row r="1432" spans="1:4" ht="15.75" thickBot="1" x14ac:dyDescent="0.3">
      <c r="A1432" s="287"/>
      <c r="B1432" s="288"/>
      <c r="C1432" s="288"/>
      <c r="D1432" s="289"/>
    </row>
    <row r="1433" spans="1:4" ht="18.75" x14ac:dyDescent="0.25">
      <c r="A1433" s="5"/>
      <c r="B1433" s="6"/>
      <c r="C1433" s="7"/>
      <c r="D1433" s="8"/>
    </row>
    <row r="1434" spans="1:4" ht="19.5" thickBot="1" x14ac:dyDescent="0.3">
      <c r="A1434" s="9"/>
      <c r="B1434" s="10"/>
      <c r="C1434" s="10"/>
      <c r="D1434" s="11"/>
    </row>
    <row r="1435" spans="1:4" ht="21.75" thickBot="1" x14ac:dyDescent="0.3">
      <c r="A1435" s="43"/>
      <c r="B1435" s="290"/>
      <c r="C1435" s="291"/>
      <c r="D1435" s="43"/>
    </row>
    <row r="1436" spans="1:4" ht="21.75" thickBot="1" x14ac:dyDescent="0.3">
      <c r="A1436" s="38"/>
      <c r="B1436" s="44"/>
      <c r="C1436" s="45"/>
      <c r="D1436" s="44"/>
    </row>
    <row r="1437" spans="1:4" ht="19.5" thickBot="1" x14ac:dyDescent="0.3">
      <c r="A1437" s="19"/>
      <c r="B1437" s="20"/>
      <c r="C1437" s="63"/>
      <c r="D1437" s="14"/>
    </row>
    <row r="1438" spans="1:4" ht="19.5" thickBot="1" x14ac:dyDescent="0.3">
      <c r="A1438" s="19"/>
      <c r="B1438" s="20"/>
      <c r="C1438" s="48"/>
      <c r="D1438" s="46"/>
    </row>
    <row r="1439" spans="1:4" ht="15.75" thickBot="1" x14ac:dyDescent="0.3">
      <c r="A1439" s="32"/>
      <c r="B1439" s="33"/>
      <c r="C1439" s="32"/>
      <c r="D1439" s="34"/>
    </row>
    <row r="1440" spans="1:4" ht="15.75" thickBot="1" x14ac:dyDescent="0.3">
      <c r="A1440" s="58"/>
      <c r="B1440" s="58"/>
      <c r="C1440" s="58"/>
      <c r="D1440" s="35"/>
    </row>
    <row r="1441" spans="1:4" ht="15.75" x14ac:dyDescent="0.25">
      <c r="A1441" s="285"/>
      <c r="B1441" s="59"/>
      <c r="C1441" s="59"/>
      <c r="D1441" s="60"/>
    </row>
    <row r="1442" spans="1:4" ht="16.5" thickBot="1" x14ac:dyDescent="0.3">
      <c r="A1442" s="286"/>
      <c r="B1442" s="62"/>
      <c r="C1442" s="62"/>
      <c r="D1442" s="61"/>
    </row>
    <row r="1443" spans="1:4" ht="15.75" x14ac:dyDescent="0.25">
      <c r="A1443" s="285"/>
      <c r="B1443" s="59"/>
      <c r="C1443" s="59"/>
      <c r="D1443" s="60"/>
    </row>
    <row r="1444" spans="1:4" ht="16.5" thickBot="1" x14ac:dyDescent="0.3">
      <c r="A1444" s="286"/>
      <c r="B1444" s="62"/>
      <c r="C1444" s="62"/>
      <c r="D1444" s="61"/>
    </row>
    <row r="1445" spans="1:4" ht="16.5" thickBot="1" x14ac:dyDescent="0.3">
      <c r="A1445" s="57"/>
      <c r="B1445" s="36"/>
      <c r="C1445" s="36"/>
      <c r="D1445" s="36"/>
    </row>
    <row r="1446" spans="1:4" ht="15.75" thickBot="1" x14ac:dyDescent="0.3">
      <c r="A1446" s="287"/>
      <c r="B1446" s="288"/>
      <c r="C1446" s="288"/>
      <c r="D1446" s="289"/>
    </row>
    <row r="1447" spans="1:4" ht="18.75" x14ac:dyDescent="0.25">
      <c r="A1447" s="5"/>
      <c r="B1447" s="6"/>
      <c r="C1447" s="7"/>
      <c r="D1447" s="8"/>
    </row>
    <row r="1448" spans="1:4" ht="19.5" thickBot="1" x14ac:dyDescent="0.3">
      <c r="A1448" s="9"/>
      <c r="B1448" s="10"/>
      <c r="C1448" s="10"/>
      <c r="D1448" s="11"/>
    </row>
    <row r="1449" spans="1:4" ht="21.75" thickBot="1" x14ac:dyDescent="0.3">
      <c r="A1449" s="43"/>
      <c r="B1449" s="290"/>
      <c r="C1449" s="291"/>
      <c r="D1449" s="43"/>
    </row>
    <row r="1450" spans="1:4" ht="21.75" thickBot="1" x14ac:dyDescent="0.3">
      <c r="A1450" s="38"/>
      <c r="B1450" s="44"/>
      <c r="C1450" s="45"/>
      <c r="D1450" s="44"/>
    </row>
    <row r="1451" spans="1:4" ht="19.5" thickBot="1" x14ac:dyDescent="0.3">
      <c r="A1451" s="19"/>
      <c r="B1451" s="20"/>
      <c r="C1451" s="63"/>
      <c r="D1451" s="14"/>
    </row>
    <row r="1452" spans="1:4" ht="19.5" thickBot="1" x14ac:dyDescent="0.3">
      <c r="A1452" s="19"/>
      <c r="B1452" s="20"/>
      <c r="C1452" s="63"/>
      <c r="D1452" s="14"/>
    </row>
    <row r="1453" spans="1:4" ht="19.5" thickBot="1" x14ac:dyDescent="0.3">
      <c r="A1453" s="19"/>
      <c r="B1453" s="20"/>
      <c r="C1453" s="48"/>
      <c r="D1453" s="46"/>
    </row>
    <row r="1454" spans="1:4" ht="15.75" thickBot="1" x14ac:dyDescent="0.3">
      <c r="A1454" s="32"/>
      <c r="B1454" s="33"/>
      <c r="C1454" s="32"/>
      <c r="D1454" s="34"/>
    </row>
    <row r="1455" spans="1:4" ht="15.75" thickBot="1" x14ac:dyDescent="0.3">
      <c r="A1455" s="58"/>
      <c r="B1455" s="58"/>
      <c r="C1455" s="58"/>
      <c r="D1455" s="35"/>
    </row>
    <row r="1456" spans="1:4" ht="15.75" x14ac:dyDescent="0.25">
      <c r="A1456" s="285"/>
      <c r="B1456" s="59"/>
      <c r="C1456" s="59"/>
      <c r="D1456" s="60"/>
    </row>
    <row r="1457" spans="1:4" ht="16.5" thickBot="1" x14ac:dyDescent="0.3">
      <c r="A1457" s="286"/>
      <c r="B1457" s="62"/>
      <c r="C1457" s="62"/>
      <c r="D1457" s="61"/>
    </row>
    <row r="1458" spans="1:4" ht="15.75" x14ac:dyDescent="0.25">
      <c r="A1458" s="285"/>
      <c r="B1458" s="59"/>
      <c r="C1458" s="59"/>
      <c r="D1458" s="60"/>
    </row>
    <row r="1459" spans="1:4" ht="16.5" thickBot="1" x14ac:dyDescent="0.3">
      <c r="A1459" s="286"/>
      <c r="B1459" s="62"/>
      <c r="C1459" s="62"/>
      <c r="D1459" s="61"/>
    </row>
    <row r="1460" spans="1:4" ht="16.5" thickBot="1" x14ac:dyDescent="0.3">
      <c r="A1460" s="57"/>
      <c r="B1460" s="36"/>
      <c r="C1460" s="36"/>
      <c r="D1460" s="36"/>
    </row>
    <row r="1461" spans="1:4" ht="15.75" thickBot="1" x14ac:dyDescent="0.3">
      <c r="A1461" s="287"/>
      <c r="B1461" s="288"/>
      <c r="C1461" s="288"/>
      <c r="D1461" s="289"/>
    </row>
    <row r="1462" spans="1:4" ht="18.75" x14ac:dyDescent="0.25">
      <c r="A1462" s="5"/>
      <c r="B1462" s="6"/>
      <c r="C1462" s="7"/>
      <c r="D1462" s="8"/>
    </row>
    <row r="1463" spans="1:4" ht="19.5" thickBot="1" x14ac:dyDescent="0.3">
      <c r="A1463" s="9"/>
      <c r="B1463" s="10"/>
      <c r="C1463" s="10"/>
      <c r="D1463" s="11"/>
    </row>
    <row r="1464" spans="1:4" ht="21.75" thickBot="1" x14ac:dyDescent="0.3">
      <c r="A1464" s="43"/>
      <c r="B1464" s="290"/>
      <c r="C1464" s="291"/>
      <c r="D1464" s="43"/>
    </row>
    <row r="1465" spans="1:4" ht="21.75" thickBot="1" x14ac:dyDescent="0.3">
      <c r="A1465" s="38"/>
      <c r="B1465" s="44"/>
      <c r="C1465" s="45"/>
      <c r="D1465" s="44"/>
    </row>
    <row r="1466" spans="1:4" ht="19.5" thickBot="1" x14ac:dyDescent="0.3">
      <c r="A1466" s="19"/>
      <c r="B1466" s="20"/>
      <c r="C1466" s="63"/>
      <c r="D1466" s="14"/>
    </row>
    <row r="1467" spans="1:4" ht="19.5" thickBot="1" x14ac:dyDescent="0.3">
      <c r="A1467" s="19"/>
      <c r="B1467" s="20"/>
      <c r="C1467" s="48"/>
      <c r="D1467" s="46"/>
    </row>
    <row r="1468" spans="1:4" ht="15.75" thickBot="1" x14ac:dyDescent="0.3">
      <c r="A1468" s="32"/>
      <c r="B1468" s="33"/>
      <c r="C1468" s="32"/>
      <c r="D1468" s="34"/>
    </row>
    <row r="1469" spans="1:4" ht="15.75" thickBot="1" x14ac:dyDescent="0.3">
      <c r="A1469" s="58"/>
      <c r="B1469" s="58"/>
      <c r="C1469" s="58"/>
      <c r="D1469" s="35"/>
    </row>
    <row r="1470" spans="1:4" ht="15.75" x14ac:dyDescent="0.25">
      <c r="A1470" s="285"/>
      <c r="B1470" s="59"/>
      <c r="C1470" s="59"/>
      <c r="D1470" s="60"/>
    </row>
    <row r="1471" spans="1:4" ht="16.5" thickBot="1" x14ac:dyDescent="0.3">
      <c r="A1471" s="286"/>
      <c r="B1471" s="62"/>
      <c r="C1471" s="62"/>
      <c r="D1471" s="61"/>
    </row>
    <row r="1472" spans="1:4" ht="15.75" x14ac:dyDescent="0.25">
      <c r="A1472" s="285"/>
      <c r="B1472" s="59"/>
      <c r="C1472" s="59"/>
      <c r="D1472" s="60"/>
    </row>
    <row r="1473" spans="1:4" ht="16.5" thickBot="1" x14ac:dyDescent="0.3">
      <c r="A1473" s="286"/>
      <c r="B1473" s="62"/>
      <c r="C1473" s="62"/>
      <c r="D1473" s="61"/>
    </row>
    <row r="1474" spans="1:4" ht="16.5" thickBot="1" x14ac:dyDescent="0.3">
      <c r="A1474" s="57"/>
      <c r="B1474" s="36"/>
      <c r="C1474" s="36"/>
      <c r="D1474" s="36"/>
    </row>
    <row r="1475" spans="1:4" ht="15.75" thickBot="1" x14ac:dyDescent="0.3">
      <c r="A1475" s="287"/>
      <c r="B1475" s="288"/>
      <c r="C1475" s="288"/>
      <c r="D1475" s="289"/>
    </row>
    <row r="1476" spans="1:4" ht="18.75" x14ac:dyDescent="0.25">
      <c r="A1476" s="5"/>
      <c r="B1476" s="6"/>
      <c r="C1476" s="7"/>
      <c r="D1476" s="8"/>
    </row>
    <row r="1477" spans="1:4" ht="19.5" thickBot="1" x14ac:dyDescent="0.3">
      <c r="A1477" s="9"/>
      <c r="B1477" s="10"/>
      <c r="C1477" s="10"/>
      <c r="D1477" s="11"/>
    </row>
    <row r="1478" spans="1:4" ht="21.75" thickBot="1" x14ac:dyDescent="0.3">
      <c r="A1478" s="43"/>
      <c r="B1478" s="290"/>
      <c r="C1478" s="291"/>
      <c r="D1478" s="43"/>
    </row>
    <row r="1479" spans="1:4" ht="21.75" thickBot="1" x14ac:dyDescent="0.3">
      <c r="A1479" s="38"/>
      <c r="B1479" s="44"/>
      <c r="C1479" s="45"/>
      <c r="D1479" s="44"/>
    </row>
    <row r="1480" spans="1:4" ht="19.5" thickBot="1" x14ac:dyDescent="0.3">
      <c r="A1480" s="19"/>
      <c r="B1480" s="20"/>
      <c r="C1480" s="63"/>
      <c r="D1480" s="14"/>
    </row>
    <row r="1481" spans="1:4" ht="19.5" thickBot="1" x14ac:dyDescent="0.3">
      <c r="A1481" s="19"/>
      <c r="B1481" s="20"/>
      <c r="C1481" s="63"/>
      <c r="D1481" s="14"/>
    </row>
    <row r="1482" spans="1:4" ht="19.5" thickBot="1" x14ac:dyDescent="0.3">
      <c r="A1482" s="19"/>
      <c r="B1482" s="20"/>
      <c r="C1482" s="48"/>
      <c r="D1482" s="46"/>
    </row>
    <row r="1483" spans="1:4" ht="15.75" thickBot="1" x14ac:dyDescent="0.3">
      <c r="A1483" s="32"/>
      <c r="B1483" s="33"/>
      <c r="C1483" s="32"/>
      <c r="D1483" s="34"/>
    </row>
    <row r="1484" spans="1:4" ht="15.75" thickBot="1" x14ac:dyDescent="0.3">
      <c r="A1484" s="58"/>
      <c r="B1484" s="58"/>
      <c r="C1484" s="58"/>
      <c r="D1484" s="35"/>
    </row>
    <row r="1485" spans="1:4" ht="15.75" x14ac:dyDescent="0.25">
      <c r="A1485" s="285"/>
      <c r="B1485" s="59"/>
      <c r="C1485" s="59"/>
      <c r="D1485" s="60"/>
    </row>
    <row r="1486" spans="1:4" ht="16.5" thickBot="1" x14ac:dyDescent="0.3">
      <c r="A1486" s="286"/>
      <c r="B1486" s="62"/>
      <c r="C1486" s="62"/>
      <c r="D1486" s="61"/>
    </row>
    <row r="1487" spans="1:4" ht="15.75" x14ac:dyDescent="0.25">
      <c r="A1487" s="285"/>
      <c r="B1487" s="59"/>
      <c r="C1487" s="59"/>
      <c r="D1487" s="60"/>
    </row>
    <row r="1488" spans="1:4" ht="16.5" thickBot="1" x14ac:dyDescent="0.3">
      <c r="A1488" s="286"/>
      <c r="B1488" s="62"/>
      <c r="C1488" s="62"/>
      <c r="D1488" s="61"/>
    </row>
    <row r="1489" spans="1:4" ht="16.5" thickBot="1" x14ac:dyDescent="0.3">
      <c r="A1489" s="57"/>
      <c r="B1489" s="36"/>
      <c r="C1489" s="36"/>
      <c r="D1489" s="36"/>
    </row>
    <row r="1490" spans="1:4" ht="15.75" thickBot="1" x14ac:dyDescent="0.3">
      <c r="A1490" s="287"/>
      <c r="B1490" s="288"/>
      <c r="C1490" s="288"/>
      <c r="D1490" s="289"/>
    </row>
    <row r="1491" spans="1:4" ht="18.75" x14ac:dyDescent="0.25">
      <c r="A1491" s="5"/>
      <c r="B1491" s="6"/>
      <c r="C1491" s="7"/>
      <c r="D1491" s="8"/>
    </row>
    <row r="1492" spans="1:4" ht="19.5" thickBot="1" x14ac:dyDescent="0.3">
      <c r="A1492" s="9"/>
      <c r="B1492" s="10"/>
      <c r="C1492" s="10"/>
      <c r="D1492" s="11"/>
    </row>
    <row r="1493" spans="1:4" ht="21.75" thickBot="1" x14ac:dyDescent="0.3">
      <c r="A1493" s="43"/>
      <c r="B1493" s="290"/>
      <c r="C1493" s="291"/>
      <c r="D1493" s="43"/>
    </row>
    <row r="1494" spans="1:4" ht="21.75" thickBot="1" x14ac:dyDescent="0.3">
      <c r="A1494" s="38"/>
      <c r="B1494" s="44"/>
      <c r="C1494" s="45"/>
      <c r="D1494" s="44"/>
    </row>
    <row r="1495" spans="1:4" ht="19.5" thickBot="1" x14ac:dyDescent="0.3">
      <c r="A1495" s="19"/>
      <c r="B1495" s="20"/>
      <c r="C1495" s="63"/>
      <c r="D1495" s="14"/>
    </row>
    <row r="1496" spans="1:4" ht="19.5" thickBot="1" x14ac:dyDescent="0.3">
      <c r="A1496" s="19"/>
      <c r="B1496" s="20"/>
      <c r="C1496" s="48"/>
      <c r="D1496" s="46"/>
    </row>
    <row r="1497" spans="1:4" ht="15.75" thickBot="1" x14ac:dyDescent="0.3">
      <c r="A1497" s="32"/>
      <c r="B1497" s="33"/>
      <c r="C1497" s="32"/>
      <c r="D1497" s="34"/>
    </row>
    <row r="1498" spans="1:4" ht="15.75" thickBot="1" x14ac:dyDescent="0.3">
      <c r="A1498" s="58"/>
      <c r="B1498" s="58"/>
      <c r="C1498" s="58"/>
      <c r="D1498" s="35"/>
    </row>
    <row r="1499" spans="1:4" ht="15.75" x14ac:dyDescent="0.25">
      <c r="A1499" s="285"/>
      <c r="B1499" s="59"/>
      <c r="C1499" s="59"/>
      <c r="D1499" s="60"/>
    </row>
    <row r="1500" spans="1:4" ht="16.5" thickBot="1" x14ac:dyDescent="0.3">
      <c r="A1500" s="286"/>
      <c r="B1500" s="62"/>
      <c r="C1500" s="62"/>
      <c r="D1500" s="61"/>
    </row>
    <row r="1501" spans="1:4" ht="15.75" x14ac:dyDescent="0.25">
      <c r="A1501" s="285"/>
      <c r="B1501" s="59"/>
      <c r="C1501" s="59"/>
      <c r="D1501" s="60"/>
    </row>
    <row r="1502" spans="1:4" ht="16.5" thickBot="1" x14ac:dyDescent="0.3">
      <c r="A1502" s="286"/>
      <c r="B1502" s="62"/>
      <c r="C1502" s="62"/>
      <c r="D1502" s="61"/>
    </row>
    <row r="1503" spans="1:4" ht="16.5" thickBot="1" x14ac:dyDescent="0.3">
      <c r="A1503" s="57"/>
      <c r="B1503" s="36"/>
      <c r="C1503" s="36"/>
      <c r="D1503" s="36"/>
    </row>
    <row r="1504" spans="1:4" ht="15.75" thickBot="1" x14ac:dyDescent="0.3">
      <c r="A1504" s="287"/>
      <c r="B1504" s="288"/>
      <c r="C1504" s="288"/>
      <c r="D1504" s="289"/>
    </row>
    <row r="1505" spans="1:4" ht="18.75" x14ac:dyDescent="0.25">
      <c r="A1505" s="5"/>
      <c r="B1505" s="6"/>
      <c r="C1505" s="7"/>
      <c r="D1505" s="8"/>
    </row>
    <row r="1506" spans="1:4" ht="19.5" thickBot="1" x14ac:dyDescent="0.3">
      <c r="A1506" s="9"/>
      <c r="B1506" s="10"/>
      <c r="C1506" s="10"/>
      <c r="D1506" s="11"/>
    </row>
    <row r="1507" spans="1:4" ht="21.75" thickBot="1" x14ac:dyDescent="0.3">
      <c r="A1507" s="43"/>
      <c r="B1507" s="290"/>
      <c r="C1507" s="291"/>
      <c r="D1507" s="43"/>
    </row>
    <row r="1508" spans="1:4" ht="21.75" thickBot="1" x14ac:dyDescent="0.3">
      <c r="A1508" s="38"/>
      <c r="B1508" s="44"/>
      <c r="C1508" s="45"/>
      <c r="D1508" s="44"/>
    </row>
    <row r="1509" spans="1:4" ht="19.5" thickBot="1" x14ac:dyDescent="0.3">
      <c r="A1509" s="19"/>
      <c r="B1509" s="20"/>
      <c r="C1509" s="63"/>
      <c r="D1509" s="14"/>
    </row>
    <row r="1510" spans="1:4" ht="19.5" thickBot="1" x14ac:dyDescent="0.3">
      <c r="A1510" s="19"/>
      <c r="B1510" s="20"/>
      <c r="C1510" s="63"/>
      <c r="D1510" s="14"/>
    </row>
    <row r="1511" spans="1:4" ht="19.5" thickBot="1" x14ac:dyDescent="0.3">
      <c r="A1511" s="19"/>
      <c r="B1511" s="20"/>
      <c r="C1511" s="48"/>
      <c r="D1511" s="46"/>
    </row>
    <row r="1512" spans="1:4" ht="15.75" thickBot="1" x14ac:dyDescent="0.3">
      <c r="A1512" s="32"/>
      <c r="B1512" s="33"/>
      <c r="C1512" s="32"/>
      <c r="D1512" s="34"/>
    </row>
    <row r="1513" spans="1:4" ht="15.75" thickBot="1" x14ac:dyDescent="0.3">
      <c r="A1513" s="58"/>
      <c r="B1513" s="58"/>
      <c r="C1513" s="58"/>
      <c r="D1513" s="35"/>
    </row>
    <row r="1514" spans="1:4" ht="15.75" x14ac:dyDescent="0.25">
      <c r="A1514" s="285"/>
      <c r="B1514" s="59"/>
      <c r="C1514" s="59"/>
      <c r="D1514" s="60"/>
    </row>
    <row r="1515" spans="1:4" ht="16.5" thickBot="1" x14ac:dyDescent="0.3">
      <c r="A1515" s="286"/>
      <c r="B1515" s="62"/>
      <c r="C1515" s="62"/>
      <c r="D1515" s="61"/>
    </row>
    <row r="1516" spans="1:4" ht="15.75" x14ac:dyDescent="0.25">
      <c r="A1516" s="285"/>
      <c r="B1516" s="59"/>
      <c r="C1516" s="59"/>
      <c r="D1516" s="60"/>
    </row>
    <row r="1517" spans="1:4" ht="16.5" thickBot="1" x14ac:dyDescent="0.3">
      <c r="A1517" s="286"/>
      <c r="B1517" s="62"/>
      <c r="C1517" s="62"/>
      <c r="D1517" s="61"/>
    </row>
    <row r="1518" spans="1:4" ht="16.5" thickBot="1" x14ac:dyDescent="0.3">
      <c r="A1518" s="57"/>
      <c r="B1518" s="36"/>
      <c r="C1518" s="36"/>
      <c r="D1518" s="36"/>
    </row>
    <row r="1519" spans="1:4" ht="15.75" thickBot="1" x14ac:dyDescent="0.3">
      <c r="A1519" s="287"/>
      <c r="B1519" s="288"/>
      <c r="C1519" s="288"/>
      <c r="D1519" s="289"/>
    </row>
    <row r="1520" spans="1:4" ht="18.75" x14ac:dyDescent="0.25">
      <c r="A1520" s="5"/>
      <c r="B1520" s="6"/>
      <c r="C1520" s="7"/>
      <c r="D1520" s="8"/>
    </row>
    <row r="1521" spans="1:4" ht="19.5" thickBot="1" x14ac:dyDescent="0.3">
      <c r="A1521" s="9"/>
      <c r="B1521" s="10"/>
      <c r="C1521" s="10"/>
      <c r="D1521" s="11"/>
    </row>
    <row r="1522" spans="1:4" ht="21.75" thickBot="1" x14ac:dyDescent="0.3">
      <c r="A1522" s="43"/>
      <c r="B1522" s="290"/>
      <c r="C1522" s="291"/>
      <c r="D1522" s="43"/>
    </row>
    <row r="1523" spans="1:4" ht="21.75" thickBot="1" x14ac:dyDescent="0.3">
      <c r="A1523" s="38"/>
      <c r="B1523" s="44"/>
      <c r="C1523" s="45"/>
      <c r="D1523" s="44"/>
    </row>
    <row r="1524" spans="1:4" ht="19.5" thickBot="1" x14ac:dyDescent="0.3">
      <c r="A1524" s="19"/>
      <c r="B1524" s="20"/>
      <c r="C1524" s="63"/>
      <c r="D1524" s="14"/>
    </row>
    <row r="1525" spans="1:4" ht="19.5" thickBot="1" x14ac:dyDescent="0.3">
      <c r="A1525" s="19"/>
      <c r="B1525" s="20"/>
      <c r="C1525" s="48"/>
      <c r="D1525" s="46"/>
    </row>
    <row r="1526" spans="1:4" ht="15.75" thickBot="1" x14ac:dyDescent="0.3">
      <c r="A1526" s="32"/>
      <c r="B1526" s="33"/>
      <c r="C1526" s="32"/>
      <c r="D1526" s="34"/>
    </row>
    <row r="1527" spans="1:4" ht="15.75" thickBot="1" x14ac:dyDescent="0.3">
      <c r="A1527" s="58"/>
      <c r="B1527" s="58"/>
      <c r="C1527" s="58"/>
      <c r="D1527" s="35"/>
    </row>
    <row r="1528" spans="1:4" ht="15.75" x14ac:dyDescent="0.25">
      <c r="A1528" s="285"/>
      <c r="B1528" s="59"/>
      <c r="C1528" s="59"/>
      <c r="D1528" s="60"/>
    </row>
    <row r="1529" spans="1:4" ht="16.5" thickBot="1" x14ac:dyDescent="0.3">
      <c r="A1529" s="286"/>
      <c r="B1529" s="62"/>
      <c r="C1529" s="62"/>
      <c r="D1529" s="61"/>
    </row>
    <row r="1530" spans="1:4" ht="15.75" x14ac:dyDescent="0.25">
      <c r="A1530" s="285"/>
      <c r="B1530" s="59"/>
      <c r="C1530" s="59"/>
      <c r="D1530" s="60"/>
    </row>
    <row r="1531" spans="1:4" ht="16.5" thickBot="1" x14ac:dyDescent="0.3">
      <c r="A1531" s="286"/>
      <c r="B1531" s="62"/>
      <c r="C1531" s="62"/>
      <c r="D1531" s="61"/>
    </row>
    <row r="1532" spans="1:4" ht="16.5" thickBot="1" x14ac:dyDescent="0.3">
      <c r="A1532" s="57"/>
      <c r="B1532" s="36"/>
      <c r="C1532" s="36"/>
      <c r="D1532" s="36"/>
    </row>
    <row r="1533" spans="1:4" ht="15.75" thickBot="1" x14ac:dyDescent="0.3">
      <c r="A1533" s="287"/>
      <c r="B1533" s="288"/>
      <c r="C1533" s="288"/>
      <c r="D1533" s="289"/>
    </row>
    <row r="1534" spans="1:4" ht="18.75" x14ac:dyDescent="0.25">
      <c r="A1534" s="5"/>
      <c r="B1534" s="6"/>
      <c r="C1534" s="7"/>
      <c r="D1534" s="8"/>
    </row>
    <row r="1535" spans="1:4" ht="19.5" thickBot="1" x14ac:dyDescent="0.3">
      <c r="A1535" s="9"/>
      <c r="B1535" s="10"/>
      <c r="C1535" s="10"/>
      <c r="D1535" s="11"/>
    </row>
    <row r="1536" spans="1:4" ht="21.75" thickBot="1" x14ac:dyDescent="0.3">
      <c r="A1536" s="43"/>
      <c r="B1536" s="290"/>
      <c r="C1536" s="291"/>
      <c r="D1536" s="43"/>
    </row>
    <row r="1537" spans="1:4" ht="21.75" thickBot="1" x14ac:dyDescent="0.3">
      <c r="A1537" s="38"/>
      <c r="B1537" s="44"/>
      <c r="C1537" s="45"/>
      <c r="D1537" s="44"/>
    </row>
    <row r="1538" spans="1:4" ht="19.5" thickBot="1" x14ac:dyDescent="0.3">
      <c r="A1538" s="19"/>
      <c r="B1538" s="20"/>
      <c r="C1538" s="63"/>
      <c r="D1538" s="14"/>
    </row>
    <row r="1539" spans="1:4" ht="19.5" thickBot="1" x14ac:dyDescent="0.3">
      <c r="A1539" s="19"/>
      <c r="B1539" s="20"/>
      <c r="C1539" s="63"/>
      <c r="D1539" s="14"/>
    </row>
    <row r="1540" spans="1:4" ht="19.5" thickBot="1" x14ac:dyDescent="0.3">
      <c r="A1540" s="19"/>
      <c r="B1540" s="20"/>
      <c r="C1540" s="48"/>
      <c r="D1540" s="46"/>
    </row>
    <row r="1541" spans="1:4" ht="15.75" thickBot="1" x14ac:dyDescent="0.3">
      <c r="A1541" s="32"/>
      <c r="B1541" s="33"/>
      <c r="C1541" s="32"/>
      <c r="D1541" s="34"/>
    </row>
    <row r="1542" spans="1:4" ht="15.75" thickBot="1" x14ac:dyDescent="0.3">
      <c r="A1542" s="58"/>
      <c r="B1542" s="58"/>
      <c r="C1542" s="58"/>
      <c r="D1542" s="35"/>
    </row>
    <row r="1543" spans="1:4" ht="15.75" x14ac:dyDescent="0.25">
      <c r="A1543" s="285"/>
      <c r="B1543" s="59"/>
      <c r="C1543" s="59"/>
      <c r="D1543" s="60"/>
    </row>
    <row r="1544" spans="1:4" ht="16.5" thickBot="1" x14ac:dyDescent="0.3">
      <c r="A1544" s="286"/>
      <c r="B1544" s="62"/>
      <c r="C1544" s="62"/>
      <c r="D1544" s="61"/>
    </row>
    <row r="1545" spans="1:4" ht="15.75" x14ac:dyDescent="0.25">
      <c r="A1545" s="285"/>
      <c r="B1545" s="59"/>
      <c r="C1545" s="59"/>
      <c r="D1545" s="60"/>
    </row>
    <row r="1546" spans="1:4" ht="16.5" thickBot="1" x14ac:dyDescent="0.3">
      <c r="A1546" s="286"/>
      <c r="B1546" s="62"/>
      <c r="C1546" s="62"/>
      <c r="D1546" s="61"/>
    </row>
    <row r="1547" spans="1:4" ht="16.5" thickBot="1" x14ac:dyDescent="0.3">
      <c r="A1547" s="57"/>
      <c r="B1547" s="36"/>
      <c r="C1547" s="36"/>
      <c r="D1547" s="36"/>
    </row>
    <row r="1548" spans="1:4" ht="15.75" thickBot="1" x14ac:dyDescent="0.3">
      <c r="A1548" s="287"/>
      <c r="B1548" s="288"/>
      <c r="C1548" s="288"/>
      <c r="D1548" s="289"/>
    </row>
    <row r="1549" spans="1:4" ht="18.75" x14ac:dyDescent="0.25">
      <c r="A1549" s="5"/>
      <c r="B1549" s="6"/>
      <c r="C1549" s="7"/>
      <c r="D1549" s="8"/>
    </row>
    <row r="1550" spans="1:4" ht="19.5" thickBot="1" x14ac:dyDescent="0.3">
      <c r="A1550" s="9"/>
      <c r="B1550" s="10"/>
      <c r="C1550" s="10"/>
      <c r="D1550" s="11"/>
    </row>
    <row r="1551" spans="1:4" ht="21.75" thickBot="1" x14ac:dyDescent="0.3">
      <c r="A1551" s="43"/>
      <c r="B1551" s="290"/>
      <c r="C1551" s="291"/>
      <c r="D1551" s="43"/>
    </row>
    <row r="1552" spans="1:4" ht="21.75" thickBot="1" x14ac:dyDescent="0.3">
      <c r="A1552" s="38"/>
      <c r="B1552" s="44"/>
      <c r="C1552" s="45"/>
      <c r="D1552" s="44"/>
    </row>
    <row r="1553" spans="1:4" ht="19.5" thickBot="1" x14ac:dyDescent="0.3">
      <c r="A1553" s="19"/>
      <c r="B1553" s="20"/>
      <c r="C1553" s="63"/>
      <c r="D1553" s="14"/>
    </row>
    <row r="1554" spans="1:4" ht="19.5" thickBot="1" x14ac:dyDescent="0.3">
      <c r="A1554" s="19"/>
      <c r="B1554" s="20"/>
      <c r="C1554" s="48"/>
      <c r="D1554" s="46"/>
    </row>
    <row r="1555" spans="1:4" ht="15.75" thickBot="1" x14ac:dyDescent="0.3">
      <c r="A1555" s="32"/>
      <c r="B1555" s="33"/>
      <c r="C1555" s="32"/>
      <c r="D1555" s="34"/>
    </row>
    <row r="1556" spans="1:4" ht="15.75" thickBot="1" x14ac:dyDescent="0.3">
      <c r="A1556" s="58"/>
      <c r="B1556" s="58"/>
      <c r="C1556" s="58"/>
      <c r="D1556" s="35"/>
    </row>
    <row r="1557" spans="1:4" ht="15.75" x14ac:dyDescent="0.25">
      <c r="A1557" s="285"/>
      <c r="B1557" s="59"/>
      <c r="C1557" s="59"/>
      <c r="D1557" s="60"/>
    </row>
    <row r="1558" spans="1:4" ht="16.5" thickBot="1" x14ac:dyDescent="0.3">
      <c r="A1558" s="286"/>
      <c r="B1558" s="62"/>
      <c r="C1558" s="62"/>
      <c r="D1558" s="61"/>
    </row>
    <row r="1559" spans="1:4" ht="15.75" x14ac:dyDescent="0.25">
      <c r="A1559" s="285"/>
      <c r="B1559" s="59"/>
      <c r="C1559" s="59"/>
      <c r="D1559" s="60"/>
    </row>
    <row r="1560" spans="1:4" ht="16.5" thickBot="1" x14ac:dyDescent="0.3">
      <c r="A1560" s="286"/>
      <c r="B1560" s="62"/>
      <c r="C1560" s="62"/>
      <c r="D1560" s="61"/>
    </row>
    <row r="1561" spans="1:4" ht="16.5" thickBot="1" x14ac:dyDescent="0.3">
      <c r="A1561" s="57"/>
      <c r="B1561" s="36"/>
      <c r="C1561" s="36"/>
      <c r="D1561" s="36"/>
    </row>
    <row r="1562" spans="1:4" ht="15.75" thickBot="1" x14ac:dyDescent="0.3">
      <c r="A1562" s="287"/>
      <c r="B1562" s="288"/>
      <c r="C1562" s="288"/>
      <c r="D1562" s="289"/>
    </row>
    <row r="1563" spans="1:4" ht="18.75" x14ac:dyDescent="0.25">
      <c r="A1563" s="5"/>
      <c r="B1563" s="6"/>
      <c r="C1563" s="7"/>
      <c r="D1563" s="8"/>
    </row>
    <row r="1564" spans="1:4" ht="19.5" thickBot="1" x14ac:dyDescent="0.3">
      <c r="A1564" s="9"/>
      <c r="B1564" s="10"/>
      <c r="C1564" s="10"/>
      <c r="D1564" s="11"/>
    </row>
    <row r="1565" spans="1:4" ht="21.75" thickBot="1" x14ac:dyDescent="0.3">
      <c r="A1565" s="43"/>
      <c r="B1565" s="290"/>
      <c r="C1565" s="291"/>
      <c r="D1565" s="43"/>
    </row>
    <row r="1566" spans="1:4" ht="21.75" thickBot="1" x14ac:dyDescent="0.3">
      <c r="A1566" s="38"/>
      <c r="B1566" s="44"/>
      <c r="C1566" s="45"/>
      <c r="D1566" s="44"/>
    </row>
    <row r="1567" spans="1:4" ht="19.5" thickBot="1" x14ac:dyDescent="0.3">
      <c r="A1567" s="19"/>
      <c r="B1567" s="20"/>
      <c r="C1567" s="63"/>
      <c r="D1567" s="14"/>
    </row>
    <row r="1568" spans="1:4" ht="19.5" thickBot="1" x14ac:dyDescent="0.3">
      <c r="A1568" s="19"/>
      <c r="B1568" s="20"/>
      <c r="C1568" s="63"/>
      <c r="D1568" s="14"/>
    </row>
    <row r="1569" spans="1:4" ht="19.5" thickBot="1" x14ac:dyDescent="0.3">
      <c r="A1569" s="19"/>
      <c r="B1569" s="20"/>
      <c r="C1569" s="48"/>
      <c r="D1569" s="46"/>
    </row>
    <row r="1570" spans="1:4" ht="15.75" thickBot="1" x14ac:dyDescent="0.3">
      <c r="A1570" s="32"/>
      <c r="B1570" s="33"/>
      <c r="C1570" s="32"/>
      <c r="D1570" s="34"/>
    </row>
    <row r="1571" spans="1:4" ht="15.75" thickBot="1" x14ac:dyDescent="0.3">
      <c r="A1571" s="58"/>
      <c r="B1571" s="58"/>
      <c r="C1571" s="58"/>
      <c r="D1571" s="35"/>
    </row>
    <row r="1572" spans="1:4" ht="15.75" x14ac:dyDescent="0.25">
      <c r="A1572" s="285"/>
      <c r="B1572" s="59"/>
      <c r="C1572" s="59"/>
      <c r="D1572" s="60"/>
    </row>
    <row r="1573" spans="1:4" ht="16.5" thickBot="1" x14ac:dyDescent="0.3">
      <c r="A1573" s="286"/>
      <c r="B1573" s="62"/>
      <c r="C1573" s="62"/>
      <c r="D1573" s="61"/>
    </row>
    <row r="1574" spans="1:4" ht="15.75" x14ac:dyDescent="0.25">
      <c r="A1574" s="285"/>
      <c r="B1574" s="59"/>
      <c r="C1574" s="59"/>
      <c r="D1574" s="60"/>
    </row>
    <row r="1575" spans="1:4" ht="16.5" thickBot="1" x14ac:dyDescent="0.3">
      <c r="A1575" s="286"/>
      <c r="B1575" s="62"/>
      <c r="C1575" s="62"/>
      <c r="D1575" s="61"/>
    </row>
    <row r="1576" spans="1:4" ht="16.5" thickBot="1" x14ac:dyDescent="0.3">
      <c r="A1576" s="57"/>
      <c r="B1576" s="36"/>
      <c r="C1576" s="36"/>
      <c r="D1576" s="36"/>
    </row>
    <row r="1577" spans="1:4" ht="15.75" thickBot="1" x14ac:dyDescent="0.3">
      <c r="A1577" s="287"/>
      <c r="B1577" s="288"/>
      <c r="C1577" s="288"/>
      <c r="D1577" s="289"/>
    </row>
    <row r="1578" spans="1:4" ht="18.75" x14ac:dyDescent="0.25">
      <c r="A1578" s="5"/>
      <c r="B1578" s="6"/>
      <c r="C1578" s="7"/>
      <c r="D1578" s="8"/>
    </row>
    <row r="1579" spans="1:4" ht="19.5" thickBot="1" x14ac:dyDescent="0.3">
      <c r="A1579" s="9"/>
      <c r="B1579" s="10"/>
      <c r="C1579" s="10"/>
      <c r="D1579" s="11"/>
    </row>
    <row r="1580" spans="1:4" ht="21.75" thickBot="1" x14ac:dyDescent="0.3">
      <c r="A1580" s="43"/>
      <c r="B1580" s="290"/>
      <c r="C1580" s="291"/>
      <c r="D1580" s="43"/>
    </row>
    <row r="1581" spans="1:4" ht="21.75" thickBot="1" x14ac:dyDescent="0.3">
      <c r="A1581" s="38"/>
      <c r="B1581" s="44"/>
      <c r="C1581" s="45"/>
      <c r="D1581" s="44"/>
    </row>
    <row r="1582" spans="1:4" ht="19.5" thickBot="1" x14ac:dyDescent="0.3">
      <c r="A1582" s="19"/>
      <c r="B1582" s="20"/>
      <c r="C1582" s="63"/>
      <c r="D1582" s="14"/>
    </row>
    <row r="1583" spans="1:4" ht="19.5" thickBot="1" x14ac:dyDescent="0.3">
      <c r="A1583" s="19"/>
      <c r="B1583" s="20"/>
      <c r="C1583" s="48"/>
      <c r="D1583" s="46"/>
    </row>
    <row r="1584" spans="1:4" ht="15.75" thickBot="1" x14ac:dyDescent="0.3">
      <c r="A1584" s="32"/>
      <c r="B1584" s="33"/>
      <c r="C1584" s="32"/>
      <c r="D1584" s="34"/>
    </row>
    <row r="1585" spans="1:4" ht="15.75" thickBot="1" x14ac:dyDescent="0.3">
      <c r="A1585" s="58"/>
      <c r="B1585" s="58"/>
      <c r="C1585" s="58"/>
      <c r="D1585" s="35"/>
    </row>
    <row r="1586" spans="1:4" ht="15.75" x14ac:dyDescent="0.25">
      <c r="A1586" s="285"/>
      <c r="B1586" s="59"/>
      <c r="C1586" s="59"/>
      <c r="D1586" s="60"/>
    </row>
    <row r="1587" spans="1:4" ht="16.5" thickBot="1" x14ac:dyDescent="0.3">
      <c r="A1587" s="286"/>
      <c r="B1587" s="62"/>
      <c r="C1587" s="62"/>
      <c r="D1587" s="61"/>
    </row>
    <row r="1588" spans="1:4" ht="15.75" x14ac:dyDescent="0.25">
      <c r="A1588" s="285"/>
      <c r="B1588" s="59"/>
      <c r="C1588" s="59"/>
      <c r="D1588" s="60"/>
    </row>
    <row r="1589" spans="1:4" ht="16.5" thickBot="1" x14ac:dyDescent="0.3">
      <c r="A1589" s="286"/>
      <c r="B1589" s="62"/>
      <c r="C1589" s="62"/>
      <c r="D1589" s="61"/>
    </row>
    <row r="1590" spans="1:4" ht="16.5" thickBot="1" x14ac:dyDescent="0.3">
      <c r="A1590" s="57"/>
      <c r="B1590" s="36"/>
      <c r="C1590" s="36"/>
      <c r="D1590" s="36"/>
    </row>
    <row r="1591" spans="1:4" ht="15.75" thickBot="1" x14ac:dyDescent="0.3">
      <c r="A1591" s="287"/>
      <c r="B1591" s="288"/>
      <c r="C1591" s="288"/>
      <c r="D1591" s="289"/>
    </row>
    <row r="1592" spans="1:4" ht="18.75" x14ac:dyDescent="0.25">
      <c r="A1592" s="5"/>
      <c r="B1592" s="6"/>
      <c r="C1592" s="7"/>
      <c r="D1592" s="8"/>
    </row>
    <row r="1593" spans="1:4" ht="19.5" thickBot="1" x14ac:dyDescent="0.3">
      <c r="A1593" s="9"/>
      <c r="B1593" s="10"/>
      <c r="C1593" s="10"/>
      <c r="D1593" s="11"/>
    </row>
    <row r="1594" spans="1:4" ht="21.75" thickBot="1" x14ac:dyDescent="0.3">
      <c r="A1594" s="43"/>
      <c r="B1594" s="290"/>
      <c r="C1594" s="291"/>
      <c r="D1594" s="43"/>
    </row>
    <row r="1595" spans="1:4" ht="21.75" thickBot="1" x14ac:dyDescent="0.3">
      <c r="A1595" s="38"/>
      <c r="B1595" s="44"/>
      <c r="C1595" s="45"/>
      <c r="D1595" s="44"/>
    </row>
    <row r="1596" spans="1:4" ht="19.5" thickBot="1" x14ac:dyDescent="0.3">
      <c r="A1596" s="19"/>
      <c r="B1596" s="20"/>
      <c r="C1596" s="63"/>
      <c r="D1596" s="14"/>
    </row>
    <row r="1597" spans="1:4" ht="19.5" thickBot="1" x14ac:dyDescent="0.3">
      <c r="A1597" s="19"/>
      <c r="B1597" s="20"/>
      <c r="C1597" s="63"/>
      <c r="D1597" s="14"/>
    </row>
    <row r="1598" spans="1:4" ht="19.5" thickBot="1" x14ac:dyDescent="0.3">
      <c r="A1598" s="19"/>
      <c r="B1598" s="20"/>
      <c r="C1598" s="48"/>
      <c r="D1598" s="46"/>
    </row>
    <row r="1599" spans="1:4" ht="15.75" thickBot="1" x14ac:dyDescent="0.3">
      <c r="A1599" s="32"/>
      <c r="B1599" s="33"/>
      <c r="C1599" s="32"/>
      <c r="D1599" s="34"/>
    </row>
    <row r="1600" spans="1:4" ht="15.75" thickBot="1" x14ac:dyDescent="0.3">
      <c r="A1600" s="58"/>
      <c r="B1600" s="58"/>
      <c r="C1600" s="58"/>
      <c r="D1600" s="35"/>
    </row>
    <row r="1601" spans="1:4" ht="15.75" x14ac:dyDescent="0.25">
      <c r="A1601" s="285"/>
      <c r="B1601" s="59"/>
      <c r="C1601" s="59"/>
      <c r="D1601" s="60"/>
    </row>
    <row r="1602" spans="1:4" ht="16.5" thickBot="1" x14ac:dyDescent="0.3">
      <c r="A1602" s="286"/>
      <c r="B1602" s="62"/>
      <c r="C1602" s="62"/>
      <c r="D1602" s="61"/>
    </row>
    <row r="1603" spans="1:4" ht="15.75" x14ac:dyDescent="0.25">
      <c r="A1603" s="285"/>
      <c r="B1603" s="59"/>
      <c r="C1603" s="59"/>
      <c r="D1603" s="60"/>
    </row>
    <row r="1604" spans="1:4" ht="16.5" thickBot="1" x14ac:dyDescent="0.3">
      <c r="A1604" s="286"/>
      <c r="B1604" s="62"/>
      <c r="C1604" s="62"/>
      <c r="D1604" s="61"/>
    </row>
    <row r="1605" spans="1:4" ht="16.5" thickBot="1" x14ac:dyDescent="0.3">
      <c r="A1605" s="57"/>
      <c r="B1605" s="36"/>
      <c r="C1605" s="36"/>
      <c r="D1605" s="36"/>
    </row>
    <row r="1606" spans="1:4" ht="15.75" thickBot="1" x14ac:dyDescent="0.3">
      <c r="A1606" s="287"/>
      <c r="B1606" s="288"/>
      <c r="C1606" s="288"/>
      <c r="D1606" s="289"/>
    </row>
    <row r="1607" spans="1:4" ht="18.75" x14ac:dyDescent="0.25">
      <c r="A1607" s="5"/>
      <c r="B1607" s="6"/>
      <c r="C1607" s="7"/>
      <c r="D1607" s="8"/>
    </row>
    <row r="1608" spans="1:4" ht="19.5" thickBot="1" x14ac:dyDescent="0.3">
      <c r="A1608" s="9"/>
      <c r="B1608" s="10"/>
      <c r="C1608" s="10"/>
      <c r="D1608" s="11"/>
    </row>
    <row r="1609" spans="1:4" ht="21.75" thickBot="1" x14ac:dyDescent="0.3">
      <c r="A1609" s="43"/>
      <c r="B1609" s="290"/>
      <c r="C1609" s="291"/>
      <c r="D1609" s="43"/>
    </row>
    <row r="1610" spans="1:4" ht="21.75" thickBot="1" x14ac:dyDescent="0.3">
      <c r="A1610" s="38"/>
      <c r="B1610" s="44"/>
      <c r="C1610" s="45"/>
      <c r="D1610" s="44"/>
    </row>
    <row r="1611" spans="1:4" ht="19.5" thickBot="1" x14ac:dyDescent="0.3">
      <c r="A1611" s="19"/>
      <c r="B1611" s="20"/>
      <c r="C1611" s="63"/>
      <c r="D1611" s="14"/>
    </row>
    <row r="1612" spans="1:4" ht="19.5" thickBot="1" x14ac:dyDescent="0.3">
      <c r="A1612" s="19"/>
      <c r="B1612" s="20"/>
      <c r="C1612" s="48"/>
      <c r="D1612" s="46"/>
    </row>
    <row r="1613" spans="1:4" ht="15.75" thickBot="1" x14ac:dyDescent="0.3">
      <c r="A1613" s="32"/>
      <c r="B1613" s="33"/>
      <c r="C1613" s="32"/>
      <c r="D1613" s="34"/>
    </row>
    <row r="1614" spans="1:4" ht="15.75" thickBot="1" x14ac:dyDescent="0.3">
      <c r="A1614" s="58"/>
      <c r="B1614" s="58"/>
      <c r="C1614" s="58"/>
      <c r="D1614" s="35"/>
    </row>
    <row r="1615" spans="1:4" ht="15.75" x14ac:dyDescent="0.25">
      <c r="A1615" s="285"/>
      <c r="B1615" s="59"/>
      <c r="C1615" s="59"/>
      <c r="D1615" s="60"/>
    </row>
    <row r="1616" spans="1:4" ht="16.5" thickBot="1" x14ac:dyDescent="0.3">
      <c r="A1616" s="286"/>
      <c r="B1616" s="62"/>
      <c r="C1616" s="62"/>
      <c r="D1616" s="61"/>
    </row>
    <row r="1617" spans="1:4" ht="15.75" x14ac:dyDescent="0.25">
      <c r="A1617" s="285"/>
      <c r="B1617" s="59"/>
      <c r="C1617" s="59"/>
      <c r="D1617" s="60"/>
    </row>
    <row r="1618" spans="1:4" ht="16.5" thickBot="1" x14ac:dyDescent="0.3">
      <c r="A1618" s="286"/>
      <c r="B1618" s="62"/>
      <c r="C1618" s="62"/>
      <c r="D1618" s="61"/>
    </row>
    <row r="1619" spans="1:4" ht="16.5" thickBot="1" x14ac:dyDescent="0.3">
      <c r="A1619" s="57"/>
      <c r="B1619" s="36"/>
      <c r="C1619" s="36"/>
      <c r="D1619" s="36"/>
    </row>
    <row r="1620" spans="1:4" ht="15.75" thickBot="1" x14ac:dyDescent="0.3">
      <c r="A1620" s="287"/>
      <c r="B1620" s="288"/>
      <c r="C1620" s="288"/>
      <c r="D1620" s="289"/>
    </row>
    <row r="1621" spans="1:4" ht="18.75" x14ac:dyDescent="0.25">
      <c r="A1621" s="5"/>
      <c r="B1621" s="6"/>
      <c r="C1621" s="7"/>
      <c r="D1621" s="8"/>
    </row>
    <row r="1622" spans="1:4" ht="19.5" thickBot="1" x14ac:dyDescent="0.3">
      <c r="A1622" s="9"/>
      <c r="B1622" s="10"/>
      <c r="C1622" s="10"/>
      <c r="D1622" s="11"/>
    </row>
    <row r="1623" spans="1:4" ht="21.75" thickBot="1" x14ac:dyDescent="0.3">
      <c r="A1623" s="43"/>
      <c r="B1623" s="290"/>
      <c r="C1623" s="291"/>
      <c r="D1623" s="43"/>
    </row>
    <row r="1624" spans="1:4" ht="21.75" thickBot="1" x14ac:dyDescent="0.3">
      <c r="A1624" s="38"/>
      <c r="B1624" s="44"/>
      <c r="C1624" s="45"/>
      <c r="D1624" s="44"/>
    </row>
    <row r="1625" spans="1:4" ht="19.5" thickBot="1" x14ac:dyDescent="0.3">
      <c r="A1625" s="19"/>
      <c r="B1625" s="20"/>
      <c r="C1625" s="63"/>
      <c r="D1625" s="14"/>
    </row>
    <row r="1626" spans="1:4" ht="19.5" thickBot="1" x14ac:dyDescent="0.3">
      <c r="A1626" s="19"/>
      <c r="B1626" s="20"/>
      <c r="C1626" s="63"/>
      <c r="D1626" s="14"/>
    </row>
    <row r="1627" spans="1:4" ht="19.5" thickBot="1" x14ac:dyDescent="0.3">
      <c r="A1627" s="19"/>
      <c r="B1627" s="20"/>
      <c r="C1627" s="48"/>
      <c r="D1627" s="46"/>
    </row>
    <row r="1628" spans="1:4" ht="15.75" thickBot="1" x14ac:dyDescent="0.3">
      <c r="A1628" s="32"/>
      <c r="B1628" s="33"/>
      <c r="C1628" s="32"/>
      <c r="D1628" s="34"/>
    </row>
    <row r="1629" spans="1:4" ht="15.75" thickBot="1" x14ac:dyDescent="0.3">
      <c r="A1629" s="58"/>
      <c r="B1629" s="58"/>
      <c r="C1629" s="58"/>
      <c r="D1629" s="35"/>
    </row>
    <row r="1630" spans="1:4" ht="15.75" x14ac:dyDescent="0.25">
      <c r="A1630" s="285"/>
      <c r="B1630" s="59"/>
      <c r="C1630" s="59"/>
      <c r="D1630" s="60"/>
    </row>
    <row r="1631" spans="1:4" ht="16.5" thickBot="1" x14ac:dyDescent="0.3">
      <c r="A1631" s="286"/>
      <c r="B1631" s="62"/>
      <c r="C1631" s="62"/>
      <c r="D1631" s="61"/>
    </row>
    <row r="1632" spans="1:4" ht="15.75" x14ac:dyDescent="0.25">
      <c r="A1632" s="285"/>
      <c r="B1632" s="59"/>
      <c r="C1632" s="59"/>
      <c r="D1632" s="60"/>
    </row>
    <row r="1633" spans="1:4" ht="16.5" thickBot="1" x14ac:dyDescent="0.3">
      <c r="A1633" s="286"/>
      <c r="B1633" s="62"/>
      <c r="C1633" s="62"/>
      <c r="D1633" s="61"/>
    </row>
    <row r="1634" spans="1:4" ht="16.5" thickBot="1" x14ac:dyDescent="0.3">
      <c r="A1634" s="57"/>
      <c r="B1634" s="36"/>
      <c r="C1634" s="36"/>
      <c r="D1634" s="36"/>
    </row>
    <row r="1635" spans="1:4" ht="15.75" thickBot="1" x14ac:dyDescent="0.3">
      <c r="A1635" s="287"/>
      <c r="B1635" s="288"/>
      <c r="C1635" s="288"/>
      <c r="D1635" s="289"/>
    </row>
    <row r="1636" spans="1:4" ht="18.75" x14ac:dyDescent="0.25">
      <c r="A1636" s="5"/>
      <c r="B1636" s="6"/>
      <c r="C1636" s="7"/>
      <c r="D1636" s="8"/>
    </row>
    <row r="1637" spans="1:4" ht="19.5" thickBot="1" x14ac:dyDescent="0.3">
      <c r="A1637" s="9"/>
      <c r="B1637" s="10"/>
      <c r="C1637" s="10"/>
      <c r="D1637" s="11"/>
    </row>
    <row r="1638" spans="1:4" ht="21.75" thickBot="1" x14ac:dyDescent="0.3">
      <c r="A1638" s="43"/>
      <c r="B1638" s="290"/>
      <c r="C1638" s="291"/>
      <c r="D1638" s="43"/>
    </row>
    <row r="1639" spans="1:4" ht="21.75" thickBot="1" x14ac:dyDescent="0.3">
      <c r="A1639" s="38"/>
      <c r="B1639" s="44"/>
      <c r="C1639" s="45"/>
      <c r="D1639" s="44"/>
    </row>
    <row r="1640" spans="1:4" ht="19.5" thickBot="1" x14ac:dyDescent="0.3">
      <c r="A1640" s="19"/>
      <c r="B1640" s="20"/>
      <c r="C1640" s="63"/>
      <c r="D1640" s="14"/>
    </row>
    <row r="1641" spans="1:4" ht="19.5" thickBot="1" x14ac:dyDescent="0.3">
      <c r="A1641" s="19"/>
      <c r="B1641" s="20"/>
      <c r="C1641" s="48"/>
      <c r="D1641" s="46"/>
    </row>
    <row r="1642" spans="1:4" ht="15.75" thickBot="1" x14ac:dyDescent="0.3">
      <c r="A1642" s="32"/>
      <c r="B1642" s="33"/>
      <c r="C1642" s="32"/>
      <c r="D1642" s="34"/>
    </row>
    <row r="1643" spans="1:4" ht="15.75" thickBot="1" x14ac:dyDescent="0.3">
      <c r="A1643" s="58"/>
      <c r="B1643" s="58"/>
      <c r="C1643" s="58"/>
      <c r="D1643" s="35"/>
    </row>
    <row r="1644" spans="1:4" ht="15.75" x14ac:dyDescent="0.25">
      <c r="A1644" s="285"/>
      <c r="B1644" s="59"/>
      <c r="C1644" s="59"/>
      <c r="D1644" s="60"/>
    </row>
    <row r="1645" spans="1:4" ht="16.5" thickBot="1" x14ac:dyDescent="0.3">
      <c r="A1645" s="286"/>
      <c r="B1645" s="62"/>
      <c r="C1645" s="62"/>
      <c r="D1645" s="61"/>
    </row>
    <row r="1646" spans="1:4" ht="15.75" x14ac:dyDescent="0.25">
      <c r="A1646" s="285"/>
      <c r="B1646" s="59"/>
      <c r="C1646" s="59"/>
      <c r="D1646" s="60"/>
    </row>
    <row r="1647" spans="1:4" ht="16.5" thickBot="1" x14ac:dyDescent="0.3">
      <c r="A1647" s="286"/>
      <c r="B1647" s="62"/>
      <c r="C1647" s="62"/>
      <c r="D1647" s="61"/>
    </row>
    <row r="1648" spans="1:4" ht="16.5" thickBot="1" x14ac:dyDescent="0.3">
      <c r="A1648" s="57"/>
      <c r="B1648" s="36"/>
      <c r="C1648" s="36"/>
      <c r="D1648" s="36"/>
    </row>
    <row r="1649" spans="1:4" ht="15.75" thickBot="1" x14ac:dyDescent="0.3">
      <c r="A1649" s="287"/>
      <c r="B1649" s="288"/>
      <c r="C1649" s="288"/>
      <c r="D1649" s="289"/>
    </row>
    <row r="1650" spans="1:4" ht="18.75" x14ac:dyDescent="0.25">
      <c r="A1650" s="5"/>
      <c r="B1650" s="6"/>
      <c r="C1650" s="7"/>
      <c r="D1650" s="8"/>
    </row>
    <row r="1651" spans="1:4" ht="19.5" thickBot="1" x14ac:dyDescent="0.3">
      <c r="A1651" s="9"/>
      <c r="B1651" s="10"/>
      <c r="C1651" s="10"/>
      <c r="D1651" s="11"/>
    </row>
    <row r="1652" spans="1:4" ht="21.75" thickBot="1" x14ac:dyDescent="0.3">
      <c r="A1652" s="43"/>
      <c r="B1652" s="290"/>
      <c r="C1652" s="291"/>
      <c r="D1652" s="43"/>
    </row>
    <row r="1653" spans="1:4" ht="21.75" thickBot="1" x14ac:dyDescent="0.3">
      <c r="A1653" s="38"/>
      <c r="B1653" s="44"/>
      <c r="C1653" s="45"/>
      <c r="D1653" s="44"/>
    </row>
    <row r="1654" spans="1:4" ht="19.5" thickBot="1" x14ac:dyDescent="0.3">
      <c r="A1654" s="19"/>
      <c r="B1654" s="20"/>
      <c r="C1654" s="63"/>
      <c r="D1654" s="14"/>
    </row>
    <row r="1655" spans="1:4" ht="19.5" thickBot="1" x14ac:dyDescent="0.3">
      <c r="A1655" s="19"/>
      <c r="B1655" s="20"/>
      <c r="C1655" s="63"/>
      <c r="D1655" s="14"/>
    </row>
    <row r="1656" spans="1:4" ht="19.5" thickBot="1" x14ac:dyDescent="0.3">
      <c r="A1656" s="19"/>
      <c r="B1656" s="20"/>
      <c r="C1656" s="48"/>
      <c r="D1656" s="46"/>
    </row>
    <row r="1657" spans="1:4" ht="15.75" thickBot="1" x14ac:dyDescent="0.3">
      <c r="A1657" s="32"/>
      <c r="B1657" s="33"/>
      <c r="C1657" s="32"/>
      <c r="D1657" s="34"/>
    </row>
    <row r="1658" spans="1:4" ht="15.75" thickBot="1" x14ac:dyDescent="0.3">
      <c r="A1658" s="58"/>
      <c r="B1658" s="58"/>
      <c r="C1658" s="58"/>
      <c r="D1658" s="35"/>
    </row>
    <row r="1659" spans="1:4" ht="15.75" x14ac:dyDescent="0.25">
      <c r="A1659" s="285"/>
      <c r="B1659" s="59"/>
      <c r="C1659" s="59"/>
      <c r="D1659" s="60"/>
    </row>
    <row r="1660" spans="1:4" ht="16.5" thickBot="1" x14ac:dyDescent="0.3">
      <c r="A1660" s="286"/>
      <c r="B1660" s="62"/>
      <c r="C1660" s="62"/>
      <c r="D1660" s="61"/>
    </row>
    <row r="1661" spans="1:4" ht="15.75" x14ac:dyDescent="0.25">
      <c r="A1661" s="285"/>
      <c r="B1661" s="59"/>
      <c r="C1661" s="59"/>
      <c r="D1661" s="60"/>
    </row>
    <row r="1662" spans="1:4" ht="16.5" thickBot="1" x14ac:dyDescent="0.3">
      <c r="A1662" s="286"/>
      <c r="B1662" s="62"/>
      <c r="C1662" s="62"/>
      <c r="D1662" s="61"/>
    </row>
    <row r="1663" spans="1:4" ht="16.5" thickBot="1" x14ac:dyDescent="0.3">
      <c r="A1663" s="57"/>
      <c r="B1663" s="36"/>
      <c r="C1663" s="36"/>
      <c r="D1663" s="36"/>
    </row>
    <row r="1664" spans="1:4" ht="15.75" thickBot="1" x14ac:dyDescent="0.3">
      <c r="A1664" s="287"/>
      <c r="B1664" s="288"/>
      <c r="C1664" s="288"/>
      <c r="D1664" s="289"/>
    </row>
    <row r="1665" spans="1:4" ht="18.75" x14ac:dyDescent="0.25">
      <c r="A1665" s="5"/>
      <c r="B1665" s="6"/>
      <c r="C1665" s="7"/>
      <c r="D1665" s="8"/>
    </row>
    <row r="1666" spans="1:4" ht="19.5" thickBot="1" x14ac:dyDescent="0.3">
      <c r="A1666" s="9"/>
      <c r="B1666" s="10"/>
      <c r="C1666" s="10"/>
      <c r="D1666" s="11"/>
    </row>
    <row r="1667" spans="1:4" ht="21.75" thickBot="1" x14ac:dyDescent="0.3">
      <c r="A1667" s="43"/>
      <c r="B1667" s="290"/>
      <c r="C1667" s="291"/>
      <c r="D1667" s="43"/>
    </row>
    <row r="1668" spans="1:4" ht="21.75" thickBot="1" x14ac:dyDescent="0.3">
      <c r="A1668" s="38"/>
      <c r="B1668" s="44"/>
      <c r="C1668" s="45"/>
      <c r="D1668" s="44"/>
    </row>
    <row r="1669" spans="1:4" ht="19.5" thickBot="1" x14ac:dyDescent="0.3">
      <c r="A1669" s="19"/>
      <c r="B1669" s="20"/>
      <c r="C1669" s="63"/>
      <c r="D1669" s="14"/>
    </row>
    <row r="1670" spans="1:4" ht="19.5" thickBot="1" x14ac:dyDescent="0.3">
      <c r="A1670" s="19"/>
      <c r="B1670" s="20"/>
      <c r="C1670" s="48"/>
      <c r="D1670" s="46"/>
    </row>
    <row r="1671" spans="1:4" ht="15.75" thickBot="1" x14ac:dyDescent="0.3">
      <c r="A1671" s="32"/>
      <c r="B1671" s="33"/>
      <c r="C1671" s="32"/>
      <c r="D1671" s="34"/>
    </row>
    <row r="1672" spans="1:4" ht="15.75" thickBot="1" x14ac:dyDescent="0.3">
      <c r="A1672" s="58"/>
      <c r="B1672" s="58"/>
      <c r="C1672" s="58"/>
      <c r="D1672" s="35"/>
    </row>
    <row r="1673" spans="1:4" ht="15.75" x14ac:dyDescent="0.25">
      <c r="A1673" s="285"/>
      <c r="B1673" s="59"/>
      <c r="C1673" s="59"/>
      <c r="D1673" s="60"/>
    </row>
    <row r="1674" spans="1:4" ht="16.5" thickBot="1" x14ac:dyDescent="0.3">
      <c r="A1674" s="286"/>
      <c r="B1674" s="62"/>
      <c r="C1674" s="62"/>
      <c r="D1674" s="61"/>
    </row>
    <row r="1675" spans="1:4" ht="15.75" x14ac:dyDescent="0.25">
      <c r="A1675" s="285"/>
      <c r="B1675" s="59"/>
      <c r="C1675" s="59"/>
      <c r="D1675" s="60"/>
    </row>
    <row r="1676" spans="1:4" ht="16.5" thickBot="1" x14ac:dyDescent="0.3">
      <c r="A1676" s="286"/>
      <c r="B1676" s="62"/>
      <c r="C1676" s="62"/>
      <c r="D1676" s="61"/>
    </row>
    <row r="1677" spans="1:4" ht="16.5" thickBot="1" x14ac:dyDescent="0.3">
      <c r="A1677" s="57"/>
      <c r="B1677" s="36"/>
      <c r="C1677" s="36"/>
      <c r="D1677" s="36"/>
    </row>
    <row r="1678" spans="1:4" ht="15.75" thickBot="1" x14ac:dyDescent="0.3">
      <c r="A1678" s="287"/>
      <c r="B1678" s="288"/>
      <c r="C1678" s="288"/>
      <c r="D1678" s="289"/>
    </row>
    <row r="1679" spans="1:4" ht="18.75" x14ac:dyDescent="0.25">
      <c r="A1679" s="5"/>
      <c r="B1679" s="6"/>
      <c r="C1679" s="7"/>
      <c r="D1679" s="8"/>
    </row>
    <row r="1680" spans="1:4" ht="19.5" thickBot="1" x14ac:dyDescent="0.3">
      <c r="A1680" s="9"/>
      <c r="B1680" s="10"/>
      <c r="C1680" s="10"/>
      <c r="D1680" s="11"/>
    </row>
    <row r="1681" spans="1:4" ht="21.75" thickBot="1" x14ac:dyDescent="0.3">
      <c r="A1681" s="43"/>
      <c r="B1681" s="290"/>
      <c r="C1681" s="291"/>
      <c r="D1681" s="43"/>
    </row>
    <row r="1682" spans="1:4" ht="21.75" thickBot="1" x14ac:dyDescent="0.3">
      <c r="A1682" s="38"/>
      <c r="B1682" s="44"/>
      <c r="C1682" s="45"/>
      <c r="D1682" s="44"/>
    </row>
    <row r="1683" spans="1:4" ht="19.5" thickBot="1" x14ac:dyDescent="0.3">
      <c r="A1683" s="19"/>
      <c r="B1683" s="20"/>
      <c r="C1683" s="63"/>
      <c r="D1683" s="14"/>
    </row>
    <row r="1684" spans="1:4" ht="19.5" thickBot="1" x14ac:dyDescent="0.3">
      <c r="A1684" s="19"/>
      <c r="B1684" s="20"/>
      <c r="C1684" s="63"/>
      <c r="D1684" s="14"/>
    </row>
    <row r="1685" spans="1:4" ht="19.5" thickBot="1" x14ac:dyDescent="0.3">
      <c r="A1685" s="19"/>
      <c r="B1685" s="20"/>
      <c r="C1685" s="48"/>
      <c r="D1685" s="46"/>
    </row>
    <row r="1686" spans="1:4" ht="15.75" thickBot="1" x14ac:dyDescent="0.3">
      <c r="A1686" s="32"/>
      <c r="B1686" s="33"/>
      <c r="C1686" s="32"/>
      <c r="D1686" s="34"/>
    </row>
    <row r="1687" spans="1:4" ht="15.75" thickBot="1" x14ac:dyDescent="0.3">
      <c r="A1687" s="58"/>
      <c r="B1687" s="58"/>
      <c r="C1687" s="58"/>
      <c r="D1687" s="35"/>
    </row>
    <row r="1688" spans="1:4" ht="15.75" x14ac:dyDescent="0.25">
      <c r="A1688" s="285"/>
      <c r="B1688" s="59"/>
      <c r="C1688" s="59"/>
      <c r="D1688" s="60"/>
    </row>
    <row r="1689" spans="1:4" ht="16.5" thickBot="1" x14ac:dyDescent="0.3">
      <c r="A1689" s="286"/>
      <c r="B1689" s="62"/>
      <c r="C1689" s="62"/>
      <c r="D1689" s="61"/>
    </row>
    <row r="1690" spans="1:4" ht="15.75" x14ac:dyDescent="0.25">
      <c r="A1690" s="285"/>
      <c r="B1690" s="59"/>
      <c r="C1690" s="59"/>
      <c r="D1690" s="60"/>
    </row>
    <row r="1691" spans="1:4" ht="16.5" thickBot="1" x14ac:dyDescent="0.3">
      <c r="A1691" s="286"/>
      <c r="B1691" s="62"/>
      <c r="C1691" s="62"/>
      <c r="D1691" s="61"/>
    </row>
    <row r="1692" spans="1:4" ht="16.5" thickBot="1" x14ac:dyDescent="0.3">
      <c r="A1692" s="57"/>
      <c r="B1692" s="36"/>
      <c r="C1692" s="36"/>
      <c r="D1692" s="36"/>
    </row>
    <row r="1693" spans="1:4" ht="15.75" thickBot="1" x14ac:dyDescent="0.3">
      <c r="A1693" s="287"/>
      <c r="B1693" s="288"/>
      <c r="C1693" s="288"/>
      <c r="D1693" s="289"/>
    </row>
    <row r="1694" spans="1:4" ht="18.75" x14ac:dyDescent="0.25">
      <c r="A1694" s="5"/>
      <c r="B1694" s="6"/>
      <c r="C1694" s="7"/>
      <c r="D1694" s="8"/>
    </row>
    <row r="1695" spans="1:4" ht="19.5" thickBot="1" x14ac:dyDescent="0.3">
      <c r="A1695" s="9"/>
      <c r="B1695" s="10"/>
      <c r="C1695" s="10"/>
      <c r="D1695" s="11"/>
    </row>
    <row r="1696" spans="1:4" ht="21.75" thickBot="1" x14ac:dyDescent="0.3">
      <c r="A1696" s="43"/>
      <c r="B1696" s="290"/>
      <c r="C1696" s="291"/>
      <c r="D1696" s="43"/>
    </row>
    <row r="1697" spans="1:4" ht="21.75" thickBot="1" x14ac:dyDescent="0.3">
      <c r="A1697" s="38"/>
      <c r="B1697" s="44"/>
      <c r="C1697" s="45"/>
      <c r="D1697" s="44"/>
    </row>
    <row r="1698" spans="1:4" ht="19.5" thickBot="1" x14ac:dyDescent="0.3">
      <c r="A1698" s="19"/>
      <c r="B1698" s="20"/>
      <c r="C1698" s="63"/>
      <c r="D1698" s="14"/>
    </row>
    <row r="1699" spans="1:4" ht="19.5" thickBot="1" x14ac:dyDescent="0.3">
      <c r="A1699" s="19"/>
      <c r="B1699" s="20"/>
      <c r="C1699" s="48"/>
      <c r="D1699" s="46"/>
    </row>
    <row r="1700" spans="1:4" ht="15.75" thickBot="1" x14ac:dyDescent="0.3">
      <c r="A1700" s="32"/>
      <c r="B1700" s="33"/>
      <c r="C1700" s="32"/>
      <c r="D1700" s="34"/>
    </row>
    <row r="1701" spans="1:4" ht="15.75" thickBot="1" x14ac:dyDescent="0.3">
      <c r="A1701" s="58"/>
      <c r="B1701" s="58"/>
      <c r="C1701" s="58"/>
      <c r="D1701" s="35"/>
    </row>
    <row r="1702" spans="1:4" ht="15.75" x14ac:dyDescent="0.25">
      <c r="A1702" s="285"/>
      <c r="B1702" s="59"/>
      <c r="C1702" s="59"/>
      <c r="D1702" s="60"/>
    </row>
    <row r="1703" spans="1:4" ht="16.5" thickBot="1" x14ac:dyDescent="0.3">
      <c r="A1703" s="286"/>
      <c r="B1703" s="62"/>
      <c r="C1703" s="62"/>
      <c r="D1703" s="61"/>
    </row>
    <row r="1704" spans="1:4" ht="15.75" x14ac:dyDescent="0.25">
      <c r="A1704" s="285"/>
      <c r="B1704" s="59"/>
      <c r="C1704" s="59"/>
      <c r="D1704" s="60"/>
    </row>
    <row r="1705" spans="1:4" ht="16.5" thickBot="1" x14ac:dyDescent="0.3">
      <c r="A1705" s="286"/>
      <c r="B1705" s="62"/>
      <c r="C1705" s="62"/>
      <c r="D1705" s="61"/>
    </row>
    <row r="1706" spans="1:4" ht="16.5" thickBot="1" x14ac:dyDescent="0.3">
      <c r="A1706" s="57"/>
      <c r="B1706" s="36"/>
      <c r="C1706" s="36"/>
      <c r="D1706" s="36"/>
    </row>
    <row r="1707" spans="1:4" ht="15.75" thickBot="1" x14ac:dyDescent="0.3">
      <c r="A1707" s="287"/>
      <c r="B1707" s="288"/>
      <c r="C1707" s="288"/>
      <c r="D1707" s="289"/>
    </row>
    <row r="1708" spans="1:4" ht="18.75" x14ac:dyDescent="0.25">
      <c r="A1708" s="5"/>
      <c r="B1708" s="6"/>
      <c r="C1708" s="7"/>
      <c r="D1708" s="8"/>
    </row>
    <row r="1709" spans="1:4" ht="19.5" thickBot="1" x14ac:dyDescent="0.3">
      <c r="A1709" s="9"/>
      <c r="B1709" s="10"/>
      <c r="C1709" s="10"/>
      <c r="D1709" s="11"/>
    </row>
    <row r="1710" spans="1:4" ht="21.75" thickBot="1" x14ac:dyDescent="0.3">
      <c r="A1710" s="43"/>
      <c r="B1710" s="290"/>
      <c r="C1710" s="291"/>
      <c r="D1710" s="43"/>
    </row>
    <row r="1711" spans="1:4" ht="21.75" thickBot="1" x14ac:dyDescent="0.3">
      <c r="A1711" s="38"/>
      <c r="B1711" s="44"/>
      <c r="C1711" s="45"/>
      <c r="D1711" s="44"/>
    </row>
    <row r="1712" spans="1:4" ht="19.5" thickBot="1" x14ac:dyDescent="0.3">
      <c r="A1712" s="19"/>
      <c r="B1712" s="20"/>
      <c r="C1712" s="63"/>
      <c r="D1712" s="14"/>
    </row>
    <row r="1713" spans="1:4" ht="19.5" thickBot="1" x14ac:dyDescent="0.3">
      <c r="A1713" s="19"/>
      <c r="B1713" s="20"/>
      <c r="C1713" s="63"/>
      <c r="D1713" s="14"/>
    </row>
    <row r="1714" spans="1:4" ht="19.5" thickBot="1" x14ac:dyDescent="0.3">
      <c r="A1714" s="19"/>
      <c r="B1714" s="20"/>
      <c r="C1714" s="48"/>
      <c r="D1714" s="46"/>
    </row>
    <row r="1715" spans="1:4" ht="15.75" thickBot="1" x14ac:dyDescent="0.3">
      <c r="A1715" s="32"/>
      <c r="B1715" s="33"/>
      <c r="C1715" s="32"/>
      <c r="D1715" s="34"/>
    </row>
    <row r="1716" spans="1:4" ht="15.75" thickBot="1" x14ac:dyDescent="0.3">
      <c r="A1716" s="58"/>
      <c r="B1716" s="58"/>
      <c r="C1716" s="58"/>
      <c r="D1716" s="35"/>
    </row>
    <row r="1717" spans="1:4" ht="15.75" x14ac:dyDescent="0.25">
      <c r="A1717" s="285"/>
      <c r="B1717" s="59"/>
      <c r="C1717" s="59"/>
      <c r="D1717" s="60"/>
    </row>
    <row r="1718" spans="1:4" ht="16.5" thickBot="1" x14ac:dyDescent="0.3">
      <c r="A1718" s="286"/>
      <c r="B1718" s="62"/>
      <c r="C1718" s="62"/>
      <c r="D1718" s="61"/>
    </row>
    <row r="1719" spans="1:4" ht="15.75" x14ac:dyDescent="0.25">
      <c r="A1719" s="285"/>
      <c r="B1719" s="59"/>
      <c r="C1719" s="59"/>
      <c r="D1719" s="60"/>
    </row>
    <row r="1720" spans="1:4" ht="16.5" thickBot="1" x14ac:dyDescent="0.3">
      <c r="A1720" s="286"/>
      <c r="B1720" s="62"/>
      <c r="C1720" s="62"/>
      <c r="D1720" s="61"/>
    </row>
    <row r="1721" spans="1:4" ht="16.5" thickBot="1" x14ac:dyDescent="0.3">
      <c r="A1721" s="57"/>
      <c r="B1721" s="36"/>
      <c r="C1721" s="36"/>
      <c r="D1721" s="36"/>
    </row>
    <row r="1722" spans="1:4" ht="15.75" thickBot="1" x14ac:dyDescent="0.3">
      <c r="A1722" s="287"/>
      <c r="B1722" s="288"/>
      <c r="C1722" s="288"/>
      <c r="D1722" s="289"/>
    </row>
    <row r="1723" spans="1:4" ht="18.75" x14ac:dyDescent="0.25">
      <c r="A1723" s="5"/>
      <c r="B1723" s="6"/>
      <c r="C1723" s="7"/>
      <c r="D1723" s="8"/>
    </row>
    <row r="1724" spans="1:4" ht="19.5" thickBot="1" x14ac:dyDescent="0.3">
      <c r="A1724" s="9"/>
      <c r="B1724" s="10"/>
      <c r="C1724" s="10"/>
      <c r="D1724" s="11"/>
    </row>
    <row r="1725" spans="1:4" ht="21.75" thickBot="1" x14ac:dyDescent="0.3">
      <c r="A1725" s="43"/>
      <c r="B1725" s="290"/>
      <c r="C1725" s="291"/>
      <c r="D1725" s="43"/>
    </row>
    <row r="1726" spans="1:4" ht="21.75" thickBot="1" x14ac:dyDescent="0.3">
      <c r="A1726" s="38"/>
      <c r="B1726" s="44"/>
      <c r="C1726" s="45"/>
      <c r="D1726" s="44"/>
    </row>
    <row r="1727" spans="1:4" ht="19.5" thickBot="1" x14ac:dyDescent="0.3">
      <c r="A1727" s="19"/>
      <c r="B1727" s="20"/>
      <c r="C1727" s="63"/>
      <c r="D1727" s="14"/>
    </row>
    <row r="1728" spans="1:4" ht="19.5" thickBot="1" x14ac:dyDescent="0.3">
      <c r="A1728" s="19"/>
      <c r="B1728" s="20"/>
      <c r="C1728" s="48"/>
      <c r="D1728" s="46"/>
    </row>
    <row r="1729" spans="1:4" ht="15.75" thickBot="1" x14ac:dyDescent="0.3">
      <c r="A1729" s="32"/>
      <c r="B1729" s="33"/>
      <c r="C1729" s="32"/>
      <c r="D1729" s="34"/>
    </row>
    <row r="1730" spans="1:4" ht="15.75" thickBot="1" x14ac:dyDescent="0.3">
      <c r="A1730" s="58"/>
      <c r="B1730" s="58"/>
      <c r="C1730" s="58"/>
      <c r="D1730" s="35"/>
    </row>
    <row r="1731" spans="1:4" ht="15.75" x14ac:dyDescent="0.25">
      <c r="A1731" s="285"/>
      <c r="B1731" s="59"/>
      <c r="C1731" s="59"/>
      <c r="D1731" s="60"/>
    </row>
    <row r="1732" spans="1:4" ht="16.5" thickBot="1" x14ac:dyDescent="0.3">
      <c r="A1732" s="286"/>
      <c r="B1732" s="62"/>
      <c r="C1732" s="62"/>
      <c r="D1732" s="61"/>
    </row>
    <row r="1733" spans="1:4" ht="15.75" x14ac:dyDescent="0.25">
      <c r="A1733" s="285"/>
      <c r="B1733" s="59"/>
      <c r="C1733" s="59"/>
      <c r="D1733" s="60"/>
    </row>
    <row r="1734" spans="1:4" ht="16.5" thickBot="1" x14ac:dyDescent="0.3">
      <c r="A1734" s="286"/>
      <c r="B1734" s="62"/>
      <c r="C1734" s="62"/>
      <c r="D1734" s="61"/>
    </row>
    <row r="1735" spans="1:4" ht="16.5" thickBot="1" x14ac:dyDescent="0.3">
      <c r="A1735" s="57"/>
      <c r="B1735" s="36"/>
      <c r="C1735" s="36"/>
      <c r="D1735" s="36"/>
    </row>
    <row r="1736" spans="1:4" ht="15.75" thickBot="1" x14ac:dyDescent="0.3">
      <c r="A1736" s="287"/>
      <c r="B1736" s="288"/>
      <c r="C1736" s="288"/>
      <c r="D1736" s="289"/>
    </row>
    <row r="1737" spans="1:4" ht="18.75" x14ac:dyDescent="0.25">
      <c r="A1737" s="5"/>
      <c r="B1737" s="6"/>
      <c r="C1737" s="7"/>
      <c r="D1737" s="8"/>
    </row>
    <row r="1738" spans="1:4" ht="19.5" thickBot="1" x14ac:dyDescent="0.3">
      <c r="A1738" s="9"/>
      <c r="B1738" s="10"/>
      <c r="C1738" s="10"/>
      <c r="D1738" s="11"/>
    </row>
    <row r="1739" spans="1:4" ht="21.75" thickBot="1" x14ac:dyDescent="0.3">
      <c r="A1739" s="43"/>
      <c r="B1739" s="290"/>
      <c r="C1739" s="291"/>
      <c r="D1739" s="43"/>
    </row>
    <row r="1740" spans="1:4" ht="21.75" thickBot="1" x14ac:dyDescent="0.3">
      <c r="A1740" s="38"/>
      <c r="B1740" s="44"/>
      <c r="C1740" s="45"/>
      <c r="D1740" s="44"/>
    </row>
    <row r="1741" spans="1:4" ht="19.5" thickBot="1" x14ac:dyDescent="0.3">
      <c r="A1741" s="19"/>
      <c r="B1741" s="20"/>
      <c r="C1741" s="63"/>
      <c r="D1741" s="14"/>
    </row>
    <row r="1742" spans="1:4" ht="19.5" thickBot="1" x14ac:dyDescent="0.3">
      <c r="A1742" s="19"/>
      <c r="B1742" s="20"/>
      <c r="C1742" s="63"/>
      <c r="D1742" s="14"/>
    </row>
    <row r="1743" spans="1:4" ht="19.5" thickBot="1" x14ac:dyDescent="0.3">
      <c r="A1743" s="19"/>
      <c r="B1743" s="20"/>
      <c r="C1743" s="48"/>
      <c r="D1743" s="46"/>
    </row>
    <row r="1744" spans="1:4" ht="15.75" thickBot="1" x14ac:dyDescent="0.3">
      <c r="A1744" s="32"/>
      <c r="B1744" s="33"/>
      <c r="C1744" s="32"/>
      <c r="D1744" s="34"/>
    </row>
    <row r="1745" spans="1:4" ht="15.75" thickBot="1" x14ac:dyDescent="0.3">
      <c r="A1745" s="58"/>
      <c r="B1745" s="58"/>
      <c r="C1745" s="58"/>
      <c r="D1745" s="35"/>
    </row>
    <row r="1746" spans="1:4" ht="15.75" x14ac:dyDescent="0.25">
      <c r="A1746" s="285"/>
      <c r="B1746" s="59"/>
      <c r="C1746" s="59"/>
      <c r="D1746" s="60"/>
    </row>
    <row r="1747" spans="1:4" ht="16.5" thickBot="1" x14ac:dyDescent="0.3">
      <c r="A1747" s="286"/>
      <c r="B1747" s="62"/>
      <c r="C1747" s="62"/>
      <c r="D1747" s="61"/>
    </row>
    <row r="1748" spans="1:4" ht="15.75" x14ac:dyDescent="0.25">
      <c r="A1748" s="285"/>
      <c r="B1748" s="59"/>
      <c r="C1748" s="59"/>
      <c r="D1748" s="60"/>
    </row>
    <row r="1749" spans="1:4" ht="16.5" thickBot="1" x14ac:dyDescent="0.3">
      <c r="A1749" s="286"/>
      <c r="B1749" s="62"/>
      <c r="C1749" s="62"/>
      <c r="D1749" s="61"/>
    </row>
    <row r="1750" spans="1:4" ht="16.5" thickBot="1" x14ac:dyDescent="0.3">
      <c r="A1750" s="57"/>
      <c r="B1750" s="36"/>
      <c r="C1750" s="36"/>
      <c r="D1750" s="36"/>
    </row>
    <row r="1751" spans="1:4" ht="15.75" thickBot="1" x14ac:dyDescent="0.3">
      <c r="A1751" s="287"/>
      <c r="B1751" s="288"/>
      <c r="C1751" s="288"/>
      <c r="D1751" s="289"/>
    </row>
    <row r="1752" spans="1:4" ht="18.75" x14ac:dyDescent="0.25">
      <c r="A1752" s="5"/>
      <c r="B1752" s="6"/>
      <c r="C1752" s="7"/>
      <c r="D1752" s="8"/>
    </row>
    <row r="1753" spans="1:4" ht="19.5" thickBot="1" x14ac:dyDescent="0.3">
      <c r="A1753" s="9"/>
      <c r="B1753" s="10"/>
      <c r="C1753" s="10"/>
      <c r="D1753" s="11"/>
    </row>
    <row r="1754" spans="1:4" ht="21.75" thickBot="1" x14ac:dyDescent="0.3">
      <c r="A1754" s="43"/>
      <c r="B1754" s="290"/>
      <c r="C1754" s="291"/>
      <c r="D1754" s="43"/>
    </row>
    <row r="1755" spans="1:4" ht="21.75" thickBot="1" x14ac:dyDescent="0.3">
      <c r="A1755" s="38"/>
      <c r="B1755" s="44"/>
      <c r="C1755" s="45"/>
      <c r="D1755" s="44"/>
    </row>
    <row r="1756" spans="1:4" ht="19.5" thickBot="1" x14ac:dyDescent="0.3">
      <c r="A1756" s="19"/>
      <c r="B1756" s="20"/>
      <c r="C1756" s="63"/>
      <c r="D1756" s="14"/>
    </row>
    <row r="1757" spans="1:4" ht="19.5" thickBot="1" x14ac:dyDescent="0.3">
      <c r="A1757" s="19"/>
      <c r="B1757" s="20"/>
      <c r="C1757" s="48"/>
      <c r="D1757" s="46"/>
    </row>
    <row r="1758" spans="1:4" ht="15.75" thickBot="1" x14ac:dyDescent="0.3">
      <c r="A1758" s="32"/>
      <c r="B1758" s="33"/>
      <c r="C1758" s="32"/>
      <c r="D1758" s="34"/>
    </row>
    <row r="1759" spans="1:4" ht="15.75" thickBot="1" x14ac:dyDescent="0.3">
      <c r="A1759" s="58"/>
      <c r="B1759" s="58"/>
      <c r="C1759" s="58"/>
      <c r="D1759" s="35"/>
    </row>
    <row r="1760" spans="1:4" ht="15.75" x14ac:dyDescent="0.25">
      <c r="A1760" s="285"/>
      <c r="B1760" s="59"/>
      <c r="C1760" s="59"/>
      <c r="D1760" s="60"/>
    </row>
    <row r="1761" spans="1:4" ht="16.5" thickBot="1" x14ac:dyDescent="0.3">
      <c r="A1761" s="286"/>
      <c r="B1761" s="62"/>
      <c r="C1761" s="62"/>
      <c r="D1761" s="61"/>
    </row>
    <row r="1762" spans="1:4" ht="15.75" x14ac:dyDescent="0.25">
      <c r="A1762" s="285"/>
      <c r="B1762" s="59"/>
      <c r="C1762" s="59"/>
      <c r="D1762" s="60"/>
    </row>
    <row r="1763" spans="1:4" ht="16.5" thickBot="1" x14ac:dyDescent="0.3">
      <c r="A1763" s="286"/>
      <c r="B1763" s="62"/>
      <c r="C1763" s="62"/>
      <c r="D1763" s="61"/>
    </row>
    <row r="1764" spans="1:4" ht="16.5" thickBot="1" x14ac:dyDescent="0.3">
      <c r="A1764" s="57"/>
      <c r="B1764" s="36"/>
      <c r="C1764" s="36"/>
      <c r="D1764" s="36"/>
    </row>
    <row r="1765" spans="1:4" ht="15.75" thickBot="1" x14ac:dyDescent="0.3">
      <c r="A1765" s="287"/>
      <c r="B1765" s="288"/>
      <c r="C1765" s="288"/>
      <c r="D1765" s="289"/>
    </row>
    <row r="1766" spans="1:4" ht="18.75" x14ac:dyDescent="0.25">
      <c r="A1766" s="5"/>
      <c r="B1766" s="6"/>
      <c r="C1766" s="7"/>
      <c r="D1766" s="8"/>
    </row>
    <row r="1767" spans="1:4" ht="19.5" thickBot="1" x14ac:dyDescent="0.3">
      <c r="A1767" s="9"/>
      <c r="B1767" s="10"/>
      <c r="C1767" s="10"/>
      <c r="D1767" s="11"/>
    </row>
    <row r="1768" spans="1:4" ht="21.75" thickBot="1" x14ac:dyDescent="0.3">
      <c r="A1768" s="43"/>
      <c r="B1768" s="290"/>
      <c r="C1768" s="291"/>
      <c r="D1768" s="43"/>
    </row>
    <row r="1769" spans="1:4" ht="21.75" thickBot="1" x14ac:dyDescent="0.3">
      <c r="A1769" s="38"/>
      <c r="B1769" s="44"/>
      <c r="C1769" s="45"/>
      <c r="D1769" s="44"/>
    </row>
    <row r="1770" spans="1:4" ht="19.5" thickBot="1" x14ac:dyDescent="0.3">
      <c r="A1770" s="19"/>
      <c r="B1770" s="20"/>
      <c r="C1770" s="63"/>
      <c r="D1770" s="14"/>
    </row>
    <row r="1771" spans="1:4" ht="19.5" thickBot="1" x14ac:dyDescent="0.3">
      <c r="A1771" s="19"/>
      <c r="B1771" s="20"/>
      <c r="C1771" s="63"/>
      <c r="D1771" s="14"/>
    </row>
    <row r="1772" spans="1:4" ht="19.5" thickBot="1" x14ac:dyDescent="0.3">
      <c r="A1772" s="19"/>
      <c r="B1772" s="20"/>
      <c r="C1772" s="48"/>
      <c r="D1772" s="46"/>
    </row>
    <row r="1773" spans="1:4" ht="15.75" thickBot="1" x14ac:dyDescent="0.3">
      <c r="A1773" s="32"/>
      <c r="B1773" s="33"/>
      <c r="C1773" s="32"/>
      <c r="D1773" s="34"/>
    </row>
    <row r="1774" spans="1:4" ht="15.75" thickBot="1" x14ac:dyDescent="0.3">
      <c r="A1774" s="58"/>
      <c r="B1774" s="58"/>
      <c r="C1774" s="58"/>
      <c r="D1774" s="35"/>
    </row>
    <row r="1775" spans="1:4" ht="15.75" x14ac:dyDescent="0.25">
      <c r="A1775" s="285"/>
      <c r="B1775" s="59"/>
      <c r="C1775" s="59"/>
      <c r="D1775" s="60"/>
    </row>
    <row r="1776" spans="1:4" ht="16.5" thickBot="1" x14ac:dyDescent="0.3">
      <c r="A1776" s="286"/>
      <c r="B1776" s="62"/>
      <c r="C1776" s="62"/>
      <c r="D1776" s="61"/>
    </row>
    <row r="1777" spans="1:4" ht="15.75" x14ac:dyDescent="0.25">
      <c r="A1777" s="285"/>
      <c r="B1777" s="59"/>
      <c r="C1777" s="59"/>
      <c r="D1777" s="60"/>
    </row>
    <row r="1778" spans="1:4" ht="16.5" thickBot="1" x14ac:dyDescent="0.3">
      <c r="A1778" s="286"/>
      <c r="B1778" s="62"/>
      <c r="C1778" s="62"/>
      <c r="D1778" s="61"/>
    </row>
    <row r="1779" spans="1:4" ht="16.5" thickBot="1" x14ac:dyDescent="0.3">
      <c r="A1779" s="57"/>
      <c r="B1779" s="36"/>
      <c r="C1779" s="36"/>
      <c r="D1779" s="36"/>
    </row>
    <row r="1780" spans="1:4" ht="15.75" thickBot="1" x14ac:dyDescent="0.3">
      <c r="A1780" s="287"/>
      <c r="B1780" s="288"/>
      <c r="C1780" s="288"/>
      <c r="D1780" s="289"/>
    </row>
    <row r="1781" spans="1:4" ht="18.75" x14ac:dyDescent="0.25">
      <c r="A1781" s="5"/>
      <c r="B1781" s="6"/>
      <c r="C1781" s="7"/>
      <c r="D1781" s="8"/>
    </row>
    <row r="1782" spans="1:4" ht="19.5" thickBot="1" x14ac:dyDescent="0.3">
      <c r="A1782" s="9"/>
      <c r="B1782" s="10"/>
      <c r="C1782" s="10"/>
      <c r="D1782" s="11"/>
    </row>
    <row r="1783" spans="1:4" ht="21.75" thickBot="1" x14ac:dyDescent="0.3">
      <c r="A1783" s="43"/>
      <c r="B1783" s="290"/>
      <c r="C1783" s="291"/>
      <c r="D1783" s="43"/>
    </row>
    <row r="1784" spans="1:4" ht="21.75" thickBot="1" x14ac:dyDescent="0.3">
      <c r="A1784" s="38"/>
      <c r="B1784" s="44"/>
      <c r="C1784" s="45"/>
      <c r="D1784" s="44"/>
    </row>
    <row r="1785" spans="1:4" ht="19.5" thickBot="1" x14ac:dyDescent="0.3">
      <c r="A1785" s="19"/>
      <c r="B1785" s="20"/>
      <c r="C1785" s="63"/>
      <c r="D1785" s="14"/>
    </row>
    <row r="1786" spans="1:4" ht="19.5" thickBot="1" x14ac:dyDescent="0.3">
      <c r="A1786" s="19"/>
      <c r="B1786" s="20"/>
      <c r="C1786" s="48"/>
      <c r="D1786" s="46"/>
    </row>
    <row r="1787" spans="1:4" ht="15.75" thickBot="1" x14ac:dyDescent="0.3">
      <c r="A1787" s="32"/>
      <c r="B1787" s="33"/>
      <c r="C1787" s="32"/>
      <c r="D1787" s="34"/>
    </row>
    <row r="1788" spans="1:4" ht="15.75" thickBot="1" x14ac:dyDescent="0.3">
      <c r="A1788" s="58"/>
      <c r="B1788" s="58"/>
      <c r="C1788" s="58"/>
      <c r="D1788" s="35"/>
    </row>
    <row r="1789" spans="1:4" ht="15.75" x14ac:dyDescent="0.25">
      <c r="A1789" s="285"/>
      <c r="B1789" s="59"/>
      <c r="C1789" s="59"/>
      <c r="D1789" s="60"/>
    </row>
    <row r="1790" spans="1:4" ht="16.5" thickBot="1" x14ac:dyDescent="0.3">
      <c r="A1790" s="286"/>
      <c r="B1790" s="62"/>
      <c r="C1790" s="62"/>
      <c r="D1790" s="61"/>
    </row>
    <row r="1791" spans="1:4" ht="15.75" x14ac:dyDescent="0.25">
      <c r="A1791" s="285"/>
      <c r="B1791" s="59"/>
      <c r="C1791" s="59"/>
      <c r="D1791" s="60"/>
    </row>
    <row r="1792" spans="1:4" ht="16.5" thickBot="1" x14ac:dyDescent="0.3">
      <c r="A1792" s="286"/>
      <c r="B1792" s="62"/>
      <c r="C1792" s="62"/>
      <c r="D1792" s="61"/>
    </row>
    <row r="1793" spans="1:4" ht="16.5" thickBot="1" x14ac:dyDescent="0.3">
      <c r="A1793" s="57"/>
      <c r="B1793" s="36"/>
      <c r="C1793" s="36"/>
      <c r="D1793" s="36"/>
    </row>
    <row r="1794" spans="1:4" ht="15.75" thickBot="1" x14ac:dyDescent="0.3">
      <c r="A1794" s="287"/>
      <c r="B1794" s="288"/>
      <c r="C1794" s="288"/>
      <c r="D1794" s="289"/>
    </row>
    <row r="1795" spans="1:4" ht="18.75" x14ac:dyDescent="0.25">
      <c r="A1795" s="5"/>
      <c r="B1795" s="6"/>
      <c r="C1795" s="7"/>
      <c r="D1795" s="8"/>
    </row>
    <row r="1796" spans="1:4" ht="19.5" thickBot="1" x14ac:dyDescent="0.3">
      <c r="A1796" s="9"/>
      <c r="B1796" s="10"/>
      <c r="C1796" s="10"/>
      <c r="D1796" s="11"/>
    </row>
    <row r="1797" spans="1:4" ht="21.75" thickBot="1" x14ac:dyDescent="0.3">
      <c r="A1797" s="43"/>
      <c r="B1797" s="290"/>
      <c r="C1797" s="291"/>
      <c r="D1797" s="43"/>
    </row>
    <row r="1798" spans="1:4" ht="21.75" thickBot="1" x14ac:dyDescent="0.3">
      <c r="A1798" s="38"/>
      <c r="B1798" s="44"/>
      <c r="C1798" s="45"/>
      <c r="D1798" s="44"/>
    </row>
    <row r="1799" spans="1:4" ht="19.5" thickBot="1" x14ac:dyDescent="0.3">
      <c r="A1799" s="19"/>
      <c r="B1799" s="20"/>
      <c r="C1799" s="63"/>
      <c r="D1799" s="14"/>
    </row>
    <row r="1800" spans="1:4" ht="19.5" thickBot="1" x14ac:dyDescent="0.3">
      <c r="A1800" s="19"/>
      <c r="B1800" s="20"/>
      <c r="C1800" s="63"/>
      <c r="D1800" s="14"/>
    </row>
    <row r="1801" spans="1:4" ht="19.5" thickBot="1" x14ac:dyDescent="0.3">
      <c r="A1801" s="19"/>
      <c r="B1801" s="20"/>
      <c r="C1801" s="48"/>
      <c r="D1801" s="46"/>
    </row>
    <row r="1802" spans="1:4" ht="15.75" thickBot="1" x14ac:dyDescent="0.3">
      <c r="A1802" s="32"/>
      <c r="B1802" s="33"/>
      <c r="C1802" s="32"/>
      <c r="D1802" s="34"/>
    </row>
    <row r="1803" spans="1:4" ht="15.75" thickBot="1" x14ac:dyDescent="0.3">
      <c r="A1803" s="58"/>
      <c r="B1803" s="58"/>
      <c r="C1803" s="58"/>
      <c r="D1803" s="35"/>
    </row>
    <row r="1804" spans="1:4" ht="15.75" x14ac:dyDescent="0.25">
      <c r="A1804" s="285"/>
      <c r="B1804" s="59"/>
      <c r="C1804" s="59"/>
      <c r="D1804" s="60"/>
    </row>
    <row r="1805" spans="1:4" ht="16.5" thickBot="1" x14ac:dyDescent="0.3">
      <c r="A1805" s="286"/>
      <c r="B1805" s="62"/>
      <c r="C1805" s="62"/>
      <c r="D1805" s="61"/>
    </row>
    <row r="1806" spans="1:4" ht="15.75" x14ac:dyDescent="0.25">
      <c r="A1806" s="285"/>
      <c r="B1806" s="59"/>
      <c r="C1806" s="59"/>
      <c r="D1806" s="60"/>
    </row>
    <row r="1807" spans="1:4" ht="16.5" thickBot="1" x14ac:dyDescent="0.3">
      <c r="A1807" s="286"/>
      <c r="B1807" s="62"/>
      <c r="C1807" s="62"/>
      <c r="D1807" s="61"/>
    </row>
    <row r="1808" spans="1:4" ht="16.5" thickBot="1" x14ac:dyDescent="0.3">
      <c r="A1808" s="57"/>
      <c r="B1808" s="36"/>
      <c r="C1808" s="36"/>
      <c r="D1808" s="36"/>
    </row>
    <row r="1809" spans="1:4" ht="15.75" thickBot="1" x14ac:dyDescent="0.3">
      <c r="A1809" s="287"/>
      <c r="B1809" s="288"/>
      <c r="C1809" s="288"/>
      <c r="D1809" s="289"/>
    </row>
    <row r="1810" spans="1:4" ht="18.75" x14ac:dyDescent="0.25">
      <c r="A1810" s="5"/>
      <c r="B1810" s="6"/>
      <c r="C1810" s="7"/>
      <c r="D1810" s="8"/>
    </row>
    <row r="1811" spans="1:4" ht="19.5" thickBot="1" x14ac:dyDescent="0.3">
      <c r="A1811" s="9"/>
      <c r="B1811" s="10"/>
      <c r="C1811" s="10"/>
      <c r="D1811" s="11"/>
    </row>
    <row r="1812" spans="1:4" ht="21.75" thickBot="1" x14ac:dyDescent="0.3">
      <c r="A1812" s="43"/>
      <c r="B1812" s="290"/>
      <c r="C1812" s="291"/>
      <c r="D1812" s="43"/>
    </row>
    <row r="1813" spans="1:4" ht="21.75" thickBot="1" x14ac:dyDescent="0.3">
      <c r="A1813" s="38"/>
      <c r="B1813" s="44"/>
      <c r="C1813" s="45"/>
      <c r="D1813" s="44"/>
    </row>
    <row r="1814" spans="1:4" ht="19.5" thickBot="1" x14ac:dyDescent="0.3">
      <c r="A1814" s="19"/>
      <c r="B1814" s="20"/>
      <c r="C1814" s="63"/>
      <c r="D1814" s="14"/>
    </row>
    <row r="1815" spans="1:4" ht="19.5" thickBot="1" x14ac:dyDescent="0.3">
      <c r="A1815" s="19"/>
      <c r="B1815" s="20"/>
      <c r="C1815" s="48"/>
      <c r="D1815" s="46"/>
    </row>
    <row r="1816" spans="1:4" ht="15.75" thickBot="1" x14ac:dyDescent="0.3">
      <c r="A1816" s="32"/>
      <c r="B1816" s="33"/>
      <c r="C1816" s="32"/>
      <c r="D1816" s="34"/>
    </row>
    <row r="1817" spans="1:4" ht="15.75" thickBot="1" x14ac:dyDescent="0.3">
      <c r="A1817" s="58"/>
      <c r="B1817" s="58"/>
      <c r="C1817" s="58"/>
      <c r="D1817" s="35"/>
    </row>
    <row r="1818" spans="1:4" ht="15.75" x14ac:dyDescent="0.25">
      <c r="A1818" s="285"/>
      <c r="B1818" s="59"/>
      <c r="C1818" s="59"/>
      <c r="D1818" s="60"/>
    </row>
    <row r="1819" spans="1:4" ht="16.5" thickBot="1" x14ac:dyDescent="0.3">
      <c r="A1819" s="286"/>
      <c r="B1819" s="62"/>
      <c r="C1819" s="62"/>
      <c r="D1819" s="61"/>
    </row>
    <row r="1820" spans="1:4" ht="15.75" x14ac:dyDescent="0.25">
      <c r="A1820" s="285"/>
      <c r="B1820" s="59"/>
      <c r="C1820" s="59"/>
      <c r="D1820" s="60"/>
    </row>
    <row r="1821" spans="1:4" ht="16.5" thickBot="1" x14ac:dyDescent="0.3">
      <c r="A1821" s="286"/>
      <c r="B1821" s="62"/>
      <c r="C1821" s="62"/>
      <c r="D1821" s="61"/>
    </row>
    <row r="1822" spans="1:4" ht="16.5" thickBot="1" x14ac:dyDescent="0.3">
      <c r="A1822" s="57"/>
      <c r="B1822" s="36"/>
      <c r="C1822" s="36"/>
      <c r="D1822" s="36"/>
    </row>
    <row r="1823" spans="1:4" ht="15.75" thickBot="1" x14ac:dyDescent="0.3">
      <c r="A1823" s="287"/>
      <c r="B1823" s="288"/>
      <c r="C1823" s="288"/>
      <c r="D1823" s="289"/>
    </row>
    <row r="1824" spans="1:4" ht="18.75" x14ac:dyDescent="0.25">
      <c r="A1824" s="5"/>
      <c r="B1824" s="6"/>
      <c r="C1824" s="7"/>
      <c r="D1824" s="8"/>
    </row>
    <row r="1825" spans="1:4" ht="19.5" thickBot="1" x14ac:dyDescent="0.3">
      <c r="A1825" s="9"/>
      <c r="B1825" s="10"/>
      <c r="C1825" s="10"/>
      <c r="D1825" s="11"/>
    </row>
    <row r="1826" spans="1:4" ht="21.75" thickBot="1" x14ac:dyDescent="0.3">
      <c r="A1826" s="43"/>
      <c r="B1826" s="290"/>
      <c r="C1826" s="291"/>
      <c r="D1826" s="43"/>
    </row>
    <row r="1827" spans="1:4" ht="21.75" thickBot="1" x14ac:dyDescent="0.3">
      <c r="A1827" s="38"/>
      <c r="B1827" s="44"/>
      <c r="C1827" s="45"/>
      <c r="D1827" s="44"/>
    </row>
    <row r="1828" spans="1:4" ht="19.5" thickBot="1" x14ac:dyDescent="0.3">
      <c r="A1828" s="19"/>
      <c r="B1828" s="20"/>
      <c r="C1828" s="63"/>
      <c r="D1828" s="14"/>
    </row>
    <row r="1829" spans="1:4" ht="19.5" thickBot="1" x14ac:dyDescent="0.3">
      <c r="A1829" s="19"/>
      <c r="B1829" s="20"/>
      <c r="C1829" s="63"/>
      <c r="D1829" s="14"/>
    </row>
    <row r="1830" spans="1:4" ht="19.5" thickBot="1" x14ac:dyDescent="0.3">
      <c r="A1830" s="19"/>
      <c r="B1830" s="20"/>
      <c r="C1830" s="48"/>
      <c r="D1830" s="46"/>
    </row>
    <row r="1831" spans="1:4" ht="15.75" thickBot="1" x14ac:dyDescent="0.3">
      <c r="A1831" s="32"/>
      <c r="B1831" s="33"/>
      <c r="C1831" s="32"/>
      <c r="D1831" s="34"/>
    </row>
    <row r="1832" spans="1:4" ht="15.75" thickBot="1" x14ac:dyDescent="0.3">
      <c r="A1832" s="58"/>
      <c r="B1832" s="58"/>
      <c r="C1832" s="58"/>
      <c r="D1832" s="35"/>
    </row>
    <row r="1833" spans="1:4" ht="15.75" x14ac:dyDescent="0.25">
      <c r="A1833" s="285"/>
      <c r="B1833" s="59"/>
      <c r="C1833" s="59"/>
      <c r="D1833" s="60"/>
    </row>
    <row r="1834" spans="1:4" ht="16.5" thickBot="1" x14ac:dyDescent="0.3">
      <c r="A1834" s="286"/>
      <c r="B1834" s="62"/>
      <c r="C1834" s="62"/>
      <c r="D1834" s="61"/>
    </row>
    <row r="1835" spans="1:4" ht="15.75" x14ac:dyDescent="0.25">
      <c r="A1835" s="285"/>
      <c r="B1835" s="59"/>
      <c r="C1835" s="59"/>
      <c r="D1835" s="60"/>
    </row>
    <row r="1836" spans="1:4" ht="16.5" thickBot="1" x14ac:dyDescent="0.3">
      <c r="A1836" s="286"/>
      <c r="B1836" s="62"/>
      <c r="C1836" s="62"/>
      <c r="D1836" s="61"/>
    </row>
    <row r="1837" spans="1:4" ht="16.5" thickBot="1" x14ac:dyDescent="0.3">
      <c r="A1837" s="57"/>
      <c r="B1837" s="36"/>
      <c r="C1837" s="36"/>
      <c r="D1837" s="36"/>
    </row>
    <row r="1838" spans="1:4" ht="15.75" thickBot="1" x14ac:dyDescent="0.3">
      <c r="A1838" s="287"/>
      <c r="B1838" s="288"/>
      <c r="C1838" s="288"/>
      <c r="D1838" s="289"/>
    </row>
    <row r="1839" spans="1:4" ht="18.75" x14ac:dyDescent="0.25">
      <c r="A1839" s="5"/>
      <c r="B1839" s="6"/>
      <c r="C1839" s="7"/>
      <c r="D1839" s="8"/>
    </row>
    <row r="1840" spans="1:4" ht="19.5" thickBot="1" x14ac:dyDescent="0.3">
      <c r="A1840" s="9"/>
      <c r="B1840" s="10"/>
      <c r="C1840" s="10"/>
      <c r="D1840" s="11"/>
    </row>
    <row r="1841" spans="1:4" ht="21.75" thickBot="1" x14ac:dyDescent="0.3">
      <c r="A1841" s="43"/>
      <c r="B1841" s="290"/>
      <c r="C1841" s="291"/>
      <c r="D1841" s="43"/>
    </row>
    <row r="1842" spans="1:4" ht="21.75" thickBot="1" x14ac:dyDescent="0.3">
      <c r="A1842" s="38"/>
      <c r="B1842" s="44"/>
      <c r="C1842" s="45"/>
      <c r="D1842" s="44"/>
    </row>
    <row r="1843" spans="1:4" ht="19.5" thickBot="1" x14ac:dyDescent="0.3">
      <c r="A1843" s="19"/>
      <c r="B1843" s="20"/>
      <c r="C1843" s="63"/>
      <c r="D1843" s="14"/>
    </row>
    <row r="1844" spans="1:4" ht="19.5" thickBot="1" x14ac:dyDescent="0.3">
      <c r="A1844" s="19"/>
      <c r="B1844" s="20"/>
      <c r="C1844" s="48"/>
      <c r="D1844" s="46"/>
    </row>
    <row r="1845" spans="1:4" ht="15.75" thickBot="1" x14ac:dyDescent="0.3">
      <c r="A1845" s="32"/>
      <c r="B1845" s="33"/>
      <c r="C1845" s="32"/>
      <c r="D1845" s="34"/>
    </row>
    <row r="1846" spans="1:4" ht="15.75" thickBot="1" x14ac:dyDescent="0.3">
      <c r="A1846" s="58"/>
      <c r="B1846" s="58"/>
      <c r="C1846" s="58"/>
      <c r="D1846" s="35"/>
    </row>
    <row r="1847" spans="1:4" ht="15.75" x14ac:dyDescent="0.25">
      <c r="A1847" s="285"/>
      <c r="B1847" s="59"/>
      <c r="C1847" s="59"/>
      <c r="D1847" s="60"/>
    </row>
    <row r="1848" spans="1:4" ht="16.5" thickBot="1" x14ac:dyDescent="0.3">
      <c r="A1848" s="286"/>
      <c r="B1848" s="62"/>
      <c r="C1848" s="62"/>
      <c r="D1848" s="61"/>
    </row>
    <row r="1849" spans="1:4" ht="15.75" x14ac:dyDescent="0.25">
      <c r="A1849" s="285"/>
      <c r="B1849" s="59"/>
      <c r="C1849" s="59"/>
      <c r="D1849" s="60"/>
    </row>
    <row r="1850" spans="1:4" ht="16.5" thickBot="1" x14ac:dyDescent="0.3">
      <c r="A1850" s="286"/>
      <c r="B1850" s="62"/>
      <c r="C1850" s="62"/>
      <c r="D1850" s="61"/>
    </row>
    <row r="1851" spans="1:4" ht="16.5" thickBot="1" x14ac:dyDescent="0.3">
      <c r="A1851" s="57"/>
      <c r="B1851" s="36"/>
      <c r="C1851" s="36"/>
      <c r="D1851" s="36"/>
    </row>
    <row r="1852" spans="1:4" ht="15.75" thickBot="1" x14ac:dyDescent="0.3">
      <c r="A1852" s="287"/>
      <c r="B1852" s="288"/>
      <c r="C1852" s="288"/>
      <c r="D1852" s="289"/>
    </row>
    <row r="1853" spans="1:4" ht="18.75" x14ac:dyDescent="0.25">
      <c r="A1853" s="5"/>
      <c r="B1853" s="6"/>
      <c r="C1853" s="7"/>
      <c r="D1853" s="8"/>
    </row>
    <row r="1854" spans="1:4" ht="19.5" thickBot="1" x14ac:dyDescent="0.3">
      <c r="A1854" s="9"/>
      <c r="B1854" s="10"/>
      <c r="C1854" s="10"/>
      <c r="D1854" s="11"/>
    </row>
    <row r="1855" spans="1:4" ht="21.75" thickBot="1" x14ac:dyDescent="0.3">
      <c r="A1855" s="43"/>
      <c r="B1855" s="290"/>
      <c r="C1855" s="291"/>
      <c r="D1855" s="43"/>
    </row>
    <row r="1856" spans="1:4" ht="21.75" thickBot="1" x14ac:dyDescent="0.3">
      <c r="A1856" s="38"/>
      <c r="B1856" s="44"/>
      <c r="C1856" s="45"/>
      <c r="D1856" s="44"/>
    </row>
    <row r="1857" spans="1:4" ht="19.5" thickBot="1" x14ac:dyDescent="0.3">
      <c r="A1857" s="19"/>
      <c r="B1857" s="20"/>
      <c r="C1857" s="63"/>
      <c r="D1857" s="14"/>
    </row>
    <row r="1858" spans="1:4" ht="19.5" thickBot="1" x14ac:dyDescent="0.3">
      <c r="A1858" s="19"/>
      <c r="B1858" s="20"/>
      <c r="C1858" s="63"/>
      <c r="D1858" s="14"/>
    </row>
    <row r="1859" spans="1:4" ht="19.5" thickBot="1" x14ac:dyDescent="0.3">
      <c r="A1859" s="19"/>
      <c r="B1859" s="20"/>
      <c r="C1859" s="48"/>
      <c r="D1859" s="46"/>
    </row>
    <row r="1860" spans="1:4" ht="15.75" thickBot="1" x14ac:dyDescent="0.3">
      <c r="A1860" s="32"/>
      <c r="B1860" s="33"/>
      <c r="C1860" s="32"/>
      <c r="D1860" s="34"/>
    </row>
    <row r="1861" spans="1:4" ht="15.75" thickBot="1" x14ac:dyDescent="0.3">
      <c r="A1861" s="58"/>
      <c r="B1861" s="58"/>
      <c r="C1861" s="58"/>
      <c r="D1861" s="35"/>
    </row>
    <row r="1862" spans="1:4" ht="15.75" x14ac:dyDescent="0.25">
      <c r="A1862" s="285"/>
      <c r="B1862" s="59"/>
      <c r="C1862" s="59"/>
      <c r="D1862" s="60"/>
    </row>
    <row r="1863" spans="1:4" ht="16.5" thickBot="1" x14ac:dyDescent="0.3">
      <c r="A1863" s="286"/>
      <c r="B1863" s="62"/>
      <c r="C1863" s="62"/>
      <c r="D1863" s="61"/>
    </row>
    <row r="1864" spans="1:4" ht="15.75" x14ac:dyDescent="0.25">
      <c r="A1864" s="285"/>
      <c r="B1864" s="59"/>
      <c r="C1864" s="59"/>
      <c r="D1864" s="60"/>
    </row>
    <row r="1865" spans="1:4" ht="16.5" thickBot="1" x14ac:dyDescent="0.3">
      <c r="A1865" s="286"/>
      <c r="B1865" s="62"/>
      <c r="C1865" s="62"/>
      <c r="D1865" s="61"/>
    </row>
    <row r="1866" spans="1:4" ht="16.5" thickBot="1" x14ac:dyDescent="0.3">
      <c r="A1866" s="57"/>
      <c r="B1866" s="36"/>
      <c r="C1866" s="36"/>
      <c r="D1866" s="36"/>
    </row>
    <row r="1867" spans="1:4" ht="15.75" thickBot="1" x14ac:dyDescent="0.3">
      <c r="A1867" s="287"/>
      <c r="B1867" s="288"/>
      <c r="C1867" s="288"/>
      <c r="D1867" s="289"/>
    </row>
    <row r="1868" spans="1:4" ht="18.75" x14ac:dyDescent="0.25">
      <c r="A1868" s="5"/>
      <c r="B1868" s="6"/>
      <c r="C1868" s="7"/>
      <c r="D1868" s="8"/>
    </row>
    <row r="1869" spans="1:4" ht="19.5" thickBot="1" x14ac:dyDescent="0.3">
      <c r="A1869" s="9"/>
      <c r="B1869" s="10"/>
      <c r="C1869" s="10"/>
      <c r="D1869" s="11"/>
    </row>
    <row r="1870" spans="1:4" ht="21.75" thickBot="1" x14ac:dyDescent="0.3">
      <c r="A1870" s="43"/>
      <c r="B1870" s="290"/>
      <c r="C1870" s="291"/>
      <c r="D1870" s="43"/>
    </row>
    <row r="1871" spans="1:4" ht="21.75" thickBot="1" x14ac:dyDescent="0.3">
      <c r="A1871" s="38"/>
      <c r="B1871" s="44"/>
      <c r="C1871" s="45"/>
      <c r="D1871" s="44"/>
    </row>
    <row r="1872" spans="1:4" ht="19.5" thickBot="1" x14ac:dyDescent="0.3">
      <c r="A1872" s="19"/>
      <c r="B1872" s="20"/>
      <c r="C1872" s="63"/>
      <c r="D1872" s="14"/>
    </row>
    <row r="1873" spans="1:4" ht="19.5" thickBot="1" x14ac:dyDescent="0.3">
      <c r="A1873" s="19"/>
      <c r="B1873" s="20"/>
      <c r="C1873" s="48"/>
      <c r="D1873" s="46"/>
    </row>
    <row r="1874" spans="1:4" ht="15.75" thickBot="1" x14ac:dyDescent="0.3">
      <c r="A1874" s="32"/>
      <c r="B1874" s="33"/>
      <c r="C1874" s="32"/>
      <c r="D1874" s="34"/>
    </row>
    <row r="1875" spans="1:4" ht="15.75" thickBot="1" x14ac:dyDescent="0.3">
      <c r="A1875" s="58"/>
      <c r="B1875" s="58"/>
      <c r="C1875" s="58"/>
      <c r="D1875" s="35"/>
    </row>
    <row r="1876" spans="1:4" ht="15.75" x14ac:dyDescent="0.25">
      <c r="A1876" s="285"/>
      <c r="B1876" s="59"/>
      <c r="C1876" s="59"/>
      <c r="D1876" s="60"/>
    </row>
    <row r="1877" spans="1:4" ht="16.5" thickBot="1" x14ac:dyDescent="0.3">
      <c r="A1877" s="286"/>
      <c r="B1877" s="62"/>
      <c r="C1877" s="62"/>
      <c r="D1877" s="61"/>
    </row>
    <row r="1878" spans="1:4" ht="15.75" x14ac:dyDescent="0.25">
      <c r="A1878" s="285"/>
      <c r="B1878" s="59"/>
      <c r="C1878" s="59"/>
      <c r="D1878" s="60"/>
    </row>
    <row r="1879" spans="1:4" ht="16.5" thickBot="1" x14ac:dyDescent="0.3">
      <c r="A1879" s="286"/>
      <c r="B1879" s="62"/>
      <c r="C1879" s="62"/>
      <c r="D1879" s="61"/>
    </row>
    <row r="1880" spans="1:4" ht="16.5" thickBot="1" x14ac:dyDescent="0.3">
      <c r="A1880" s="57"/>
      <c r="B1880" s="36"/>
      <c r="C1880" s="36"/>
      <c r="D1880" s="36"/>
    </row>
    <row r="1881" spans="1:4" ht="15.75" thickBot="1" x14ac:dyDescent="0.3">
      <c r="A1881" s="287"/>
      <c r="B1881" s="288"/>
      <c r="C1881" s="288"/>
      <c r="D1881" s="289"/>
    </row>
    <row r="1882" spans="1:4" ht="18.75" x14ac:dyDescent="0.25">
      <c r="A1882" s="5"/>
      <c r="B1882" s="6"/>
      <c r="C1882" s="7"/>
      <c r="D1882" s="8"/>
    </row>
    <row r="1883" spans="1:4" ht="19.5" thickBot="1" x14ac:dyDescent="0.3">
      <c r="A1883" s="9"/>
      <c r="B1883" s="10"/>
      <c r="C1883" s="10"/>
      <c r="D1883" s="11"/>
    </row>
    <row r="1884" spans="1:4" ht="21.75" thickBot="1" x14ac:dyDescent="0.3">
      <c r="A1884" s="43"/>
      <c r="B1884" s="290"/>
      <c r="C1884" s="291"/>
      <c r="D1884" s="43"/>
    </row>
    <row r="1885" spans="1:4" ht="21.75" thickBot="1" x14ac:dyDescent="0.3">
      <c r="A1885" s="38"/>
      <c r="B1885" s="44"/>
      <c r="C1885" s="45"/>
      <c r="D1885" s="44"/>
    </row>
    <row r="1886" spans="1:4" ht="19.5" thickBot="1" x14ac:dyDescent="0.3">
      <c r="A1886" s="19"/>
      <c r="B1886" s="20"/>
      <c r="C1886" s="63"/>
      <c r="D1886" s="14"/>
    </row>
    <row r="1887" spans="1:4" ht="19.5" thickBot="1" x14ac:dyDescent="0.3">
      <c r="A1887" s="19"/>
      <c r="B1887" s="20"/>
      <c r="C1887" s="63"/>
      <c r="D1887" s="14"/>
    </row>
    <row r="1888" spans="1:4" ht="19.5" thickBot="1" x14ac:dyDescent="0.3">
      <c r="A1888" s="19"/>
      <c r="B1888" s="20"/>
      <c r="C1888" s="48"/>
      <c r="D1888" s="46"/>
    </row>
    <row r="1889" spans="1:4" ht="15.75" thickBot="1" x14ac:dyDescent="0.3">
      <c r="A1889" s="32"/>
      <c r="B1889" s="33"/>
      <c r="C1889" s="32"/>
      <c r="D1889" s="34"/>
    </row>
    <row r="1890" spans="1:4" ht="15.75" thickBot="1" x14ac:dyDescent="0.3">
      <c r="A1890" s="58"/>
      <c r="B1890" s="58"/>
      <c r="C1890" s="58"/>
      <c r="D1890" s="35"/>
    </row>
    <row r="1891" spans="1:4" ht="15.75" x14ac:dyDescent="0.25">
      <c r="A1891" s="285"/>
      <c r="B1891" s="59"/>
      <c r="C1891" s="59"/>
      <c r="D1891" s="60"/>
    </row>
    <row r="1892" spans="1:4" ht="16.5" thickBot="1" x14ac:dyDescent="0.3">
      <c r="A1892" s="286"/>
      <c r="B1892" s="62"/>
      <c r="C1892" s="62"/>
      <c r="D1892" s="61"/>
    </row>
    <row r="1893" spans="1:4" ht="15.75" x14ac:dyDescent="0.25">
      <c r="A1893" s="285"/>
      <c r="B1893" s="59"/>
      <c r="C1893" s="59"/>
      <c r="D1893" s="60"/>
    </row>
    <row r="1894" spans="1:4" ht="16.5" thickBot="1" x14ac:dyDescent="0.3">
      <c r="A1894" s="286"/>
      <c r="B1894" s="62"/>
      <c r="C1894" s="62"/>
      <c r="D1894" s="61"/>
    </row>
    <row r="1895" spans="1:4" ht="16.5" thickBot="1" x14ac:dyDescent="0.3">
      <c r="A1895" s="57"/>
      <c r="B1895" s="36"/>
      <c r="C1895" s="36"/>
      <c r="D1895" s="36"/>
    </row>
    <row r="1896" spans="1:4" ht="15.75" thickBot="1" x14ac:dyDescent="0.3">
      <c r="A1896" s="287"/>
      <c r="B1896" s="288"/>
      <c r="C1896" s="288"/>
      <c r="D1896" s="289"/>
    </row>
    <row r="1897" spans="1:4" ht="18.75" x14ac:dyDescent="0.25">
      <c r="A1897" s="5"/>
      <c r="B1897" s="6"/>
      <c r="C1897" s="7"/>
      <c r="D1897" s="8"/>
    </row>
    <row r="1898" spans="1:4" ht="19.5" thickBot="1" x14ac:dyDescent="0.3">
      <c r="A1898" s="9"/>
      <c r="B1898" s="10"/>
      <c r="C1898" s="10"/>
      <c r="D1898" s="11"/>
    </row>
    <row r="1899" spans="1:4" ht="21.75" thickBot="1" x14ac:dyDescent="0.3">
      <c r="A1899" s="43"/>
      <c r="B1899" s="290"/>
      <c r="C1899" s="291"/>
      <c r="D1899" s="43"/>
    </row>
    <row r="1900" spans="1:4" ht="21.75" thickBot="1" x14ac:dyDescent="0.3">
      <c r="A1900" s="38"/>
      <c r="B1900" s="44"/>
      <c r="C1900" s="45"/>
      <c r="D1900" s="44"/>
    </row>
    <row r="1901" spans="1:4" ht="19.5" thickBot="1" x14ac:dyDescent="0.3">
      <c r="A1901" s="19"/>
      <c r="B1901" s="20"/>
      <c r="C1901" s="63"/>
      <c r="D1901" s="14"/>
    </row>
    <row r="1902" spans="1:4" ht="19.5" thickBot="1" x14ac:dyDescent="0.3">
      <c r="A1902" s="19"/>
      <c r="B1902" s="20"/>
      <c r="C1902" s="48"/>
      <c r="D1902" s="46"/>
    </row>
    <row r="1903" spans="1:4" ht="15.75" thickBot="1" x14ac:dyDescent="0.3">
      <c r="A1903" s="32"/>
      <c r="B1903" s="33"/>
      <c r="C1903" s="32"/>
      <c r="D1903" s="34"/>
    </row>
    <row r="1904" spans="1:4" ht="15.75" thickBot="1" x14ac:dyDescent="0.3">
      <c r="A1904" s="58"/>
      <c r="B1904" s="58"/>
      <c r="C1904" s="58"/>
      <c r="D1904" s="35"/>
    </row>
    <row r="1905" spans="1:4" ht="15.75" x14ac:dyDescent="0.25">
      <c r="A1905" s="285"/>
      <c r="B1905" s="59"/>
      <c r="C1905" s="59"/>
      <c r="D1905" s="60"/>
    </row>
    <row r="1906" spans="1:4" ht="16.5" thickBot="1" x14ac:dyDescent="0.3">
      <c r="A1906" s="286"/>
      <c r="B1906" s="62"/>
      <c r="C1906" s="62"/>
      <c r="D1906" s="61"/>
    </row>
    <row r="1907" spans="1:4" ht="15.75" x14ac:dyDescent="0.25">
      <c r="A1907" s="285"/>
      <c r="B1907" s="59"/>
      <c r="C1907" s="59"/>
      <c r="D1907" s="60"/>
    </row>
    <row r="1908" spans="1:4" ht="16.5" thickBot="1" x14ac:dyDescent="0.3">
      <c r="A1908" s="286"/>
      <c r="B1908" s="62"/>
      <c r="C1908" s="62"/>
      <c r="D1908" s="61"/>
    </row>
    <row r="1909" spans="1:4" ht="16.5" thickBot="1" x14ac:dyDescent="0.3">
      <c r="A1909" s="57"/>
      <c r="B1909" s="36"/>
      <c r="C1909" s="36"/>
      <c r="D1909" s="36"/>
    </row>
    <row r="1910" spans="1:4" ht="15.75" thickBot="1" x14ac:dyDescent="0.3">
      <c r="A1910" s="287"/>
      <c r="B1910" s="288"/>
      <c r="C1910" s="288"/>
      <c r="D1910" s="289"/>
    </row>
    <row r="1911" spans="1:4" ht="18.75" x14ac:dyDescent="0.25">
      <c r="A1911" s="5"/>
      <c r="B1911" s="6"/>
      <c r="C1911" s="7"/>
      <c r="D1911" s="8"/>
    </row>
    <row r="1912" spans="1:4" ht="19.5" thickBot="1" x14ac:dyDescent="0.3">
      <c r="A1912" s="9"/>
      <c r="B1912" s="10"/>
      <c r="C1912" s="10"/>
      <c r="D1912" s="11"/>
    </row>
    <row r="1913" spans="1:4" ht="21.75" thickBot="1" x14ac:dyDescent="0.3">
      <c r="A1913" s="43"/>
      <c r="B1913" s="290"/>
      <c r="C1913" s="291"/>
      <c r="D1913" s="43"/>
    </row>
    <row r="1914" spans="1:4" ht="21.75" thickBot="1" x14ac:dyDescent="0.3">
      <c r="A1914" s="38"/>
      <c r="B1914" s="44"/>
      <c r="C1914" s="45"/>
      <c r="D1914" s="44"/>
    </row>
    <row r="1915" spans="1:4" ht="19.5" thickBot="1" x14ac:dyDescent="0.3">
      <c r="A1915" s="19"/>
      <c r="B1915" s="20"/>
      <c r="C1915" s="63"/>
      <c r="D1915" s="14"/>
    </row>
    <row r="1916" spans="1:4" ht="19.5" thickBot="1" x14ac:dyDescent="0.3">
      <c r="A1916" s="19"/>
      <c r="B1916" s="20"/>
      <c r="C1916" s="63"/>
      <c r="D1916" s="14"/>
    </row>
    <row r="1917" spans="1:4" ht="19.5" thickBot="1" x14ac:dyDescent="0.3">
      <c r="A1917" s="19"/>
      <c r="B1917" s="20"/>
      <c r="C1917" s="48"/>
      <c r="D1917" s="46"/>
    </row>
    <row r="1918" spans="1:4" ht="15.75" thickBot="1" x14ac:dyDescent="0.3">
      <c r="A1918" s="32"/>
      <c r="B1918" s="33"/>
      <c r="C1918" s="32"/>
      <c r="D1918" s="34"/>
    </row>
    <row r="1919" spans="1:4" ht="15.75" thickBot="1" x14ac:dyDescent="0.3">
      <c r="A1919" s="58"/>
      <c r="B1919" s="58"/>
      <c r="C1919" s="58"/>
      <c r="D1919" s="35"/>
    </row>
    <row r="1920" spans="1:4" ht="15.75" x14ac:dyDescent="0.25">
      <c r="A1920" s="285"/>
      <c r="B1920" s="59"/>
      <c r="C1920" s="59"/>
      <c r="D1920" s="60"/>
    </row>
    <row r="1921" spans="1:4" ht="16.5" thickBot="1" x14ac:dyDescent="0.3">
      <c r="A1921" s="286"/>
      <c r="B1921" s="62"/>
      <c r="C1921" s="62"/>
      <c r="D1921" s="61"/>
    </row>
    <row r="1922" spans="1:4" ht="15.75" x14ac:dyDescent="0.25">
      <c r="A1922" s="285"/>
      <c r="B1922" s="59"/>
      <c r="C1922" s="59"/>
      <c r="D1922" s="60"/>
    </row>
    <row r="1923" spans="1:4" ht="16.5" thickBot="1" x14ac:dyDescent="0.3">
      <c r="A1923" s="286"/>
      <c r="B1923" s="62"/>
      <c r="C1923" s="62"/>
      <c r="D1923" s="61"/>
    </row>
    <row r="1924" spans="1:4" ht="16.5" thickBot="1" x14ac:dyDescent="0.3">
      <c r="A1924" s="57"/>
      <c r="B1924" s="36"/>
      <c r="C1924" s="36"/>
      <c r="D1924" s="36"/>
    </row>
    <row r="1925" spans="1:4" ht="15.75" thickBot="1" x14ac:dyDescent="0.3">
      <c r="A1925" s="287"/>
      <c r="B1925" s="288"/>
      <c r="C1925" s="288"/>
      <c r="D1925" s="289"/>
    </row>
    <row r="1926" spans="1:4" ht="18.75" x14ac:dyDescent="0.25">
      <c r="A1926" s="5"/>
      <c r="B1926" s="6"/>
      <c r="C1926" s="7"/>
      <c r="D1926" s="8"/>
    </row>
    <row r="1927" spans="1:4" ht="19.5" thickBot="1" x14ac:dyDescent="0.3">
      <c r="A1927" s="9"/>
      <c r="B1927" s="10"/>
      <c r="C1927" s="10"/>
      <c r="D1927" s="11"/>
    </row>
    <row r="1928" spans="1:4" ht="21.75" thickBot="1" x14ac:dyDescent="0.3">
      <c r="A1928" s="43"/>
      <c r="B1928" s="290"/>
      <c r="C1928" s="291"/>
      <c r="D1928" s="43"/>
    </row>
    <row r="1929" spans="1:4" ht="21.75" thickBot="1" x14ac:dyDescent="0.3">
      <c r="A1929" s="38"/>
      <c r="B1929" s="44"/>
      <c r="C1929" s="45"/>
      <c r="D1929" s="44"/>
    </row>
    <row r="1930" spans="1:4" ht="19.5" thickBot="1" x14ac:dyDescent="0.3">
      <c r="A1930" s="19"/>
      <c r="B1930" s="20"/>
      <c r="C1930" s="63"/>
      <c r="D1930" s="14"/>
    </row>
    <row r="1931" spans="1:4" ht="19.5" thickBot="1" x14ac:dyDescent="0.3">
      <c r="A1931" s="19"/>
      <c r="B1931" s="20"/>
      <c r="C1931" s="48"/>
      <c r="D1931" s="46"/>
    </row>
    <row r="1932" spans="1:4" ht="15.75" thickBot="1" x14ac:dyDescent="0.3">
      <c r="A1932" s="32"/>
      <c r="B1932" s="33"/>
      <c r="C1932" s="32"/>
      <c r="D1932" s="34"/>
    </row>
    <row r="1933" spans="1:4" ht="15.75" thickBot="1" x14ac:dyDescent="0.3">
      <c r="A1933" s="58"/>
      <c r="B1933" s="58"/>
      <c r="C1933" s="58"/>
      <c r="D1933" s="35"/>
    </row>
    <row r="1934" spans="1:4" ht="15.75" x14ac:dyDescent="0.25">
      <c r="A1934" s="285"/>
      <c r="B1934" s="59"/>
      <c r="C1934" s="59"/>
      <c r="D1934" s="60"/>
    </row>
    <row r="1935" spans="1:4" ht="16.5" thickBot="1" x14ac:dyDescent="0.3">
      <c r="A1935" s="286"/>
      <c r="B1935" s="62"/>
      <c r="C1935" s="62"/>
      <c r="D1935" s="61"/>
    </row>
    <row r="1936" spans="1:4" ht="15.75" x14ac:dyDescent="0.25">
      <c r="A1936" s="285"/>
      <c r="B1936" s="59"/>
      <c r="C1936" s="59"/>
      <c r="D1936" s="60"/>
    </row>
    <row r="1937" spans="1:4" ht="16.5" thickBot="1" x14ac:dyDescent="0.3">
      <c r="A1937" s="286"/>
      <c r="B1937" s="62"/>
      <c r="C1937" s="62"/>
      <c r="D1937" s="61"/>
    </row>
    <row r="1938" spans="1:4" ht="16.5" thickBot="1" x14ac:dyDescent="0.3">
      <c r="A1938" s="57"/>
      <c r="B1938" s="36"/>
      <c r="C1938" s="36"/>
      <c r="D1938" s="36"/>
    </row>
    <row r="1939" spans="1:4" ht="15.75" thickBot="1" x14ac:dyDescent="0.3">
      <c r="A1939" s="287"/>
      <c r="B1939" s="288"/>
      <c r="C1939" s="288"/>
      <c r="D1939" s="289"/>
    </row>
    <row r="1940" spans="1:4" ht="18.75" x14ac:dyDescent="0.25">
      <c r="A1940" s="5"/>
      <c r="B1940" s="6"/>
      <c r="C1940" s="7"/>
      <c r="D1940" s="8"/>
    </row>
    <row r="1941" spans="1:4" ht="19.5" thickBot="1" x14ac:dyDescent="0.3">
      <c r="A1941" s="9"/>
      <c r="B1941" s="10"/>
      <c r="C1941" s="10"/>
      <c r="D1941" s="11"/>
    </row>
    <row r="1942" spans="1:4" ht="21.75" thickBot="1" x14ac:dyDescent="0.3">
      <c r="A1942" s="43"/>
      <c r="B1942" s="290"/>
      <c r="C1942" s="291"/>
      <c r="D1942" s="43"/>
    </row>
    <row r="1943" spans="1:4" ht="21.75" thickBot="1" x14ac:dyDescent="0.3">
      <c r="A1943" s="38"/>
      <c r="B1943" s="44"/>
      <c r="C1943" s="45"/>
      <c r="D1943" s="44"/>
    </row>
    <row r="1944" spans="1:4" ht="19.5" thickBot="1" x14ac:dyDescent="0.3">
      <c r="A1944" s="19"/>
      <c r="B1944" s="20"/>
      <c r="C1944" s="63"/>
      <c r="D1944" s="14"/>
    </row>
    <row r="1945" spans="1:4" ht="19.5" thickBot="1" x14ac:dyDescent="0.3">
      <c r="A1945" s="19"/>
      <c r="B1945" s="20"/>
      <c r="C1945" s="63"/>
      <c r="D1945" s="14"/>
    </row>
    <row r="1946" spans="1:4" ht="19.5" thickBot="1" x14ac:dyDescent="0.3">
      <c r="A1946" s="19"/>
      <c r="B1946" s="20"/>
      <c r="C1946" s="48"/>
      <c r="D1946" s="46"/>
    </row>
    <row r="1947" spans="1:4" ht="15.75" thickBot="1" x14ac:dyDescent="0.3">
      <c r="A1947" s="32"/>
      <c r="B1947" s="33"/>
      <c r="C1947" s="32"/>
      <c r="D1947" s="34"/>
    </row>
    <row r="1948" spans="1:4" ht="15.75" thickBot="1" x14ac:dyDescent="0.3">
      <c r="A1948" s="58"/>
      <c r="B1948" s="58"/>
      <c r="C1948" s="58"/>
      <c r="D1948" s="35"/>
    </row>
    <row r="1949" spans="1:4" ht="15.75" x14ac:dyDescent="0.25">
      <c r="A1949" s="285"/>
      <c r="B1949" s="59"/>
      <c r="C1949" s="59"/>
      <c r="D1949" s="60"/>
    </row>
    <row r="1950" spans="1:4" ht="16.5" thickBot="1" x14ac:dyDescent="0.3">
      <c r="A1950" s="286"/>
      <c r="B1950" s="62"/>
      <c r="C1950" s="62"/>
      <c r="D1950" s="61"/>
    </row>
    <row r="1951" spans="1:4" ht="15.75" x14ac:dyDescent="0.25">
      <c r="A1951" s="285"/>
      <c r="B1951" s="59"/>
      <c r="C1951" s="59"/>
      <c r="D1951" s="60"/>
    </row>
    <row r="1952" spans="1:4" ht="16.5" thickBot="1" x14ac:dyDescent="0.3">
      <c r="A1952" s="286"/>
      <c r="B1952" s="62"/>
      <c r="C1952" s="62"/>
      <c r="D1952" s="61"/>
    </row>
    <row r="1953" spans="1:4" ht="16.5" thickBot="1" x14ac:dyDescent="0.3">
      <c r="A1953" s="57"/>
      <c r="B1953" s="36"/>
      <c r="C1953" s="36"/>
      <c r="D1953" s="36"/>
    </row>
    <row r="1954" spans="1:4" ht="15.75" thickBot="1" x14ac:dyDescent="0.3">
      <c r="A1954" s="287"/>
      <c r="B1954" s="288"/>
      <c r="C1954" s="288"/>
      <c r="D1954" s="289"/>
    </row>
    <row r="1955" spans="1:4" ht="18.75" x14ac:dyDescent="0.25">
      <c r="A1955" s="5"/>
      <c r="B1955" s="6"/>
      <c r="C1955" s="7"/>
      <c r="D1955" s="8"/>
    </row>
    <row r="1956" spans="1:4" ht="19.5" thickBot="1" x14ac:dyDescent="0.3">
      <c r="A1956" s="9"/>
      <c r="B1956" s="10"/>
      <c r="C1956" s="10"/>
      <c r="D1956" s="11"/>
    </row>
    <row r="1957" spans="1:4" ht="21.75" thickBot="1" x14ac:dyDescent="0.3">
      <c r="A1957" s="43"/>
      <c r="B1957" s="290"/>
      <c r="C1957" s="291"/>
      <c r="D1957" s="43"/>
    </row>
    <row r="1958" spans="1:4" ht="21.75" thickBot="1" x14ac:dyDescent="0.3">
      <c r="A1958" s="38"/>
      <c r="B1958" s="44"/>
      <c r="C1958" s="45"/>
      <c r="D1958" s="44"/>
    </row>
    <row r="1959" spans="1:4" ht="19.5" thickBot="1" x14ac:dyDescent="0.3">
      <c r="A1959" s="19"/>
      <c r="B1959" s="20"/>
      <c r="C1959" s="63"/>
      <c r="D1959" s="14"/>
    </row>
    <row r="1960" spans="1:4" ht="19.5" thickBot="1" x14ac:dyDescent="0.3">
      <c r="A1960" s="19"/>
      <c r="B1960" s="20"/>
      <c r="C1960" s="48"/>
      <c r="D1960" s="46"/>
    </row>
    <row r="1961" spans="1:4" ht="15.75" thickBot="1" x14ac:dyDescent="0.3">
      <c r="A1961" s="32"/>
      <c r="B1961" s="33"/>
      <c r="C1961" s="32"/>
      <c r="D1961" s="34"/>
    </row>
    <row r="1962" spans="1:4" ht="15.75" thickBot="1" x14ac:dyDescent="0.3">
      <c r="A1962" s="58"/>
      <c r="B1962" s="58"/>
      <c r="C1962" s="58"/>
      <c r="D1962" s="35"/>
    </row>
    <row r="1963" spans="1:4" ht="15.75" x14ac:dyDescent="0.25">
      <c r="A1963" s="285"/>
      <c r="B1963" s="59"/>
      <c r="C1963" s="59"/>
      <c r="D1963" s="60"/>
    </row>
    <row r="1964" spans="1:4" ht="16.5" thickBot="1" x14ac:dyDescent="0.3">
      <c r="A1964" s="286"/>
      <c r="B1964" s="62"/>
      <c r="C1964" s="62"/>
      <c r="D1964" s="61"/>
    </row>
    <row r="1965" spans="1:4" ht="15.75" x14ac:dyDescent="0.25">
      <c r="A1965" s="285"/>
      <c r="B1965" s="59"/>
      <c r="C1965" s="59"/>
      <c r="D1965" s="60"/>
    </row>
    <row r="1966" spans="1:4" ht="16.5" thickBot="1" x14ac:dyDescent="0.3">
      <c r="A1966" s="286"/>
      <c r="B1966" s="62"/>
      <c r="C1966" s="62"/>
      <c r="D1966" s="61"/>
    </row>
    <row r="1967" spans="1:4" ht="16.5" thickBot="1" x14ac:dyDescent="0.3">
      <c r="A1967" s="57"/>
      <c r="B1967" s="36"/>
      <c r="C1967" s="36"/>
      <c r="D1967" s="36"/>
    </row>
    <row r="1968" spans="1:4" ht="15.75" thickBot="1" x14ac:dyDescent="0.3">
      <c r="A1968" s="287"/>
      <c r="B1968" s="288"/>
      <c r="C1968" s="288"/>
      <c r="D1968" s="289"/>
    </row>
    <row r="1969" spans="1:4" ht="18.75" x14ac:dyDescent="0.25">
      <c r="A1969" s="5"/>
      <c r="B1969" s="6"/>
      <c r="C1969" s="7"/>
      <c r="D1969" s="8"/>
    </row>
    <row r="1970" spans="1:4" ht="19.5" thickBot="1" x14ac:dyDescent="0.3">
      <c r="A1970" s="9"/>
      <c r="B1970" s="10"/>
      <c r="C1970" s="10"/>
      <c r="D1970" s="11"/>
    </row>
    <row r="1971" spans="1:4" ht="21.75" thickBot="1" x14ac:dyDescent="0.3">
      <c r="A1971" s="43"/>
      <c r="B1971" s="290"/>
      <c r="C1971" s="291"/>
      <c r="D1971" s="43"/>
    </row>
    <row r="1972" spans="1:4" ht="21.75" thickBot="1" x14ac:dyDescent="0.3">
      <c r="A1972" s="38"/>
      <c r="B1972" s="44"/>
      <c r="C1972" s="45"/>
      <c r="D1972" s="44"/>
    </row>
    <row r="1973" spans="1:4" ht="19.5" thickBot="1" x14ac:dyDescent="0.3">
      <c r="A1973" s="19"/>
      <c r="B1973" s="20"/>
      <c r="C1973" s="63"/>
      <c r="D1973" s="14"/>
    </row>
    <row r="1974" spans="1:4" ht="19.5" thickBot="1" x14ac:dyDescent="0.3">
      <c r="A1974" s="19"/>
      <c r="B1974" s="20"/>
      <c r="C1974" s="63"/>
      <c r="D1974" s="14"/>
    </row>
    <row r="1975" spans="1:4" ht="19.5" thickBot="1" x14ac:dyDescent="0.3">
      <c r="A1975" s="19"/>
      <c r="B1975" s="20"/>
      <c r="C1975" s="48"/>
      <c r="D1975" s="46"/>
    </row>
    <row r="1976" spans="1:4" ht="15.75" thickBot="1" x14ac:dyDescent="0.3">
      <c r="A1976" s="32"/>
      <c r="B1976" s="33"/>
      <c r="C1976" s="32"/>
      <c r="D1976" s="34"/>
    </row>
    <row r="1977" spans="1:4" ht="15.75" thickBot="1" x14ac:dyDescent="0.3">
      <c r="A1977" s="58"/>
      <c r="B1977" s="58"/>
      <c r="C1977" s="58"/>
      <c r="D1977" s="35"/>
    </row>
    <row r="1978" spans="1:4" ht="15.75" x14ac:dyDescent="0.25">
      <c r="A1978" s="285"/>
      <c r="B1978" s="59"/>
      <c r="C1978" s="59"/>
      <c r="D1978" s="60"/>
    </row>
    <row r="1979" spans="1:4" ht="16.5" thickBot="1" x14ac:dyDescent="0.3">
      <c r="A1979" s="286"/>
      <c r="B1979" s="62"/>
      <c r="C1979" s="62"/>
      <c r="D1979" s="61"/>
    </row>
    <row r="1980" spans="1:4" ht="15.75" x14ac:dyDescent="0.25">
      <c r="A1980" s="285"/>
      <c r="B1980" s="59"/>
      <c r="C1980" s="59"/>
      <c r="D1980" s="60"/>
    </row>
    <row r="1981" spans="1:4" ht="16.5" thickBot="1" x14ac:dyDescent="0.3">
      <c r="A1981" s="286"/>
      <c r="B1981" s="62"/>
      <c r="C1981" s="62"/>
      <c r="D1981" s="61"/>
    </row>
    <row r="1982" spans="1:4" ht="16.5" thickBot="1" x14ac:dyDescent="0.3">
      <c r="A1982" s="57"/>
      <c r="B1982" s="36"/>
      <c r="C1982" s="36"/>
      <c r="D1982" s="36"/>
    </row>
    <row r="1983" spans="1:4" ht="15.75" thickBot="1" x14ac:dyDescent="0.3">
      <c r="A1983" s="287"/>
      <c r="B1983" s="288"/>
      <c r="C1983" s="288"/>
      <c r="D1983" s="289"/>
    </row>
    <row r="1984" spans="1:4" ht="18.75" x14ac:dyDescent="0.25">
      <c r="A1984" s="5"/>
      <c r="B1984" s="6"/>
      <c r="C1984" s="7"/>
      <c r="D1984" s="8"/>
    </row>
    <row r="1985" spans="1:4" ht="19.5" thickBot="1" x14ac:dyDescent="0.3">
      <c r="A1985" s="9"/>
      <c r="B1985" s="10"/>
      <c r="C1985" s="10"/>
      <c r="D1985" s="11"/>
    </row>
    <row r="1986" spans="1:4" ht="21.75" thickBot="1" x14ac:dyDescent="0.3">
      <c r="A1986" s="43"/>
      <c r="B1986" s="290"/>
      <c r="C1986" s="291"/>
      <c r="D1986" s="43"/>
    </row>
    <row r="1987" spans="1:4" ht="21.75" thickBot="1" x14ac:dyDescent="0.3">
      <c r="A1987" s="38"/>
      <c r="B1987" s="44"/>
      <c r="C1987" s="45"/>
      <c r="D1987" s="44"/>
    </row>
    <row r="1988" spans="1:4" ht="19.5" thickBot="1" x14ac:dyDescent="0.3">
      <c r="A1988" s="19"/>
      <c r="B1988" s="20"/>
      <c r="C1988" s="63"/>
      <c r="D1988" s="14"/>
    </row>
    <row r="1989" spans="1:4" ht="19.5" thickBot="1" x14ac:dyDescent="0.3">
      <c r="A1989" s="19"/>
      <c r="B1989" s="20"/>
      <c r="C1989" s="48"/>
      <c r="D1989" s="46"/>
    </row>
    <row r="1990" spans="1:4" ht="15.75" thickBot="1" x14ac:dyDescent="0.3">
      <c r="A1990" s="32"/>
      <c r="B1990" s="33"/>
      <c r="C1990" s="32"/>
      <c r="D1990" s="34"/>
    </row>
    <row r="1991" spans="1:4" ht="15.75" thickBot="1" x14ac:dyDescent="0.3">
      <c r="A1991" s="58"/>
      <c r="B1991" s="58"/>
      <c r="C1991" s="58"/>
      <c r="D1991" s="35"/>
    </row>
    <row r="1992" spans="1:4" ht="15.75" x14ac:dyDescent="0.25">
      <c r="A1992" s="285"/>
      <c r="B1992" s="59"/>
      <c r="C1992" s="59"/>
      <c r="D1992" s="60"/>
    </row>
    <row r="1993" spans="1:4" ht="16.5" thickBot="1" x14ac:dyDescent="0.3">
      <c r="A1993" s="286"/>
      <c r="B1993" s="62"/>
      <c r="C1993" s="62"/>
      <c r="D1993" s="61"/>
    </row>
    <row r="1994" spans="1:4" ht="15.75" x14ac:dyDescent="0.25">
      <c r="A1994" s="285"/>
      <c r="B1994" s="59"/>
      <c r="C1994" s="59"/>
      <c r="D1994" s="60"/>
    </row>
    <row r="1995" spans="1:4" ht="16.5" thickBot="1" x14ac:dyDescent="0.3">
      <c r="A1995" s="286"/>
      <c r="B1995" s="62"/>
      <c r="C1995" s="62"/>
      <c r="D1995" s="61"/>
    </row>
    <row r="1996" spans="1:4" ht="16.5" thickBot="1" x14ac:dyDescent="0.3">
      <c r="A1996" s="57"/>
      <c r="B1996" s="36"/>
      <c r="C1996" s="36"/>
      <c r="D1996" s="36"/>
    </row>
    <row r="1997" spans="1:4" ht="15.75" thickBot="1" x14ac:dyDescent="0.3">
      <c r="A1997" s="287"/>
      <c r="B1997" s="288"/>
      <c r="C1997" s="288"/>
      <c r="D1997" s="289"/>
    </row>
    <row r="1998" spans="1:4" ht="18.75" x14ac:dyDescent="0.25">
      <c r="A1998" s="5"/>
      <c r="B1998" s="6"/>
      <c r="C1998" s="7"/>
      <c r="D1998" s="8"/>
    </row>
    <row r="1999" spans="1:4" ht="19.5" thickBot="1" x14ac:dyDescent="0.3">
      <c r="A1999" s="9"/>
      <c r="B1999" s="10"/>
      <c r="C1999" s="10"/>
      <c r="D1999" s="11"/>
    </row>
    <row r="2000" spans="1:4" ht="21.75" thickBot="1" x14ac:dyDescent="0.3">
      <c r="A2000" s="43"/>
      <c r="B2000" s="290"/>
      <c r="C2000" s="291"/>
      <c r="D2000" s="43"/>
    </row>
    <row r="2001" spans="1:4" ht="21.75" thickBot="1" x14ac:dyDescent="0.3">
      <c r="A2001" s="38"/>
      <c r="B2001" s="44"/>
      <c r="C2001" s="45"/>
      <c r="D2001" s="44"/>
    </row>
    <row r="2002" spans="1:4" ht="19.5" thickBot="1" x14ac:dyDescent="0.3">
      <c r="A2002" s="19"/>
      <c r="B2002" s="20"/>
      <c r="C2002" s="63"/>
      <c r="D2002" s="14"/>
    </row>
    <row r="2003" spans="1:4" ht="19.5" thickBot="1" x14ac:dyDescent="0.3">
      <c r="A2003" s="19"/>
      <c r="B2003" s="20"/>
      <c r="C2003" s="63"/>
      <c r="D2003" s="14"/>
    </row>
    <row r="2004" spans="1:4" ht="19.5" thickBot="1" x14ac:dyDescent="0.3">
      <c r="A2004" s="19"/>
      <c r="B2004" s="20"/>
      <c r="C2004" s="48"/>
      <c r="D2004" s="46"/>
    </row>
    <row r="2005" spans="1:4" ht="15.75" thickBot="1" x14ac:dyDescent="0.3">
      <c r="A2005" s="32"/>
      <c r="B2005" s="33"/>
      <c r="C2005" s="32"/>
      <c r="D2005" s="34"/>
    </row>
    <row r="2006" spans="1:4" ht="15.75" thickBot="1" x14ac:dyDescent="0.3">
      <c r="A2006" s="58"/>
      <c r="B2006" s="58"/>
      <c r="C2006" s="58"/>
      <c r="D2006" s="35"/>
    </row>
    <row r="2007" spans="1:4" ht="15.75" x14ac:dyDescent="0.25">
      <c r="A2007" s="285"/>
      <c r="B2007" s="59"/>
      <c r="C2007" s="59"/>
      <c r="D2007" s="60"/>
    </row>
    <row r="2008" spans="1:4" ht="16.5" thickBot="1" x14ac:dyDescent="0.3">
      <c r="A2008" s="286"/>
      <c r="B2008" s="62"/>
      <c r="C2008" s="62"/>
      <c r="D2008" s="61"/>
    </row>
    <row r="2009" spans="1:4" ht="15.75" x14ac:dyDescent="0.25">
      <c r="A2009" s="285"/>
      <c r="B2009" s="59"/>
      <c r="C2009" s="59"/>
      <c r="D2009" s="60"/>
    </row>
    <row r="2010" spans="1:4" ht="16.5" thickBot="1" x14ac:dyDescent="0.3">
      <c r="A2010" s="286"/>
      <c r="B2010" s="62"/>
      <c r="C2010" s="62"/>
      <c r="D2010" s="61"/>
    </row>
    <row r="2011" spans="1:4" ht="16.5" thickBot="1" x14ac:dyDescent="0.3">
      <c r="A2011" s="57"/>
      <c r="B2011" s="36"/>
      <c r="C2011" s="36"/>
      <c r="D2011" s="36"/>
    </row>
    <row r="2012" spans="1:4" ht="15.75" thickBot="1" x14ac:dyDescent="0.3">
      <c r="A2012" s="287"/>
      <c r="B2012" s="288"/>
      <c r="C2012" s="288"/>
      <c r="D2012" s="289"/>
    </row>
    <row r="2013" spans="1:4" ht="18.75" x14ac:dyDescent="0.25">
      <c r="A2013" s="5"/>
      <c r="B2013" s="6"/>
      <c r="C2013" s="7"/>
      <c r="D2013" s="8"/>
    </row>
    <row r="2014" spans="1:4" ht="19.5" thickBot="1" x14ac:dyDescent="0.3">
      <c r="A2014" s="9"/>
      <c r="B2014" s="10"/>
      <c r="C2014" s="10"/>
      <c r="D2014" s="11"/>
    </row>
    <row r="2015" spans="1:4" ht="21.75" thickBot="1" x14ac:dyDescent="0.3">
      <c r="A2015" s="43"/>
      <c r="B2015" s="290"/>
      <c r="C2015" s="291"/>
      <c r="D2015" s="43"/>
    </row>
    <row r="2016" spans="1:4" ht="21.75" thickBot="1" x14ac:dyDescent="0.3">
      <c r="A2016" s="38"/>
      <c r="B2016" s="44"/>
      <c r="C2016" s="45"/>
      <c r="D2016" s="44"/>
    </row>
    <row r="2017" spans="1:4" ht="19.5" thickBot="1" x14ac:dyDescent="0.3">
      <c r="A2017" s="19"/>
      <c r="B2017" s="20"/>
      <c r="C2017" s="63"/>
      <c r="D2017" s="14"/>
    </row>
    <row r="2018" spans="1:4" ht="19.5" thickBot="1" x14ac:dyDescent="0.3">
      <c r="A2018" s="19"/>
      <c r="B2018" s="20"/>
      <c r="C2018" s="48"/>
      <c r="D2018" s="46"/>
    </row>
    <row r="2019" spans="1:4" ht="15.75" thickBot="1" x14ac:dyDescent="0.3">
      <c r="A2019" s="32"/>
      <c r="B2019" s="33"/>
      <c r="C2019" s="32"/>
      <c r="D2019" s="34"/>
    </row>
    <row r="2020" spans="1:4" ht="15.75" thickBot="1" x14ac:dyDescent="0.3">
      <c r="A2020" s="58"/>
      <c r="B2020" s="58"/>
      <c r="C2020" s="58"/>
      <c r="D2020" s="35"/>
    </row>
    <row r="2021" spans="1:4" ht="15.75" x14ac:dyDescent="0.25">
      <c r="A2021" s="285"/>
      <c r="B2021" s="59"/>
      <c r="C2021" s="59"/>
      <c r="D2021" s="60"/>
    </row>
    <row r="2022" spans="1:4" ht="16.5" thickBot="1" x14ac:dyDescent="0.3">
      <c r="A2022" s="286"/>
      <c r="B2022" s="62"/>
      <c r="C2022" s="62"/>
      <c r="D2022" s="61"/>
    </row>
    <row r="2023" spans="1:4" ht="15.75" x14ac:dyDescent="0.25">
      <c r="A2023" s="285"/>
      <c r="B2023" s="59"/>
      <c r="C2023" s="59"/>
      <c r="D2023" s="60"/>
    </row>
    <row r="2024" spans="1:4" ht="16.5" thickBot="1" x14ac:dyDescent="0.3">
      <c r="A2024" s="286"/>
      <c r="B2024" s="62"/>
      <c r="C2024" s="62"/>
      <c r="D2024" s="61"/>
    </row>
    <row r="2025" spans="1:4" ht="16.5" thickBot="1" x14ac:dyDescent="0.3">
      <c r="A2025" s="57"/>
      <c r="B2025" s="36"/>
      <c r="C2025" s="36"/>
      <c r="D2025" s="36"/>
    </row>
    <row r="2026" spans="1:4" ht="15.75" thickBot="1" x14ac:dyDescent="0.3">
      <c r="A2026" s="287"/>
      <c r="B2026" s="288"/>
      <c r="C2026" s="288"/>
      <c r="D2026" s="289"/>
    </row>
    <row r="2027" spans="1:4" ht="18.75" x14ac:dyDescent="0.25">
      <c r="A2027" s="5"/>
      <c r="B2027" s="6"/>
      <c r="C2027" s="7"/>
      <c r="D2027" s="8"/>
    </row>
    <row r="2028" spans="1:4" ht="19.5" thickBot="1" x14ac:dyDescent="0.3">
      <c r="A2028" s="9"/>
      <c r="B2028" s="10"/>
      <c r="C2028" s="10"/>
      <c r="D2028" s="11"/>
    </row>
    <row r="2029" spans="1:4" ht="21.75" thickBot="1" x14ac:dyDescent="0.3">
      <c r="A2029" s="43"/>
      <c r="B2029" s="290"/>
      <c r="C2029" s="291"/>
      <c r="D2029" s="43"/>
    </row>
    <row r="2030" spans="1:4" ht="21.75" thickBot="1" x14ac:dyDescent="0.3">
      <c r="A2030" s="38"/>
      <c r="B2030" s="44"/>
      <c r="C2030" s="45"/>
      <c r="D2030" s="44"/>
    </row>
    <row r="2031" spans="1:4" ht="19.5" thickBot="1" x14ac:dyDescent="0.3">
      <c r="A2031" s="19"/>
      <c r="B2031" s="20"/>
      <c r="C2031" s="63"/>
      <c r="D2031" s="14"/>
    </row>
    <row r="2032" spans="1:4" ht="19.5" thickBot="1" x14ac:dyDescent="0.3">
      <c r="A2032" s="19"/>
      <c r="B2032" s="20"/>
      <c r="C2032" s="63"/>
      <c r="D2032" s="14"/>
    </row>
    <row r="2033" spans="1:4" ht="19.5" thickBot="1" x14ac:dyDescent="0.3">
      <c r="A2033" s="19"/>
      <c r="B2033" s="20"/>
      <c r="C2033" s="48"/>
      <c r="D2033" s="46"/>
    </row>
    <row r="2034" spans="1:4" ht="15.75" thickBot="1" x14ac:dyDescent="0.3">
      <c r="A2034" s="32"/>
      <c r="B2034" s="33"/>
      <c r="C2034" s="32"/>
      <c r="D2034" s="34"/>
    </row>
    <row r="2035" spans="1:4" ht="15.75" thickBot="1" x14ac:dyDescent="0.3">
      <c r="A2035" s="58"/>
      <c r="B2035" s="58"/>
      <c r="C2035" s="58"/>
      <c r="D2035" s="35"/>
    </row>
    <row r="2036" spans="1:4" ht="15.75" x14ac:dyDescent="0.25">
      <c r="A2036" s="285"/>
      <c r="B2036" s="59"/>
      <c r="C2036" s="59"/>
      <c r="D2036" s="60"/>
    </row>
    <row r="2037" spans="1:4" ht="16.5" thickBot="1" x14ac:dyDescent="0.3">
      <c r="A2037" s="286"/>
      <c r="B2037" s="62"/>
      <c r="C2037" s="62"/>
      <c r="D2037" s="61"/>
    </row>
    <row r="2038" spans="1:4" ht="15.75" x14ac:dyDescent="0.25">
      <c r="A2038" s="285"/>
      <c r="B2038" s="59"/>
      <c r="C2038" s="59"/>
      <c r="D2038" s="60"/>
    </row>
    <row r="2039" spans="1:4" ht="16.5" thickBot="1" x14ac:dyDescent="0.3">
      <c r="A2039" s="286"/>
      <c r="B2039" s="62"/>
      <c r="C2039" s="62"/>
      <c r="D2039" s="61"/>
    </row>
    <row r="2040" spans="1:4" ht="16.5" thickBot="1" x14ac:dyDescent="0.3">
      <c r="A2040" s="57"/>
      <c r="B2040" s="36"/>
      <c r="C2040" s="36"/>
      <c r="D2040" s="36"/>
    </row>
    <row r="2041" spans="1:4" ht="15.75" thickBot="1" x14ac:dyDescent="0.3">
      <c r="A2041" s="287"/>
      <c r="B2041" s="288"/>
      <c r="C2041" s="288"/>
      <c r="D2041" s="289"/>
    </row>
    <row r="2042" spans="1:4" ht="18.75" x14ac:dyDescent="0.25">
      <c r="A2042" s="5"/>
      <c r="B2042" s="6"/>
      <c r="C2042" s="7"/>
      <c r="D2042" s="8"/>
    </row>
    <row r="2043" spans="1:4" ht="19.5" thickBot="1" x14ac:dyDescent="0.3">
      <c r="A2043" s="9"/>
      <c r="B2043" s="10"/>
      <c r="C2043" s="10"/>
      <c r="D2043" s="11"/>
    </row>
    <row r="2044" spans="1:4" ht="21.75" thickBot="1" x14ac:dyDescent="0.3">
      <c r="A2044" s="43"/>
      <c r="B2044" s="290"/>
      <c r="C2044" s="291"/>
      <c r="D2044" s="43"/>
    </row>
    <row r="2045" spans="1:4" ht="21.75" thickBot="1" x14ac:dyDescent="0.3">
      <c r="A2045" s="38"/>
      <c r="B2045" s="44"/>
      <c r="C2045" s="45"/>
      <c r="D2045" s="44"/>
    </row>
    <row r="2046" spans="1:4" ht="19.5" thickBot="1" x14ac:dyDescent="0.3">
      <c r="A2046" s="19"/>
      <c r="B2046" s="20"/>
      <c r="C2046" s="63"/>
      <c r="D2046" s="14"/>
    </row>
    <row r="2047" spans="1:4" ht="19.5" thickBot="1" x14ac:dyDescent="0.3">
      <c r="A2047" s="19"/>
      <c r="B2047" s="20"/>
      <c r="C2047" s="48"/>
      <c r="D2047" s="46"/>
    </row>
    <row r="2048" spans="1:4" ht="15.75" thickBot="1" x14ac:dyDescent="0.3">
      <c r="A2048" s="32"/>
      <c r="B2048" s="33"/>
      <c r="C2048" s="32"/>
      <c r="D2048" s="34"/>
    </row>
    <row r="2049" spans="1:4" ht="15.75" thickBot="1" x14ac:dyDescent="0.3">
      <c r="A2049" s="58"/>
      <c r="B2049" s="58"/>
      <c r="C2049" s="58"/>
      <c r="D2049" s="35"/>
    </row>
    <row r="2050" spans="1:4" ht="15.75" x14ac:dyDescent="0.25">
      <c r="A2050" s="285"/>
      <c r="B2050" s="59"/>
      <c r="C2050" s="59"/>
      <c r="D2050" s="60"/>
    </row>
    <row r="2051" spans="1:4" ht="16.5" thickBot="1" x14ac:dyDescent="0.3">
      <c r="A2051" s="286"/>
      <c r="B2051" s="62"/>
      <c r="C2051" s="62"/>
      <c r="D2051" s="61"/>
    </row>
    <row r="2052" spans="1:4" ht="15.75" x14ac:dyDescent="0.25">
      <c r="A2052" s="285"/>
      <c r="B2052" s="59"/>
      <c r="C2052" s="59"/>
      <c r="D2052" s="60"/>
    </row>
    <row r="2053" spans="1:4" ht="16.5" thickBot="1" x14ac:dyDescent="0.3">
      <c r="A2053" s="286"/>
      <c r="B2053" s="62"/>
      <c r="C2053" s="62"/>
      <c r="D2053" s="61"/>
    </row>
    <row r="2054" spans="1:4" ht="16.5" thickBot="1" x14ac:dyDescent="0.3">
      <c r="A2054" s="57"/>
      <c r="B2054" s="36"/>
      <c r="C2054" s="36"/>
      <c r="D2054" s="36"/>
    </row>
    <row r="2055" spans="1:4" ht="15.75" thickBot="1" x14ac:dyDescent="0.3">
      <c r="A2055" s="287"/>
      <c r="B2055" s="288"/>
      <c r="C2055" s="288"/>
      <c r="D2055" s="289"/>
    </row>
    <row r="2056" spans="1:4" ht="18.75" x14ac:dyDescent="0.25">
      <c r="A2056" s="5"/>
      <c r="B2056" s="6"/>
      <c r="C2056" s="7"/>
      <c r="D2056" s="8"/>
    </row>
    <row r="2057" spans="1:4" ht="19.5" thickBot="1" x14ac:dyDescent="0.3">
      <c r="A2057" s="9"/>
      <c r="B2057" s="10"/>
      <c r="C2057" s="10"/>
      <c r="D2057" s="11"/>
    </row>
    <row r="2058" spans="1:4" ht="21.75" thickBot="1" x14ac:dyDescent="0.3">
      <c r="A2058" s="43"/>
      <c r="B2058" s="290"/>
      <c r="C2058" s="291"/>
      <c r="D2058" s="43"/>
    </row>
    <row r="2059" spans="1:4" ht="21.75" thickBot="1" x14ac:dyDescent="0.3">
      <c r="A2059" s="38"/>
      <c r="B2059" s="44"/>
      <c r="C2059" s="45"/>
      <c r="D2059" s="44"/>
    </row>
    <row r="2060" spans="1:4" ht="19.5" thickBot="1" x14ac:dyDescent="0.3">
      <c r="A2060" s="19"/>
      <c r="B2060" s="20"/>
      <c r="C2060" s="63"/>
      <c r="D2060" s="14"/>
    </row>
    <row r="2061" spans="1:4" ht="19.5" thickBot="1" x14ac:dyDescent="0.3">
      <c r="A2061" s="19"/>
      <c r="B2061" s="20"/>
      <c r="C2061" s="63"/>
      <c r="D2061" s="14"/>
    </row>
    <row r="2062" spans="1:4" ht="19.5" thickBot="1" x14ac:dyDescent="0.3">
      <c r="A2062" s="19"/>
      <c r="B2062" s="20"/>
      <c r="C2062" s="48"/>
      <c r="D2062" s="46"/>
    </row>
    <row r="2063" spans="1:4" ht="15.75" thickBot="1" x14ac:dyDescent="0.3">
      <c r="A2063" s="32"/>
      <c r="B2063" s="33"/>
      <c r="C2063" s="32"/>
      <c r="D2063" s="34"/>
    </row>
    <row r="2064" spans="1:4" ht="15.75" thickBot="1" x14ac:dyDescent="0.3">
      <c r="A2064" s="58"/>
      <c r="B2064" s="58"/>
      <c r="C2064" s="58"/>
      <c r="D2064" s="35"/>
    </row>
    <row r="2065" spans="1:4" ht="15.75" x14ac:dyDescent="0.25">
      <c r="A2065" s="285"/>
      <c r="B2065" s="59"/>
      <c r="C2065" s="59"/>
      <c r="D2065" s="60"/>
    </row>
    <row r="2066" spans="1:4" ht="16.5" thickBot="1" x14ac:dyDescent="0.3">
      <c r="A2066" s="286"/>
      <c r="B2066" s="62"/>
      <c r="C2066" s="62"/>
      <c r="D2066" s="61"/>
    </row>
    <row r="2067" spans="1:4" ht="15.75" x14ac:dyDescent="0.25">
      <c r="A2067" s="285"/>
      <c r="B2067" s="59"/>
      <c r="C2067" s="59"/>
      <c r="D2067" s="60"/>
    </row>
    <row r="2068" spans="1:4" ht="16.5" thickBot="1" x14ac:dyDescent="0.3">
      <c r="A2068" s="286"/>
      <c r="B2068" s="62"/>
      <c r="C2068" s="62"/>
      <c r="D2068" s="61"/>
    </row>
    <row r="2069" spans="1:4" ht="16.5" thickBot="1" x14ac:dyDescent="0.3">
      <c r="A2069" s="57"/>
      <c r="B2069" s="36"/>
      <c r="C2069" s="36"/>
      <c r="D2069" s="36"/>
    </row>
    <row r="2070" spans="1:4" ht="15.75" thickBot="1" x14ac:dyDescent="0.3">
      <c r="A2070" s="287"/>
      <c r="B2070" s="288"/>
      <c r="C2070" s="288"/>
      <c r="D2070" s="289"/>
    </row>
    <row r="2071" spans="1:4" ht="18.75" x14ac:dyDescent="0.25">
      <c r="A2071" s="5"/>
      <c r="B2071" s="6"/>
      <c r="C2071" s="7"/>
      <c r="D2071" s="8"/>
    </row>
    <row r="2072" spans="1:4" ht="19.5" thickBot="1" x14ac:dyDescent="0.3">
      <c r="A2072" s="9"/>
      <c r="B2072" s="10"/>
      <c r="C2072" s="10"/>
      <c r="D2072" s="11"/>
    </row>
    <row r="2073" spans="1:4" ht="21.75" thickBot="1" x14ac:dyDescent="0.3">
      <c r="A2073" s="43"/>
      <c r="B2073" s="290"/>
      <c r="C2073" s="291"/>
      <c r="D2073" s="43"/>
    </row>
    <row r="2074" spans="1:4" ht="21.75" thickBot="1" x14ac:dyDescent="0.3">
      <c r="A2074" s="38"/>
      <c r="B2074" s="44"/>
      <c r="C2074" s="45"/>
      <c r="D2074" s="44"/>
    </row>
    <row r="2075" spans="1:4" ht="19.5" thickBot="1" x14ac:dyDescent="0.3">
      <c r="A2075" s="19"/>
      <c r="B2075" s="20"/>
      <c r="C2075" s="63"/>
      <c r="D2075" s="14"/>
    </row>
    <row r="2076" spans="1:4" ht="19.5" thickBot="1" x14ac:dyDescent="0.3">
      <c r="A2076" s="19"/>
      <c r="B2076" s="20"/>
      <c r="C2076" s="48"/>
      <c r="D2076" s="46"/>
    </row>
    <row r="2077" spans="1:4" ht="15.75" thickBot="1" x14ac:dyDescent="0.3">
      <c r="A2077" s="32"/>
      <c r="B2077" s="33"/>
      <c r="C2077" s="32"/>
      <c r="D2077" s="34"/>
    </row>
    <row r="2078" spans="1:4" ht="15.75" thickBot="1" x14ac:dyDescent="0.3">
      <c r="A2078" s="58"/>
      <c r="B2078" s="58"/>
      <c r="C2078" s="58"/>
      <c r="D2078" s="35"/>
    </row>
    <row r="2079" spans="1:4" ht="15.75" x14ac:dyDescent="0.25">
      <c r="A2079" s="285"/>
      <c r="B2079" s="59"/>
      <c r="C2079" s="59"/>
      <c r="D2079" s="60"/>
    </row>
    <row r="2080" spans="1:4" ht="16.5" thickBot="1" x14ac:dyDescent="0.3">
      <c r="A2080" s="286"/>
      <c r="B2080" s="62"/>
      <c r="C2080" s="62"/>
      <c r="D2080" s="61"/>
    </row>
    <row r="2081" spans="1:4" ht="15.75" x14ac:dyDescent="0.25">
      <c r="A2081" s="285"/>
      <c r="B2081" s="59"/>
      <c r="C2081" s="59"/>
      <c r="D2081" s="60"/>
    </row>
    <row r="2082" spans="1:4" ht="16.5" thickBot="1" x14ac:dyDescent="0.3">
      <c r="A2082" s="286"/>
      <c r="B2082" s="62"/>
      <c r="C2082" s="62"/>
      <c r="D2082" s="61"/>
    </row>
    <row r="2083" spans="1:4" ht="16.5" thickBot="1" x14ac:dyDescent="0.3">
      <c r="A2083" s="57"/>
      <c r="B2083" s="36"/>
      <c r="C2083" s="36"/>
      <c r="D2083" s="36"/>
    </row>
    <row r="2084" spans="1:4" ht="15.75" thickBot="1" x14ac:dyDescent="0.3">
      <c r="A2084" s="287"/>
      <c r="B2084" s="288"/>
      <c r="C2084" s="288"/>
      <c r="D2084" s="289"/>
    </row>
    <row r="2085" spans="1:4" ht="18.75" x14ac:dyDescent="0.25">
      <c r="A2085" s="5"/>
      <c r="B2085" s="6"/>
      <c r="C2085" s="7"/>
      <c r="D2085" s="8"/>
    </row>
    <row r="2086" spans="1:4" ht="19.5" thickBot="1" x14ac:dyDescent="0.3">
      <c r="A2086" s="9"/>
      <c r="B2086" s="10"/>
      <c r="C2086" s="10"/>
      <c r="D2086" s="11"/>
    </row>
    <row r="2087" spans="1:4" ht="21.75" thickBot="1" x14ac:dyDescent="0.3">
      <c r="A2087" s="43"/>
      <c r="B2087" s="290"/>
      <c r="C2087" s="291"/>
      <c r="D2087" s="43"/>
    </row>
    <row r="2088" spans="1:4" ht="21.75" thickBot="1" x14ac:dyDescent="0.3">
      <c r="A2088" s="38"/>
      <c r="B2088" s="44"/>
      <c r="C2088" s="45"/>
      <c r="D2088" s="44"/>
    </row>
    <row r="2089" spans="1:4" ht="19.5" thickBot="1" x14ac:dyDescent="0.3">
      <c r="A2089" s="19"/>
      <c r="B2089" s="20"/>
      <c r="C2089" s="63"/>
      <c r="D2089" s="14"/>
    </row>
    <row r="2090" spans="1:4" ht="19.5" thickBot="1" x14ac:dyDescent="0.3">
      <c r="A2090" s="19"/>
      <c r="B2090" s="20"/>
      <c r="C2090" s="63"/>
      <c r="D2090" s="14"/>
    </row>
    <row r="2091" spans="1:4" ht="19.5" thickBot="1" x14ac:dyDescent="0.3">
      <c r="A2091" s="19"/>
      <c r="B2091" s="20"/>
      <c r="C2091" s="48"/>
      <c r="D2091" s="46"/>
    </row>
    <row r="2092" spans="1:4" ht="15.75" thickBot="1" x14ac:dyDescent="0.3">
      <c r="A2092" s="32"/>
      <c r="B2092" s="33"/>
      <c r="C2092" s="32"/>
      <c r="D2092" s="34"/>
    </row>
    <row r="2093" spans="1:4" ht="15.75" thickBot="1" x14ac:dyDescent="0.3">
      <c r="A2093" s="58"/>
      <c r="B2093" s="58"/>
      <c r="C2093" s="58"/>
      <c r="D2093" s="35"/>
    </row>
    <row r="2094" spans="1:4" ht="15.75" x14ac:dyDescent="0.25">
      <c r="A2094" s="285"/>
      <c r="B2094" s="59"/>
      <c r="C2094" s="59"/>
      <c r="D2094" s="60"/>
    </row>
    <row r="2095" spans="1:4" ht="16.5" thickBot="1" x14ac:dyDescent="0.3">
      <c r="A2095" s="286"/>
      <c r="B2095" s="62"/>
      <c r="C2095" s="62"/>
      <c r="D2095" s="61"/>
    </row>
    <row r="2096" spans="1:4" ht="15.75" x14ac:dyDescent="0.25">
      <c r="A2096" s="285"/>
      <c r="B2096" s="59"/>
      <c r="C2096" s="59"/>
      <c r="D2096" s="60"/>
    </row>
    <row r="2097" spans="1:4" ht="16.5" thickBot="1" x14ac:dyDescent="0.3">
      <c r="A2097" s="286"/>
      <c r="B2097" s="62"/>
      <c r="C2097" s="62"/>
      <c r="D2097" s="61"/>
    </row>
    <row r="2098" spans="1:4" ht="16.5" thickBot="1" x14ac:dyDescent="0.3">
      <c r="A2098" s="57"/>
      <c r="B2098" s="36"/>
      <c r="C2098" s="36"/>
      <c r="D2098" s="36"/>
    </row>
    <row r="2099" spans="1:4" ht="15.75" thickBot="1" x14ac:dyDescent="0.3">
      <c r="A2099" s="287"/>
      <c r="B2099" s="288"/>
      <c r="C2099" s="288"/>
      <c r="D2099" s="289"/>
    </row>
    <row r="2100" spans="1:4" ht="18.75" x14ac:dyDescent="0.25">
      <c r="A2100" s="5"/>
      <c r="B2100" s="6"/>
      <c r="C2100" s="7"/>
      <c r="D2100" s="8"/>
    </row>
    <row r="2101" spans="1:4" ht="19.5" thickBot="1" x14ac:dyDescent="0.3">
      <c r="A2101" s="9"/>
      <c r="B2101" s="10"/>
      <c r="C2101" s="10"/>
      <c r="D2101" s="11"/>
    </row>
    <row r="2102" spans="1:4" ht="21.75" thickBot="1" x14ac:dyDescent="0.3">
      <c r="A2102" s="43"/>
      <c r="B2102" s="290"/>
      <c r="C2102" s="291"/>
      <c r="D2102" s="43"/>
    </row>
    <row r="2103" spans="1:4" ht="21.75" thickBot="1" x14ac:dyDescent="0.3">
      <c r="A2103" s="38"/>
      <c r="B2103" s="44"/>
      <c r="C2103" s="45"/>
      <c r="D2103" s="44"/>
    </row>
    <row r="2104" spans="1:4" ht="19.5" thickBot="1" x14ac:dyDescent="0.3">
      <c r="A2104" s="19"/>
      <c r="B2104" s="20"/>
      <c r="C2104" s="63"/>
      <c r="D2104" s="14"/>
    </row>
    <row r="2105" spans="1:4" ht="19.5" thickBot="1" x14ac:dyDescent="0.3">
      <c r="A2105" s="19"/>
      <c r="B2105" s="20"/>
      <c r="C2105" s="48"/>
      <c r="D2105" s="46"/>
    </row>
    <row r="2106" spans="1:4" ht="15.75" thickBot="1" x14ac:dyDescent="0.3">
      <c r="A2106" s="32"/>
      <c r="B2106" s="33"/>
      <c r="C2106" s="32"/>
      <c r="D2106" s="34"/>
    </row>
    <row r="2107" spans="1:4" ht="15.75" thickBot="1" x14ac:dyDescent="0.3">
      <c r="A2107" s="58"/>
      <c r="B2107" s="58"/>
      <c r="C2107" s="58"/>
      <c r="D2107" s="35"/>
    </row>
    <row r="2108" spans="1:4" ht="15.75" x14ac:dyDescent="0.25">
      <c r="A2108" s="285"/>
      <c r="B2108" s="59"/>
      <c r="C2108" s="59"/>
      <c r="D2108" s="60"/>
    </row>
    <row r="2109" spans="1:4" ht="16.5" thickBot="1" x14ac:dyDescent="0.3">
      <c r="A2109" s="286"/>
      <c r="B2109" s="62"/>
      <c r="C2109" s="62"/>
      <c r="D2109" s="61"/>
    </row>
    <row r="2110" spans="1:4" ht="15.75" x14ac:dyDescent="0.25">
      <c r="A2110" s="285"/>
      <c r="B2110" s="59"/>
      <c r="C2110" s="59"/>
      <c r="D2110" s="60"/>
    </row>
    <row r="2111" spans="1:4" ht="16.5" thickBot="1" x14ac:dyDescent="0.3">
      <c r="A2111" s="286"/>
      <c r="B2111" s="62"/>
      <c r="C2111" s="62"/>
      <c r="D2111" s="61"/>
    </row>
    <row r="2112" spans="1:4" ht="16.5" thickBot="1" x14ac:dyDescent="0.3">
      <c r="A2112" s="57"/>
      <c r="B2112" s="36"/>
      <c r="C2112" s="36"/>
      <c r="D2112" s="36"/>
    </row>
    <row r="2113" spans="1:4" ht="15.75" thickBot="1" x14ac:dyDescent="0.3">
      <c r="A2113" s="287"/>
      <c r="B2113" s="288"/>
      <c r="C2113" s="288"/>
      <c r="D2113" s="289"/>
    </row>
    <row r="2114" spans="1:4" ht="18.75" x14ac:dyDescent="0.25">
      <c r="A2114" s="5"/>
      <c r="B2114" s="6"/>
      <c r="C2114" s="7"/>
      <c r="D2114" s="8"/>
    </row>
    <row r="2115" spans="1:4" ht="19.5" thickBot="1" x14ac:dyDescent="0.3">
      <c r="A2115" s="9"/>
      <c r="B2115" s="10"/>
      <c r="C2115" s="10"/>
      <c r="D2115" s="11"/>
    </row>
    <row r="2116" spans="1:4" ht="21.75" thickBot="1" x14ac:dyDescent="0.3">
      <c r="A2116" s="43"/>
      <c r="B2116" s="290"/>
      <c r="C2116" s="291"/>
      <c r="D2116" s="43"/>
    </row>
    <row r="2117" spans="1:4" ht="21.75" thickBot="1" x14ac:dyDescent="0.3">
      <c r="A2117" s="38"/>
      <c r="B2117" s="44"/>
      <c r="C2117" s="45"/>
      <c r="D2117" s="44"/>
    </row>
    <row r="2118" spans="1:4" ht="19.5" thickBot="1" x14ac:dyDescent="0.3">
      <c r="A2118" s="19"/>
      <c r="B2118" s="20"/>
      <c r="C2118" s="63"/>
      <c r="D2118" s="14"/>
    </row>
    <row r="2119" spans="1:4" ht="19.5" thickBot="1" x14ac:dyDescent="0.3">
      <c r="A2119" s="19"/>
      <c r="B2119" s="20"/>
      <c r="C2119" s="63"/>
      <c r="D2119" s="14"/>
    </row>
    <row r="2120" spans="1:4" ht="19.5" thickBot="1" x14ac:dyDescent="0.3">
      <c r="A2120" s="19"/>
      <c r="B2120" s="20"/>
      <c r="C2120" s="48"/>
      <c r="D2120" s="46"/>
    </row>
    <row r="2121" spans="1:4" ht="15.75" thickBot="1" x14ac:dyDescent="0.3">
      <c r="A2121" s="32"/>
      <c r="B2121" s="33"/>
      <c r="C2121" s="32"/>
      <c r="D2121" s="34"/>
    </row>
    <row r="2122" spans="1:4" ht="15.75" thickBot="1" x14ac:dyDescent="0.3">
      <c r="A2122" s="58"/>
      <c r="B2122" s="58"/>
      <c r="C2122" s="58"/>
      <c r="D2122" s="35"/>
    </row>
    <row r="2123" spans="1:4" ht="15.75" x14ac:dyDescent="0.25">
      <c r="A2123" s="285"/>
      <c r="B2123" s="59"/>
      <c r="C2123" s="59"/>
      <c r="D2123" s="60"/>
    </row>
    <row r="2124" spans="1:4" ht="16.5" thickBot="1" x14ac:dyDescent="0.3">
      <c r="A2124" s="286"/>
      <c r="B2124" s="62"/>
      <c r="C2124" s="62"/>
      <c r="D2124" s="61"/>
    </row>
    <row r="2125" spans="1:4" ht="15.75" x14ac:dyDescent="0.25">
      <c r="A2125" s="285"/>
      <c r="B2125" s="59"/>
      <c r="C2125" s="59"/>
      <c r="D2125" s="60"/>
    </row>
    <row r="2126" spans="1:4" ht="16.5" thickBot="1" x14ac:dyDescent="0.3">
      <c r="A2126" s="286"/>
      <c r="B2126" s="62"/>
      <c r="C2126" s="62"/>
      <c r="D2126" s="61"/>
    </row>
    <row r="2127" spans="1:4" ht="16.5" thickBot="1" x14ac:dyDescent="0.3">
      <c r="A2127" s="57"/>
      <c r="B2127" s="36"/>
      <c r="C2127" s="36"/>
      <c r="D2127" s="36"/>
    </row>
    <row r="2128" spans="1:4" ht="15.75" thickBot="1" x14ac:dyDescent="0.3">
      <c r="A2128" s="287"/>
      <c r="B2128" s="288"/>
      <c r="C2128" s="288"/>
      <c r="D2128" s="289"/>
    </row>
    <row r="2129" spans="1:4" ht="18.75" x14ac:dyDescent="0.25">
      <c r="A2129" s="5"/>
      <c r="B2129" s="6"/>
      <c r="C2129" s="7"/>
      <c r="D2129" s="8"/>
    </row>
    <row r="2130" spans="1:4" ht="19.5" thickBot="1" x14ac:dyDescent="0.3">
      <c r="A2130" s="9"/>
      <c r="B2130" s="10"/>
      <c r="C2130" s="10"/>
      <c r="D2130" s="11"/>
    </row>
    <row r="2131" spans="1:4" ht="21.75" thickBot="1" x14ac:dyDescent="0.3">
      <c r="A2131" s="43"/>
      <c r="B2131" s="290"/>
      <c r="C2131" s="291"/>
      <c r="D2131" s="43"/>
    </row>
    <row r="2132" spans="1:4" ht="21.75" thickBot="1" x14ac:dyDescent="0.3">
      <c r="A2132" s="38"/>
      <c r="B2132" s="44"/>
      <c r="C2132" s="45"/>
      <c r="D2132" s="44"/>
    </row>
    <row r="2133" spans="1:4" ht="19.5" thickBot="1" x14ac:dyDescent="0.3">
      <c r="A2133" s="19"/>
      <c r="B2133" s="20"/>
      <c r="C2133" s="63"/>
      <c r="D2133" s="14"/>
    </row>
    <row r="2134" spans="1:4" ht="19.5" thickBot="1" x14ac:dyDescent="0.3">
      <c r="A2134" s="19"/>
      <c r="B2134" s="20"/>
      <c r="C2134" s="48"/>
      <c r="D2134" s="46"/>
    </row>
    <row r="2135" spans="1:4" ht="15.75" thickBot="1" x14ac:dyDescent="0.3">
      <c r="A2135" s="32"/>
      <c r="B2135" s="33"/>
      <c r="C2135" s="32"/>
      <c r="D2135" s="34"/>
    </row>
    <row r="2136" spans="1:4" ht="15.75" thickBot="1" x14ac:dyDescent="0.3">
      <c r="A2136" s="58"/>
      <c r="B2136" s="58"/>
      <c r="C2136" s="58"/>
      <c r="D2136" s="35"/>
    </row>
    <row r="2137" spans="1:4" ht="15.75" x14ac:dyDescent="0.25">
      <c r="A2137" s="285"/>
      <c r="B2137" s="59"/>
      <c r="C2137" s="59"/>
      <c r="D2137" s="60"/>
    </row>
    <row r="2138" spans="1:4" ht="16.5" thickBot="1" x14ac:dyDescent="0.3">
      <c r="A2138" s="286"/>
      <c r="B2138" s="62"/>
      <c r="C2138" s="62"/>
      <c r="D2138" s="61"/>
    </row>
    <row r="2139" spans="1:4" ht="15.75" x14ac:dyDescent="0.25">
      <c r="A2139" s="285"/>
      <c r="B2139" s="59"/>
      <c r="C2139" s="59"/>
      <c r="D2139" s="60"/>
    </row>
    <row r="2140" spans="1:4" ht="16.5" thickBot="1" x14ac:dyDescent="0.3">
      <c r="A2140" s="286"/>
      <c r="B2140" s="62"/>
      <c r="C2140" s="62"/>
      <c r="D2140" s="61"/>
    </row>
    <row r="2141" spans="1:4" ht="16.5" thickBot="1" x14ac:dyDescent="0.3">
      <c r="A2141" s="57"/>
      <c r="B2141" s="36"/>
      <c r="C2141" s="36"/>
      <c r="D2141" s="36"/>
    </row>
    <row r="2142" spans="1:4" ht="15.75" thickBot="1" x14ac:dyDescent="0.3">
      <c r="A2142" s="287"/>
      <c r="B2142" s="288"/>
      <c r="C2142" s="288"/>
      <c r="D2142" s="289"/>
    </row>
    <row r="2143" spans="1:4" ht="18.75" x14ac:dyDescent="0.25">
      <c r="A2143" s="5"/>
      <c r="B2143" s="6"/>
      <c r="C2143" s="7"/>
      <c r="D2143" s="8"/>
    </row>
    <row r="2144" spans="1:4" ht="19.5" thickBot="1" x14ac:dyDescent="0.3">
      <c r="A2144" s="9"/>
      <c r="B2144" s="10"/>
      <c r="C2144" s="10"/>
      <c r="D2144" s="11"/>
    </row>
    <row r="2145" spans="1:4" ht="21.75" thickBot="1" x14ac:dyDescent="0.3">
      <c r="A2145" s="43"/>
      <c r="B2145" s="290"/>
      <c r="C2145" s="291"/>
      <c r="D2145" s="43"/>
    </row>
    <row r="2146" spans="1:4" ht="21.75" thickBot="1" x14ac:dyDescent="0.3">
      <c r="A2146" s="38"/>
      <c r="B2146" s="44"/>
      <c r="C2146" s="45"/>
      <c r="D2146" s="44"/>
    </row>
    <row r="2147" spans="1:4" ht="19.5" thickBot="1" x14ac:dyDescent="0.3">
      <c r="A2147" s="19"/>
      <c r="B2147" s="20"/>
      <c r="C2147" s="63"/>
      <c r="D2147" s="14"/>
    </row>
    <row r="2148" spans="1:4" ht="19.5" thickBot="1" x14ac:dyDescent="0.3">
      <c r="A2148" s="19"/>
      <c r="B2148" s="20"/>
      <c r="C2148" s="63"/>
      <c r="D2148" s="14"/>
    </row>
    <row r="2149" spans="1:4" ht="19.5" thickBot="1" x14ac:dyDescent="0.3">
      <c r="A2149" s="19"/>
      <c r="B2149" s="20"/>
      <c r="C2149" s="48"/>
      <c r="D2149" s="46"/>
    </row>
    <row r="2150" spans="1:4" ht="15.75" thickBot="1" x14ac:dyDescent="0.3">
      <c r="A2150" s="32"/>
      <c r="B2150" s="33"/>
      <c r="C2150" s="32"/>
      <c r="D2150" s="34"/>
    </row>
    <row r="2151" spans="1:4" ht="15.75" thickBot="1" x14ac:dyDescent="0.3">
      <c r="A2151" s="58"/>
      <c r="B2151" s="58"/>
      <c r="C2151" s="58"/>
      <c r="D2151" s="35"/>
    </row>
    <row r="2152" spans="1:4" ht="15.75" x14ac:dyDescent="0.25">
      <c r="A2152" s="285"/>
      <c r="B2152" s="59"/>
      <c r="C2152" s="59"/>
      <c r="D2152" s="60"/>
    </row>
    <row r="2153" spans="1:4" ht="16.5" thickBot="1" x14ac:dyDescent="0.3">
      <c r="A2153" s="286"/>
      <c r="B2153" s="62"/>
      <c r="C2153" s="62"/>
      <c r="D2153" s="61"/>
    </row>
    <row r="2154" spans="1:4" ht="15.75" x14ac:dyDescent="0.25">
      <c r="A2154" s="285"/>
      <c r="B2154" s="59"/>
      <c r="C2154" s="59"/>
      <c r="D2154" s="60"/>
    </row>
    <row r="2155" spans="1:4" ht="16.5" thickBot="1" x14ac:dyDescent="0.3">
      <c r="A2155" s="286"/>
      <c r="B2155" s="62"/>
      <c r="C2155" s="62"/>
      <c r="D2155" s="61"/>
    </row>
    <row r="2156" spans="1:4" ht="16.5" thickBot="1" x14ac:dyDescent="0.3">
      <c r="A2156" s="57"/>
      <c r="B2156" s="36"/>
      <c r="C2156" s="36"/>
      <c r="D2156" s="36"/>
    </row>
    <row r="2157" spans="1:4" ht="15.75" thickBot="1" x14ac:dyDescent="0.3">
      <c r="A2157" s="287"/>
      <c r="B2157" s="288"/>
      <c r="C2157" s="288"/>
      <c r="D2157" s="289"/>
    </row>
    <row r="2158" spans="1:4" ht="18.75" x14ac:dyDescent="0.25">
      <c r="A2158" s="5"/>
      <c r="B2158" s="6"/>
      <c r="C2158" s="7"/>
      <c r="D2158" s="8"/>
    </row>
    <row r="2159" spans="1:4" ht="19.5" thickBot="1" x14ac:dyDescent="0.3">
      <c r="A2159" s="9"/>
      <c r="B2159" s="10"/>
      <c r="C2159" s="10"/>
      <c r="D2159" s="11"/>
    </row>
    <row r="2160" spans="1:4" ht="21.75" thickBot="1" x14ac:dyDescent="0.3">
      <c r="A2160" s="43"/>
      <c r="B2160" s="290"/>
      <c r="C2160" s="291"/>
      <c r="D2160" s="43"/>
    </row>
    <row r="2161" spans="1:4" ht="21.75" thickBot="1" x14ac:dyDescent="0.3">
      <c r="A2161" s="38"/>
      <c r="B2161" s="44"/>
      <c r="C2161" s="45"/>
      <c r="D2161" s="44"/>
    </row>
    <row r="2162" spans="1:4" ht="19.5" thickBot="1" x14ac:dyDescent="0.3">
      <c r="A2162" s="19"/>
      <c r="B2162" s="20"/>
      <c r="C2162" s="63"/>
      <c r="D2162" s="14"/>
    </row>
    <row r="2163" spans="1:4" ht="19.5" thickBot="1" x14ac:dyDescent="0.3">
      <c r="A2163" s="19"/>
      <c r="B2163" s="20"/>
      <c r="C2163" s="48"/>
      <c r="D2163" s="46"/>
    </row>
    <row r="2164" spans="1:4" ht="15.75" thickBot="1" x14ac:dyDescent="0.3">
      <c r="A2164" s="32"/>
      <c r="B2164" s="33"/>
      <c r="C2164" s="32"/>
      <c r="D2164" s="34"/>
    </row>
    <row r="2165" spans="1:4" ht="15.75" thickBot="1" x14ac:dyDescent="0.3">
      <c r="A2165" s="58"/>
      <c r="B2165" s="58"/>
      <c r="C2165" s="58"/>
      <c r="D2165" s="35"/>
    </row>
    <row r="2166" spans="1:4" ht="15.75" x14ac:dyDescent="0.25">
      <c r="A2166" s="285"/>
      <c r="B2166" s="59"/>
      <c r="C2166" s="59"/>
      <c r="D2166" s="60"/>
    </row>
    <row r="2167" spans="1:4" ht="16.5" thickBot="1" x14ac:dyDescent="0.3">
      <c r="A2167" s="286"/>
      <c r="B2167" s="62"/>
      <c r="C2167" s="62"/>
      <c r="D2167" s="61"/>
    </row>
    <row r="2168" spans="1:4" ht="15.75" x14ac:dyDescent="0.25">
      <c r="A2168" s="285"/>
      <c r="B2168" s="59"/>
      <c r="C2168" s="59"/>
      <c r="D2168" s="60"/>
    </row>
    <row r="2169" spans="1:4" ht="16.5" thickBot="1" x14ac:dyDescent="0.3">
      <c r="A2169" s="286"/>
      <c r="B2169" s="62"/>
      <c r="C2169" s="62"/>
      <c r="D2169" s="61"/>
    </row>
    <row r="2170" spans="1:4" ht="16.5" thickBot="1" x14ac:dyDescent="0.3">
      <c r="A2170" s="57"/>
      <c r="B2170" s="36"/>
      <c r="C2170" s="36"/>
      <c r="D2170" s="36"/>
    </row>
    <row r="2171" spans="1:4" ht="15.75" thickBot="1" x14ac:dyDescent="0.3">
      <c r="A2171" s="287"/>
      <c r="B2171" s="288"/>
      <c r="C2171" s="288"/>
      <c r="D2171" s="289"/>
    </row>
    <row r="2172" spans="1:4" ht="18.75" x14ac:dyDescent="0.25">
      <c r="A2172" s="5"/>
      <c r="B2172" s="6"/>
      <c r="C2172" s="7"/>
      <c r="D2172" s="8"/>
    </row>
    <row r="2173" spans="1:4" ht="19.5" thickBot="1" x14ac:dyDescent="0.3">
      <c r="A2173" s="9"/>
      <c r="B2173" s="10"/>
      <c r="C2173" s="10"/>
      <c r="D2173" s="11"/>
    </row>
    <row r="2174" spans="1:4" ht="21.75" thickBot="1" x14ac:dyDescent="0.3">
      <c r="A2174" s="43"/>
      <c r="B2174" s="290"/>
      <c r="C2174" s="291"/>
      <c r="D2174" s="43"/>
    </row>
    <row r="2175" spans="1:4" ht="21.75" thickBot="1" x14ac:dyDescent="0.3">
      <c r="A2175" s="38"/>
      <c r="B2175" s="44"/>
      <c r="C2175" s="45"/>
      <c r="D2175" s="44"/>
    </row>
    <row r="2176" spans="1:4" ht="19.5" thickBot="1" x14ac:dyDescent="0.3">
      <c r="A2176" s="19"/>
      <c r="B2176" s="20"/>
      <c r="C2176" s="63"/>
      <c r="D2176" s="14"/>
    </row>
    <row r="2177" spans="1:4" ht="19.5" thickBot="1" x14ac:dyDescent="0.3">
      <c r="A2177" s="19"/>
      <c r="B2177" s="20"/>
      <c r="C2177" s="63"/>
      <c r="D2177" s="14"/>
    </row>
    <row r="2178" spans="1:4" ht="19.5" thickBot="1" x14ac:dyDescent="0.3">
      <c r="A2178" s="19"/>
      <c r="B2178" s="20"/>
      <c r="C2178" s="48"/>
      <c r="D2178" s="46"/>
    </row>
    <row r="2179" spans="1:4" ht="15.75" thickBot="1" x14ac:dyDescent="0.3">
      <c r="A2179" s="32"/>
      <c r="B2179" s="33"/>
      <c r="C2179" s="32"/>
      <c r="D2179" s="34"/>
    </row>
    <row r="2180" spans="1:4" ht="15.75" thickBot="1" x14ac:dyDescent="0.3">
      <c r="A2180" s="58"/>
      <c r="B2180" s="58"/>
      <c r="C2180" s="58"/>
      <c r="D2180" s="35"/>
    </row>
    <row r="2181" spans="1:4" ht="15.75" x14ac:dyDescent="0.25">
      <c r="A2181" s="285"/>
      <c r="B2181" s="59"/>
      <c r="C2181" s="59"/>
      <c r="D2181" s="60"/>
    </row>
    <row r="2182" spans="1:4" ht="16.5" thickBot="1" x14ac:dyDescent="0.3">
      <c r="A2182" s="286"/>
      <c r="B2182" s="62"/>
      <c r="C2182" s="62"/>
      <c r="D2182" s="61"/>
    </row>
    <row r="2183" spans="1:4" ht="15.75" x14ac:dyDescent="0.25">
      <c r="A2183" s="285"/>
      <c r="B2183" s="59"/>
      <c r="C2183" s="59"/>
      <c r="D2183" s="60"/>
    </row>
    <row r="2184" spans="1:4" ht="16.5" thickBot="1" x14ac:dyDescent="0.3">
      <c r="A2184" s="286"/>
      <c r="B2184" s="62"/>
      <c r="C2184" s="62"/>
      <c r="D2184" s="61"/>
    </row>
    <row r="2185" spans="1:4" ht="16.5" thickBot="1" x14ac:dyDescent="0.3">
      <c r="A2185" s="57"/>
      <c r="B2185" s="36"/>
      <c r="C2185" s="36"/>
      <c r="D2185" s="36"/>
    </row>
    <row r="2186" spans="1:4" ht="15.75" thickBot="1" x14ac:dyDescent="0.3">
      <c r="A2186" s="287"/>
      <c r="B2186" s="288"/>
      <c r="C2186" s="288"/>
      <c r="D2186" s="289"/>
    </row>
    <row r="2187" spans="1:4" ht="18.75" x14ac:dyDescent="0.25">
      <c r="A2187" s="5"/>
      <c r="B2187" s="6"/>
      <c r="C2187" s="7"/>
      <c r="D2187" s="8"/>
    </row>
    <row r="2188" spans="1:4" ht="19.5" thickBot="1" x14ac:dyDescent="0.3">
      <c r="A2188" s="9"/>
      <c r="B2188" s="10"/>
      <c r="C2188" s="10"/>
      <c r="D2188" s="11"/>
    </row>
    <row r="2189" spans="1:4" ht="21.75" thickBot="1" x14ac:dyDescent="0.3">
      <c r="A2189" s="43"/>
      <c r="B2189" s="290"/>
      <c r="C2189" s="291"/>
      <c r="D2189" s="43"/>
    </row>
    <row r="2190" spans="1:4" ht="21.75" thickBot="1" x14ac:dyDescent="0.3">
      <c r="A2190" s="38"/>
      <c r="B2190" s="44"/>
      <c r="C2190" s="45"/>
      <c r="D2190" s="44"/>
    </row>
    <row r="2191" spans="1:4" ht="19.5" thickBot="1" x14ac:dyDescent="0.3">
      <c r="A2191" s="19"/>
      <c r="B2191" s="20"/>
      <c r="C2191" s="63"/>
      <c r="D2191" s="14"/>
    </row>
    <row r="2192" spans="1:4" ht="19.5" thickBot="1" x14ac:dyDescent="0.3">
      <c r="A2192" s="19"/>
      <c r="B2192" s="20"/>
      <c r="C2192" s="48"/>
      <c r="D2192" s="46"/>
    </row>
    <row r="2193" spans="1:4" ht="15.75" thickBot="1" x14ac:dyDescent="0.3">
      <c r="A2193" s="32"/>
      <c r="B2193" s="33"/>
      <c r="C2193" s="32"/>
      <c r="D2193" s="34"/>
    </row>
    <row r="2194" spans="1:4" ht="15.75" thickBot="1" x14ac:dyDescent="0.3">
      <c r="A2194" s="58"/>
      <c r="B2194" s="58"/>
      <c r="C2194" s="58"/>
      <c r="D2194" s="35"/>
    </row>
    <row r="2195" spans="1:4" ht="15.75" x14ac:dyDescent="0.25">
      <c r="A2195" s="285"/>
      <c r="B2195" s="59"/>
      <c r="C2195" s="59"/>
      <c r="D2195" s="60"/>
    </row>
    <row r="2196" spans="1:4" ht="16.5" thickBot="1" x14ac:dyDescent="0.3">
      <c r="A2196" s="286"/>
      <c r="B2196" s="62"/>
      <c r="C2196" s="62"/>
      <c r="D2196" s="61"/>
    </row>
    <row r="2197" spans="1:4" ht="15.75" x14ac:dyDescent="0.25">
      <c r="A2197" s="285"/>
      <c r="B2197" s="59"/>
      <c r="C2197" s="59"/>
      <c r="D2197" s="60"/>
    </row>
    <row r="2198" spans="1:4" ht="16.5" thickBot="1" x14ac:dyDescent="0.3">
      <c r="A2198" s="286"/>
      <c r="B2198" s="62"/>
      <c r="C2198" s="62"/>
      <c r="D2198" s="61"/>
    </row>
    <row r="2199" spans="1:4" ht="16.5" thickBot="1" x14ac:dyDescent="0.3">
      <c r="A2199" s="57"/>
      <c r="B2199" s="36"/>
      <c r="C2199" s="36"/>
      <c r="D2199" s="36"/>
    </row>
    <row r="2200" spans="1:4" ht="15.75" thickBot="1" x14ac:dyDescent="0.3">
      <c r="A2200" s="287"/>
      <c r="B2200" s="288"/>
      <c r="C2200" s="288"/>
      <c r="D2200" s="289"/>
    </row>
    <row r="2201" spans="1:4" ht="18.75" x14ac:dyDescent="0.25">
      <c r="A2201" s="5"/>
      <c r="B2201" s="6"/>
      <c r="C2201" s="7"/>
      <c r="D2201" s="8"/>
    </row>
    <row r="2202" spans="1:4" ht="19.5" thickBot="1" x14ac:dyDescent="0.3">
      <c r="A2202" s="9"/>
      <c r="B2202" s="10"/>
      <c r="C2202" s="10"/>
      <c r="D2202" s="11"/>
    </row>
    <row r="2203" spans="1:4" ht="21.75" thickBot="1" x14ac:dyDescent="0.3">
      <c r="A2203" s="43"/>
      <c r="B2203" s="290"/>
      <c r="C2203" s="291"/>
      <c r="D2203" s="43"/>
    </row>
    <row r="2204" spans="1:4" ht="21.75" thickBot="1" x14ac:dyDescent="0.3">
      <c r="A2204" s="38"/>
      <c r="B2204" s="44"/>
      <c r="C2204" s="45"/>
      <c r="D2204" s="44"/>
    </row>
    <row r="2205" spans="1:4" ht="19.5" thickBot="1" x14ac:dyDescent="0.3">
      <c r="A2205" s="19"/>
      <c r="B2205" s="20"/>
      <c r="C2205" s="63"/>
      <c r="D2205" s="14"/>
    </row>
    <row r="2206" spans="1:4" ht="19.5" thickBot="1" x14ac:dyDescent="0.3">
      <c r="A2206" s="19"/>
      <c r="B2206" s="20"/>
      <c r="C2206" s="63"/>
      <c r="D2206" s="14"/>
    </row>
    <row r="2207" spans="1:4" ht="19.5" thickBot="1" x14ac:dyDescent="0.3">
      <c r="A2207" s="19"/>
      <c r="B2207" s="20"/>
      <c r="C2207" s="48"/>
      <c r="D2207" s="46"/>
    </row>
    <row r="2208" spans="1:4" ht="15.75" thickBot="1" x14ac:dyDescent="0.3">
      <c r="A2208" s="32"/>
      <c r="B2208" s="33"/>
      <c r="C2208" s="32"/>
      <c r="D2208" s="34"/>
    </row>
    <row r="2209" spans="1:4" ht="15.75" thickBot="1" x14ac:dyDescent="0.3">
      <c r="A2209" s="58"/>
      <c r="B2209" s="58"/>
      <c r="C2209" s="58"/>
      <c r="D2209" s="35"/>
    </row>
    <row r="2210" spans="1:4" ht="15.75" x14ac:dyDescent="0.25">
      <c r="A2210" s="285"/>
      <c r="B2210" s="59"/>
      <c r="C2210" s="59"/>
      <c r="D2210" s="60"/>
    </row>
    <row r="2211" spans="1:4" ht="16.5" thickBot="1" x14ac:dyDescent="0.3">
      <c r="A2211" s="286"/>
      <c r="B2211" s="62"/>
      <c r="C2211" s="62"/>
      <c r="D2211" s="61"/>
    </row>
    <row r="2212" spans="1:4" ht="15.75" x14ac:dyDescent="0.25">
      <c r="A2212" s="285"/>
      <c r="B2212" s="59"/>
      <c r="C2212" s="59"/>
      <c r="D2212" s="60"/>
    </row>
    <row r="2213" spans="1:4" ht="16.5" thickBot="1" x14ac:dyDescent="0.3">
      <c r="A2213" s="286"/>
      <c r="B2213" s="62"/>
      <c r="C2213" s="62"/>
      <c r="D2213" s="61"/>
    </row>
    <row r="2214" spans="1:4" ht="16.5" thickBot="1" x14ac:dyDescent="0.3">
      <c r="A2214" s="57"/>
      <c r="B2214" s="36"/>
      <c r="C2214" s="36"/>
      <c r="D2214" s="36"/>
    </row>
    <row r="2215" spans="1:4" ht="15.75" thickBot="1" x14ac:dyDescent="0.3">
      <c r="A2215" s="287"/>
      <c r="B2215" s="288"/>
      <c r="C2215" s="288"/>
      <c r="D2215" s="289"/>
    </row>
    <row r="2216" spans="1:4" ht="18.75" x14ac:dyDescent="0.25">
      <c r="A2216" s="5"/>
      <c r="B2216" s="6"/>
      <c r="C2216" s="7"/>
      <c r="D2216" s="8"/>
    </row>
    <row r="2217" spans="1:4" ht="19.5" thickBot="1" x14ac:dyDescent="0.3">
      <c r="A2217" s="9"/>
      <c r="B2217" s="10"/>
      <c r="C2217" s="10"/>
      <c r="D2217" s="11"/>
    </row>
    <row r="2218" spans="1:4" ht="21.75" thickBot="1" x14ac:dyDescent="0.3">
      <c r="A2218" s="43"/>
      <c r="B2218" s="290"/>
      <c r="C2218" s="291"/>
      <c r="D2218" s="43"/>
    </row>
    <row r="2219" spans="1:4" ht="21.75" thickBot="1" x14ac:dyDescent="0.3">
      <c r="A2219" s="38"/>
      <c r="B2219" s="44"/>
      <c r="C2219" s="45"/>
      <c r="D2219" s="44"/>
    </row>
    <row r="2220" spans="1:4" ht="19.5" thickBot="1" x14ac:dyDescent="0.3">
      <c r="A2220" s="19"/>
      <c r="B2220" s="20"/>
      <c r="C2220" s="63"/>
      <c r="D2220" s="14"/>
    </row>
    <row r="2221" spans="1:4" ht="19.5" thickBot="1" x14ac:dyDescent="0.3">
      <c r="A2221" s="19"/>
      <c r="B2221" s="20"/>
      <c r="C2221" s="48"/>
      <c r="D2221" s="46"/>
    </row>
    <row r="2222" spans="1:4" ht="15.75" thickBot="1" x14ac:dyDescent="0.3">
      <c r="A2222" s="32"/>
      <c r="B2222" s="33"/>
      <c r="C2222" s="32"/>
      <c r="D2222" s="34"/>
    </row>
    <row r="2223" spans="1:4" ht="15.75" thickBot="1" x14ac:dyDescent="0.3">
      <c r="A2223" s="58"/>
      <c r="B2223" s="58"/>
      <c r="C2223" s="58"/>
      <c r="D2223" s="35"/>
    </row>
    <row r="2224" spans="1:4" ht="15.75" x14ac:dyDescent="0.25">
      <c r="A2224" s="285"/>
      <c r="B2224" s="59"/>
      <c r="C2224" s="59"/>
      <c r="D2224" s="60"/>
    </row>
    <row r="2225" spans="1:4" ht="16.5" thickBot="1" x14ac:dyDescent="0.3">
      <c r="A2225" s="286"/>
      <c r="B2225" s="62"/>
      <c r="C2225" s="62"/>
      <c r="D2225" s="61"/>
    </row>
    <row r="2226" spans="1:4" ht="15.75" x14ac:dyDescent="0.25">
      <c r="A2226" s="285"/>
      <c r="B2226" s="59"/>
      <c r="C2226" s="59"/>
      <c r="D2226" s="60"/>
    </row>
    <row r="2227" spans="1:4" ht="16.5" thickBot="1" x14ac:dyDescent="0.3">
      <c r="A2227" s="286"/>
      <c r="B2227" s="62"/>
      <c r="C2227" s="62"/>
      <c r="D2227" s="61"/>
    </row>
    <row r="2228" spans="1:4" ht="16.5" thickBot="1" x14ac:dyDescent="0.3">
      <c r="A2228" s="57"/>
      <c r="B2228" s="36"/>
      <c r="C2228" s="36"/>
      <c r="D2228" s="36"/>
    </row>
    <row r="2229" spans="1:4" ht="15.75" thickBot="1" x14ac:dyDescent="0.3">
      <c r="A2229" s="287"/>
      <c r="B2229" s="288"/>
      <c r="C2229" s="288"/>
      <c r="D2229" s="289"/>
    </row>
    <row r="2230" spans="1:4" ht="18.75" x14ac:dyDescent="0.25">
      <c r="A2230" s="5"/>
      <c r="B2230" s="6"/>
      <c r="C2230" s="7"/>
      <c r="D2230" s="8"/>
    </row>
    <row r="2231" spans="1:4" ht="19.5" thickBot="1" x14ac:dyDescent="0.3">
      <c r="A2231" s="9"/>
      <c r="B2231" s="10"/>
      <c r="C2231" s="10"/>
      <c r="D2231" s="11"/>
    </row>
    <row r="2232" spans="1:4" ht="21.75" thickBot="1" x14ac:dyDescent="0.3">
      <c r="A2232" s="43"/>
      <c r="B2232" s="290"/>
      <c r="C2232" s="291"/>
      <c r="D2232" s="43"/>
    </row>
    <row r="2233" spans="1:4" ht="21.75" thickBot="1" x14ac:dyDescent="0.3">
      <c r="A2233" s="38"/>
      <c r="B2233" s="44"/>
      <c r="C2233" s="45"/>
      <c r="D2233" s="44"/>
    </row>
    <row r="2234" spans="1:4" ht="19.5" thickBot="1" x14ac:dyDescent="0.3">
      <c r="A2234" s="19"/>
      <c r="B2234" s="20"/>
      <c r="C2234" s="63"/>
      <c r="D2234" s="14"/>
    </row>
    <row r="2235" spans="1:4" ht="19.5" thickBot="1" x14ac:dyDescent="0.3">
      <c r="A2235" s="19"/>
      <c r="B2235" s="20"/>
      <c r="C2235" s="63"/>
      <c r="D2235" s="14"/>
    </row>
    <row r="2236" spans="1:4" ht="19.5" thickBot="1" x14ac:dyDescent="0.3">
      <c r="A2236" s="19"/>
      <c r="B2236" s="20"/>
      <c r="C2236" s="48"/>
      <c r="D2236" s="46"/>
    </row>
    <row r="2237" spans="1:4" ht="15.75" thickBot="1" x14ac:dyDescent="0.3">
      <c r="A2237" s="32"/>
      <c r="B2237" s="33"/>
      <c r="C2237" s="32"/>
      <c r="D2237" s="34"/>
    </row>
    <row r="2238" spans="1:4" ht="15.75" thickBot="1" x14ac:dyDescent="0.3">
      <c r="A2238" s="58"/>
      <c r="B2238" s="58"/>
      <c r="C2238" s="58"/>
      <c r="D2238" s="35"/>
    </row>
    <row r="2239" spans="1:4" ht="15.75" x14ac:dyDescent="0.25">
      <c r="A2239" s="285"/>
      <c r="B2239" s="59"/>
      <c r="C2239" s="59"/>
      <c r="D2239" s="60"/>
    </row>
    <row r="2240" spans="1:4" ht="16.5" thickBot="1" x14ac:dyDescent="0.3">
      <c r="A2240" s="286"/>
      <c r="B2240" s="62"/>
      <c r="C2240" s="62"/>
      <c r="D2240" s="61"/>
    </row>
    <row r="2241" spans="1:4" ht="15.75" x14ac:dyDescent="0.25">
      <c r="A2241" s="285"/>
      <c r="B2241" s="59"/>
      <c r="C2241" s="59"/>
      <c r="D2241" s="60"/>
    </row>
    <row r="2242" spans="1:4" ht="16.5" thickBot="1" x14ac:dyDescent="0.3">
      <c r="A2242" s="286"/>
      <c r="B2242" s="62"/>
      <c r="C2242" s="62"/>
      <c r="D2242" s="61"/>
    </row>
    <row r="2243" spans="1:4" ht="16.5" thickBot="1" x14ac:dyDescent="0.3">
      <c r="A2243" s="57"/>
      <c r="B2243" s="36"/>
      <c r="C2243" s="36"/>
      <c r="D2243" s="36"/>
    </row>
    <row r="2244" spans="1:4" ht="15.75" thickBot="1" x14ac:dyDescent="0.3">
      <c r="A2244" s="287"/>
      <c r="B2244" s="288"/>
      <c r="C2244" s="288"/>
      <c r="D2244" s="289"/>
    </row>
    <row r="2245" spans="1:4" ht="18.75" x14ac:dyDescent="0.25">
      <c r="A2245" s="5"/>
      <c r="B2245" s="6"/>
      <c r="C2245" s="7"/>
      <c r="D2245" s="8"/>
    </row>
    <row r="2246" spans="1:4" ht="19.5" thickBot="1" x14ac:dyDescent="0.3">
      <c r="A2246" s="9"/>
      <c r="B2246" s="10"/>
      <c r="C2246" s="10"/>
      <c r="D2246" s="11"/>
    </row>
    <row r="2247" spans="1:4" ht="21.75" thickBot="1" x14ac:dyDescent="0.3">
      <c r="A2247" s="43"/>
      <c r="B2247" s="290"/>
      <c r="C2247" s="291"/>
      <c r="D2247" s="43"/>
    </row>
    <row r="2248" spans="1:4" ht="21.75" thickBot="1" x14ac:dyDescent="0.3">
      <c r="A2248" s="38"/>
      <c r="B2248" s="44"/>
      <c r="C2248" s="45"/>
      <c r="D2248" s="44"/>
    </row>
    <row r="2249" spans="1:4" ht="19.5" thickBot="1" x14ac:dyDescent="0.3">
      <c r="A2249" s="19"/>
      <c r="B2249" s="20"/>
      <c r="C2249" s="63"/>
      <c r="D2249" s="14"/>
    </row>
    <row r="2250" spans="1:4" ht="19.5" thickBot="1" x14ac:dyDescent="0.3">
      <c r="A2250" s="19"/>
      <c r="B2250" s="20"/>
      <c r="C2250" s="48"/>
      <c r="D2250" s="46"/>
    </row>
    <row r="2251" spans="1:4" ht="15.75" thickBot="1" x14ac:dyDescent="0.3">
      <c r="A2251" s="32"/>
      <c r="B2251" s="33"/>
      <c r="C2251" s="32"/>
      <c r="D2251" s="34"/>
    </row>
    <row r="2252" spans="1:4" ht="15.75" thickBot="1" x14ac:dyDescent="0.3">
      <c r="A2252" s="58"/>
      <c r="B2252" s="58"/>
      <c r="C2252" s="58"/>
      <c r="D2252" s="35"/>
    </row>
    <row r="2253" spans="1:4" ht="15.75" x14ac:dyDescent="0.25">
      <c r="A2253" s="285"/>
      <c r="B2253" s="59"/>
      <c r="C2253" s="59"/>
      <c r="D2253" s="60"/>
    </row>
    <row r="2254" spans="1:4" ht="16.5" thickBot="1" x14ac:dyDescent="0.3">
      <c r="A2254" s="286"/>
      <c r="B2254" s="62"/>
      <c r="C2254" s="62"/>
      <c r="D2254" s="61"/>
    </row>
    <row r="2255" spans="1:4" ht="15.75" x14ac:dyDescent="0.25">
      <c r="A2255" s="285"/>
      <c r="B2255" s="59"/>
      <c r="C2255" s="59"/>
      <c r="D2255" s="60"/>
    </row>
    <row r="2256" spans="1:4" ht="16.5" thickBot="1" x14ac:dyDescent="0.3">
      <c r="A2256" s="286"/>
      <c r="B2256" s="62"/>
      <c r="C2256" s="62"/>
      <c r="D2256" s="61"/>
    </row>
    <row r="2257" spans="1:4" ht="16.5" thickBot="1" x14ac:dyDescent="0.3">
      <c r="A2257" s="57"/>
      <c r="B2257" s="36"/>
      <c r="C2257" s="36"/>
      <c r="D2257" s="36"/>
    </row>
    <row r="2258" spans="1:4" ht="15.75" thickBot="1" x14ac:dyDescent="0.3">
      <c r="A2258" s="287"/>
      <c r="B2258" s="288"/>
      <c r="C2258" s="288"/>
      <c r="D2258" s="289"/>
    </row>
    <row r="2259" spans="1:4" ht="18.75" x14ac:dyDescent="0.25">
      <c r="A2259" s="5"/>
      <c r="B2259" s="6"/>
      <c r="C2259" s="7"/>
      <c r="D2259" s="8"/>
    </row>
    <row r="2260" spans="1:4" ht="19.5" thickBot="1" x14ac:dyDescent="0.3">
      <c r="A2260" s="9"/>
      <c r="B2260" s="10"/>
      <c r="C2260" s="10"/>
      <c r="D2260" s="11"/>
    </row>
    <row r="2261" spans="1:4" ht="21.75" thickBot="1" x14ac:dyDescent="0.3">
      <c r="A2261" s="43"/>
      <c r="B2261" s="290"/>
      <c r="C2261" s="291"/>
      <c r="D2261" s="43"/>
    </row>
    <row r="2262" spans="1:4" ht="21.75" thickBot="1" x14ac:dyDescent="0.3">
      <c r="A2262" s="38"/>
      <c r="B2262" s="44"/>
      <c r="C2262" s="45"/>
      <c r="D2262" s="44"/>
    </row>
    <row r="2263" spans="1:4" ht="19.5" thickBot="1" x14ac:dyDescent="0.3">
      <c r="A2263" s="19"/>
      <c r="B2263" s="20"/>
      <c r="C2263" s="63"/>
      <c r="D2263" s="14"/>
    </row>
    <row r="2264" spans="1:4" ht="19.5" thickBot="1" x14ac:dyDescent="0.3">
      <c r="A2264" s="19"/>
      <c r="B2264" s="20"/>
      <c r="C2264" s="63"/>
      <c r="D2264" s="14"/>
    </row>
    <row r="2265" spans="1:4" ht="19.5" thickBot="1" x14ac:dyDescent="0.3">
      <c r="A2265" s="19"/>
      <c r="B2265" s="20"/>
      <c r="C2265" s="48"/>
      <c r="D2265" s="46"/>
    </row>
    <row r="2266" spans="1:4" ht="15.75" thickBot="1" x14ac:dyDescent="0.3">
      <c r="A2266" s="32"/>
      <c r="B2266" s="33"/>
      <c r="C2266" s="32"/>
      <c r="D2266" s="34"/>
    </row>
    <row r="2267" spans="1:4" ht="15.75" thickBot="1" x14ac:dyDescent="0.3">
      <c r="A2267" s="58"/>
      <c r="B2267" s="58"/>
      <c r="C2267" s="58"/>
      <c r="D2267" s="35"/>
    </row>
    <row r="2268" spans="1:4" ht="15.75" x14ac:dyDescent="0.25">
      <c r="A2268" s="285"/>
      <c r="B2268" s="59"/>
      <c r="C2268" s="59"/>
      <c r="D2268" s="60"/>
    </row>
    <row r="2269" spans="1:4" ht="16.5" thickBot="1" x14ac:dyDescent="0.3">
      <c r="A2269" s="286"/>
      <c r="B2269" s="62"/>
      <c r="C2269" s="62"/>
      <c r="D2269" s="61"/>
    </row>
    <row r="2270" spans="1:4" ht="15.75" x14ac:dyDescent="0.25">
      <c r="A2270" s="285"/>
      <c r="B2270" s="59"/>
      <c r="C2270" s="59"/>
      <c r="D2270" s="60"/>
    </row>
    <row r="2271" spans="1:4" ht="16.5" thickBot="1" x14ac:dyDescent="0.3">
      <c r="A2271" s="286"/>
      <c r="B2271" s="62"/>
      <c r="C2271" s="62"/>
      <c r="D2271" s="61"/>
    </row>
    <row r="2272" spans="1:4" ht="16.5" thickBot="1" x14ac:dyDescent="0.3">
      <c r="A2272" s="57"/>
      <c r="B2272" s="36"/>
      <c r="C2272" s="36"/>
      <c r="D2272" s="36"/>
    </row>
    <row r="2273" spans="1:4" ht="15.75" thickBot="1" x14ac:dyDescent="0.3">
      <c r="A2273" s="287"/>
      <c r="B2273" s="288"/>
      <c r="C2273" s="288"/>
      <c r="D2273" s="289"/>
    </row>
    <row r="2274" spans="1:4" ht="18.75" x14ac:dyDescent="0.25">
      <c r="A2274" s="5"/>
      <c r="B2274" s="6"/>
      <c r="C2274" s="7"/>
      <c r="D2274" s="8"/>
    </row>
    <row r="2275" spans="1:4" ht="19.5" thickBot="1" x14ac:dyDescent="0.3">
      <c r="A2275" s="9"/>
      <c r="B2275" s="10"/>
      <c r="C2275" s="10"/>
      <c r="D2275" s="11"/>
    </row>
    <row r="2276" spans="1:4" ht="21.75" thickBot="1" x14ac:dyDescent="0.3">
      <c r="A2276" s="43"/>
      <c r="B2276" s="290"/>
      <c r="C2276" s="291"/>
      <c r="D2276" s="43"/>
    </row>
    <row r="2277" spans="1:4" ht="21.75" thickBot="1" x14ac:dyDescent="0.3">
      <c r="A2277" s="38"/>
      <c r="B2277" s="44"/>
      <c r="C2277" s="45"/>
      <c r="D2277" s="44"/>
    </row>
    <row r="2278" spans="1:4" ht="19.5" thickBot="1" x14ac:dyDescent="0.3">
      <c r="A2278" s="19"/>
      <c r="B2278" s="20"/>
      <c r="C2278" s="63"/>
      <c r="D2278" s="14"/>
    </row>
    <row r="2279" spans="1:4" ht="19.5" thickBot="1" x14ac:dyDescent="0.3">
      <c r="A2279" s="19"/>
      <c r="B2279" s="20"/>
      <c r="C2279" s="48"/>
      <c r="D2279" s="46"/>
    </row>
    <row r="2280" spans="1:4" ht="15.75" thickBot="1" x14ac:dyDescent="0.3">
      <c r="A2280" s="32"/>
      <c r="B2280" s="33"/>
      <c r="C2280" s="32"/>
      <c r="D2280" s="34"/>
    </row>
    <row r="2281" spans="1:4" ht="15.75" thickBot="1" x14ac:dyDescent="0.3">
      <c r="A2281" s="58"/>
      <c r="B2281" s="58"/>
      <c r="C2281" s="58"/>
      <c r="D2281" s="35"/>
    </row>
    <row r="2282" spans="1:4" ht="15.75" x14ac:dyDescent="0.25">
      <c r="A2282" s="285"/>
      <c r="B2282" s="59"/>
      <c r="C2282" s="59"/>
      <c r="D2282" s="60"/>
    </row>
    <row r="2283" spans="1:4" ht="16.5" thickBot="1" x14ac:dyDescent="0.3">
      <c r="A2283" s="286"/>
      <c r="B2283" s="62"/>
      <c r="C2283" s="62"/>
      <c r="D2283" s="61"/>
    </row>
    <row r="2284" spans="1:4" ht="15.75" x14ac:dyDescent="0.25">
      <c r="A2284" s="285"/>
      <c r="B2284" s="59"/>
      <c r="C2284" s="59"/>
      <c r="D2284" s="60"/>
    </row>
    <row r="2285" spans="1:4" ht="16.5" thickBot="1" x14ac:dyDescent="0.3">
      <c r="A2285" s="286"/>
      <c r="B2285" s="62"/>
      <c r="C2285" s="62"/>
      <c r="D2285" s="61"/>
    </row>
    <row r="2286" spans="1:4" ht="16.5" thickBot="1" x14ac:dyDescent="0.3">
      <c r="A2286" s="57"/>
      <c r="B2286" s="36"/>
      <c r="C2286" s="36"/>
      <c r="D2286" s="36"/>
    </row>
    <row r="2287" spans="1:4" ht="15.75" thickBot="1" x14ac:dyDescent="0.3">
      <c r="A2287" s="287"/>
      <c r="B2287" s="288"/>
      <c r="C2287" s="288"/>
      <c r="D2287" s="289"/>
    </row>
    <row r="2288" spans="1:4" ht="18.75" x14ac:dyDescent="0.25">
      <c r="A2288" s="5"/>
      <c r="B2288" s="6"/>
      <c r="C2288" s="7"/>
      <c r="D2288" s="8"/>
    </row>
    <row r="2289" spans="1:4" ht="19.5" thickBot="1" x14ac:dyDescent="0.3">
      <c r="A2289" s="9"/>
      <c r="B2289" s="10"/>
      <c r="C2289" s="10"/>
      <c r="D2289" s="11"/>
    </row>
    <row r="2290" spans="1:4" ht="21.75" thickBot="1" x14ac:dyDescent="0.3">
      <c r="A2290" s="43"/>
      <c r="B2290" s="290"/>
      <c r="C2290" s="291"/>
      <c r="D2290" s="43"/>
    </row>
    <row r="2291" spans="1:4" ht="21.75" thickBot="1" x14ac:dyDescent="0.3">
      <c r="A2291" s="38"/>
      <c r="B2291" s="44"/>
      <c r="C2291" s="45"/>
      <c r="D2291" s="44"/>
    </row>
    <row r="2292" spans="1:4" ht="19.5" thickBot="1" x14ac:dyDescent="0.3">
      <c r="A2292" s="19"/>
      <c r="B2292" s="20"/>
      <c r="C2292" s="63"/>
      <c r="D2292" s="14"/>
    </row>
    <row r="2293" spans="1:4" ht="19.5" thickBot="1" x14ac:dyDescent="0.3">
      <c r="A2293" s="19"/>
      <c r="B2293" s="20"/>
      <c r="C2293" s="63"/>
      <c r="D2293" s="14"/>
    </row>
    <row r="2294" spans="1:4" ht="19.5" thickBot="1" x14ac:dyDescent="0.3">
      <c r="A2294" s="19"/>
      <c r="B2294" s="20"/>
      <c r="C2294" s="48"/>
      <c r="D2294" s="46"/>
    </row>
    <row r="2295" spans="1:4" ht="15.75" thickBot="1" x14ac:dyDescent="0.3">
      <c r="A2295" s="32"/>
      <c r="B2295" s="33"/>
      <c r="C2295" s="32"/>
      <c r="D2295" s="34"/>
    </row>
    <row r="2296" spans="1:4" ht="15.75" thickBot="1" x14ac:dyDescent="0.3">
      <c r="A2296" s="58"/>
      <c r="B2296" s="58"/>
      <c r="C2296" s="58"/>
      <c r="D2296" s="35"/>
    </row>
    <row r="2297" spans="1:4" ht="15.75" x14ac:dyDescent="0.25">
      <c r="A2297" s="285"/>
      <c r="B2297" s="59"/>
      <c r="C2297" s="59"/>
      <c r="D2297" s="60"/>
    </row>
    <row r="2298" spans="1:4" ht="16.5" thickBot="1" x14ac:dyDescent="0.3">
      <c r="A2298" s="286"/>
      <c r="B2298" s="62"/>
      <c r="C2298" s="62"/>
      <c r="D2298" s="61"/>
    </row>
    <row r="2299" spans="1:4" ht="15.75" x14ac:dyDescent="0.25">
      <c r="A2299" s="285"/>
      <c r="B2299" s="59"/>
      <c r="C2299" s="59"/>
      <c r="D2299" s="60"/>
    </row>
    <row r="2300" spans="1:4" ht="16.5" thickBot="1" x14ac:dyDescent="0.3">
      <c r="A2300" s="286"/>
      <c r="B2300" s="62"/>
      <c r="C2300" s="62"/>
      <c r="D2300" s="61"/>
    </row>
    <row r="2301" spans="1:4" ht="16.5" thickBot="1" x14ac:dyDescent="0.3">
      <c r="A2301" s="57"/>
      <c r="B2301" s="36"/>
      <c r="C2301" s="36"/>
      <c r="D2301" s="36"/>
    </row>
    <row r="2302" spans="1:4" ht="15.75" thickBot="1" x14ac:dyDescent="0.3">
      <c r="A2302" s="287"/>
      <c r="B2302" s="288"/>
      <c r="C2302" s="288"/>
      <c r="D2302" s="289"/>
    </row>
    <row r="2303" spans="1:4" ht="18.75" x14ac:dyDescent="0.25">
      <c r="A2303" s="5"/>
      <c r="B2303" s="6"/>
      <c r="C2303" s="7"/>
      <c r="D2303" s="8"/>
    </row>
    <row r="2304" spans="1:4" ht="19.5" thickBot="1" x14ac:dyDescent="0.3">
      <c r="A2304" s="9"/>
      <c r="B2304" s="10"/>
      <c r="C2304" s="10"/>
      <c r="D2304" s="11"/>
    </row>
    <row r="2305" spans="1:4" ht="21.75" thickBot="1" x14ac:dyDescent="0.3">
      <c r="A2305" s="43"/>
      <c r="B2305" s="290"/>
      <c r="C2305" s="291"/>
      <c r="D2305" s="43"/>
    </row>
    <row r="2306" spans="1:4" ht="21.75" thickBot="1" x14ac:dyDescent="0.3">
      <c r="A2306" s="38"/>
      <c r="B2306" s="44"/>
      <c r="C2306" s="45"/>
      <c r="D2306" s="44"/>
    </row>
    <row r="2307" spans="1:4" ht="19.5" thickBot="1" x14ac:dyDescent="0.3">
      <c r="A2307" s="19"/>
      <c r="B2307" s="20"/>
      <c r="C2307" s="63"/>
      <c r="D2307" s="14"/>
    </row>
    <row r="2308" spans="1:4" ht="19.5" thickBot="1" x14ac:dyDescent="0.3">
      <c r="A2308" s="19"/>
      <c r="B2308" s="20"/>
      <c r="C2308" s="48"/>
      <c r="D2308" s="46"/>
    </row>
    <row r="2309" spans="1:4" ht="15.75" thickBot="1" x14ac:dyDescent="0.3">
      <c r="A2309" s="32"/>
      <c r="B2309" s="33"/>
      <c r="C2309" s="32"/>
      <c r="D2309" s="34"/>
    </row>
    <row r="2310" spans="1:4" ht="15.75" thickBot="1" x14ac:dyDescent="0.3">
      <c r="A2310" s="58"/>
      <c r="B2310" s="58"/>
      <c r="C2310" s="58"/>
      <c r="D2310" s="35"/>
    </row>
    <row r="2311" spans="1:4" ht="15.75" x14ac:dyDescent="0.25">
      <c r="A2311" s="285"/>
      <c r="B2311" s="59"/>
      <c r="C2311" s="59"/>
      <c r="D2311" s="60"/>
    </row>
    <row r="2312" spans="1:4" ht="16.5" thickBot="1" x14ac:dyDescent="0.3">
      <c r="A2312" s="286"/>
      <c r="B2312" s="62"/>
      <c r="C2312" s="62"/>
      <c r="D2312" s="61"/>
    </row>
    <row r="2313" spans="1:4" ht="15.75" x14ac:dyDescent="0.25">
      <c r="A2313" s="285"/>
      <c r="B2313" s="59"/>
      <c r="C2313" s="59"/>
      <c r="D2313" s="60"/>
    </row>
    <row r="2314" spans="1:4" ht="16.5" thickBot="1" x14ac:dyDescent="0.3">
      <c r="A2314" s="286"/>
      <c r="B2314" s="62"/>
      <c r="C2314" s="62"/>
      <c r="D2314" s="61"/>
    </row>
    <row r="2315" spans="1:4" ht="16.5" thickBot="1" x14ac:dyDescent="0.3">
      <c r="A2315" s="57"/>
      <c r="B2315" s="36"/>
      <c r="C2315" s="36"/>
      <c r="D2315" s="36"/>
    </row>
    <row r="2316" spans="1:4" ht="15.75" thickBot="1" x14ac:dyDescent="0.3">
      <c r="A2316" s="287"/>
      <c r="B2316" s="288"/>
      <c r="C2316" s="288"/>
      <c r="D2316" s="289"/>
    </row>
    <row r="2317" spans="1:4" ht="18.75" x14ac:dyDescent="0.25">
      <c r="A2317" s="5"/>
      <c r="B2317" s="6"/>
      <c r="C2317" s="7"/>
      <c r="D2317" s="8"/>
    </row>
    <row r="2318" spans="1:4" ht="19.5" thickBot="1" x14ac:dyDescent="0.3">
      <c r="A2318" s="9"/>
      <c r="B2318" s="10"/>
      <c r="C2318" s="10"/>
      <c r="D2318" s="11"/>
    </row>
    <row r="2319" spans="1:4" ht="21.75" thickBot="1" x14ac:dyDescent="0.3">
      <c r="A2319" s="43"/>
      <c r="B2319" s="290"/>
      <c r="C2319" s="291"/>
      <c r="D2319" s="43"/>
    </row>
    <row r="2320" spans="1:4" ht="21.75" thickBot="1" x14ac:dyDescent="0.3">
      <c r="A2320" s="38"/>
      <c r="B2320" s="44"/>
      <c r="C2320" s="45"/>
      <c r="D2320" s="44"/>
    </row>
    <row r="2321" spans="1:4" ht="19.5" thickBot="1" x14ac:dyDescent="0.3">
      <c r="A2321" s="19"/>
      <c r="B2321" s="20"/>
      <c r="C2321" s="63"/>
      <c r="D2321" s="14"/>
    </row>
    <row r="2322" spans="1:4" ht="19.5" thickBot="1" x14ac:dyDescent="0.3">
      <c r="A2322" s="19"/>
      <c r="B2322" s="20"/>
      <c r="C2322" s="63"/>
      <c r="D2322" s="14"/>
    </row>
    <row r="2323" spans="1:4" ht="19.5" thickBot="1" x14ac:dyDescent="0.3">
      <c r="A2323" s="19"/>
      <c r="B2323" s="20"/>
      <c r="C2323" s="48"/>
      <c r="D2323" s="46"/>
    </row>
    <row r="2324" spans="1:4" ht="15.75" thickBot="1" x14ac:dyDescent="0.3">
      <c r="A2324" s="32"/>
      <c r="B2324" s="33"/>
      <c r="C2324" s="32"/>
      <c r="D2324" s="34"/>
    </row>
    <row r="2325" spans="1:4" ht="15.75" thickBot="1" x14ac:dyDescent="0.3">
      <c r="A2325" s="58"/>
      <c r="B2325" s="58"/>
      <c r="C2325" s="58"/>
      <c r="D2325" s="35"/>
    </row>
    <row r="2326" spans="1:4" ht="15.75" x14ac:dyDescent="0.25">
      <c r="A2326" s="285"/>
      <c r="B2326" s="59"/>
      <c r="C2326" s="59"/>
      <c r="D2326" s="60"/>
    </row>
    <row r="2327" spans="1:4" ht="16.5" thickBot="1" x14ac:dyDescent="0.3">
      <c r="A2327" s="286"/>
      <c r="B2327" s="62"/>
      <c r="C2327" s="62"/>
      <c r="D2327" s="61"/>
    </row>
    <row r="2328" spans="1:4" ht="15.75" x14ac:dyDescent="0.25">
      <c r="A2328" s="285"/>
      <c r="B2328" s="59"/>
      <c r="C2328" s="59"/>
      <c r="D2328" s="60"/>
    </row>
    <row r="2329" spans="1:4" ht="16.5" thickBot="1" x14ac:dyDescent="0.3">
      <c r="A2329" s="286"/>
      <c r="B2329" s="62"/>
      <c r="C2329" s="62"/>
      <c r="D2329" s="61"/>
    </row>
    <row r="2330" spans="1:4" ht="16.5" thickBot="1" x14ac:dyDescent="0.3">
      <c r="A2330" s="57"/>
      <c r="B2330" s="36"/>
      <c r="C2330" s="36"/>
      <c r="D2330" s="36"/>
    </row>
    <row r="2331" spans="1:4" ht="15.75" thickBot="1" x14ac:dyDescent="0.3">
      <c r="A2331" s="287"/>
      <c r="B2331" s="288"/>
      <c r="C2331" s="288"/>
      <c r="D2331" s="289"/>
    </row>
    <row r="2332" spans="1:4" ht="18.75" x14ac:dyDescent="0.25">
      <c r="A2332" s="5"/>
      <c r="B2332" s="6"/>
      <c r="C2332" s="7"/>
      <c r="D2332" s="8"/>
    </row>
    <row r="2333" spans="1:4" ht="19.5" thickBot="1" x14ac:dyDescent="0.3">
      <c r="A2333" s="9"/>
      <c r="B2333" s="10"/>
      <c r="C2333" s="10"/>
      <c r="D2333" s="11"/>
    </row>
    <row r="2334" spans="1:4" ht="21.75" thickBot="1" x14ac:dyDescent="0.3">
      <c r="A2334" s="43"/>
      <c r="B2334" s="290"/>
      <c r="C2334" s="291"/>
      <c r="D2334" s="43"/>
    </row>
    <row r="2335" spans="1:4" ht="21.75" thickBot="1" x14ac:dyDescent="0.3">
      <c r="A2335" s="38"/>
      <c r="B2335" s="44"/>
      <c r="C2335" s="45"/>
      <c r="D2335" s="44"/>
    </row>
    <row r="2336" spans="1:4" ht="19.5" thickBot="1" x14ac:dyDescent="0.3">
      <c r="A2336" s="19"/>
      <c r="B2336" s="20"/>
      <c r="C2336" s="63"/>
      <c r="D2336" s="14"/>
    </row>
    <row r="2337" spans="1:4" ht="19.5" thickBot="1" x14ac:dyDescent="0.3">
      <c r="A2337" s="19"/>
      <c r="B2337" s="20"/>
      <c r="C2337" s="48"/>
      <c r="D2337" s="46"/>
    </row>
    <row r="2338" spans="1:4" ht="15.75" thickBot="1" x14ac:dyDescent="0.3">
      <c r="A2338" s="32"/>
      <c r="B2338" s="33"/>
      <c r="C2338" s="32"/>
      <c r="D2338" s="34"/>
    </row>
    <row r="2339" spans="1:4" ht="15.75" thickBot="1" x14ac:dyDescent="0.3">
      <c r="A2339" s="58"/>
      <c r="B2339" s="58"/>
      <c r="C2339" s="58"/>
      <c r="D2339" s="35"/>
    </row>
    <row r="2340" spans="1:4" ht="15.75" x14ac:dyDescent="0.25">
      <c r="A2340" s="285"/>
      <c r="B2340" s="59"/>
      <c r="C2340" s="59"/>
      <c r="D2340" s="60"/>
    </row>
    <row r="2341" spans="1:4" ht="16.5" thickBot="1" x14ac:dyDescent="0.3">
      <c r="A2341" s="286"/>
      <c r="B2341" s="62"/>
      <c r="C2341" s="62"/>
      <c r="D2341" s="61"/>
    </row>
    <row r="2342" spans="1:4" ht="15.75" x14ac:dyDescent="0.25">
      <c r="A2342" s="285"/>
      <c r="B2342" s="59"/>
      <c r="C2342" s="59"/>
      <c r="D2342" s="60"/>
    </row>
    <row r="2343" spans="1:4" ht="16.5" thickBot="1" x14ac:dyDescent="0.3">
      <c r="A2343" s="286"/>
      <c r="B2343" s="62"/>
      <c r="C2343" s="62"/>
      <c r="D2343" s="61"/>
    </row>
    <row r="2344" spans="1:4" ht="16.5" thickBot="1" x14ac:dyDescent="0.3">
      <c r="A2344" s="57"/>
      <c r="B2344" s="36"/>
      <c r="C2344" s="36"/>
      <c r="D2344" s="36"/>
    </row>
    <row r="2345" spans="1:4" ht="15.75" thickBot="1" x14ac:dyDescent="0.3">
      <c r="A2345" s="287"/>
      <c r="B2345" s="288"/>
      <c r="C2345" s="288"/>
      <c r="D2345" s="289"/>
    </row>
    <row r="2346" spans="1:4" ht="18.75" x14ac:dyDescent="0.25">
      <c r="A2346" s="5"/>
      <c r="B2346" s="6"/>
      <c r="C2346" s="7"/>
      <c r="D2346" s="8"/>
    </row>
    <row r="2347" spans="1:4" ht="19.5" thickBot="1" x14ac:dyDescent="0.3">
      <c r="A2347" s="9"/>
      <c r="B2347" s="10"/>
      <c r="C2347" s="10"/>
      <c r="D2347" s="11"/>
    </row>
    <row r="2348" spans="1:4" ht="21.75" thickBot="1" x14ac:dyDescent="0.3">
      <c r="A2348" s="43"/>
      <c r="B2348" s="290"/>
      <c r="C2348" s="291"/>
      <c r="D2348" s="43"/>
    </row>
    <row r="2349" spans="1:4" ht="21.75" thickBot="1" x14ac:dyDescent="0.3">
      <c r="A2349" s="38"/>
      <c r="B2349" s="44"/>
      <c r="C2349" s="45"/>
      <c r="D2349" s="44"/>
    </row>
    <row r="2350" spans="1:4" ht="19.5" thickBot="1" x14ac:dyDescent="0.3">
      <c r="A2350" s="19"/>
      <c r="B2350" s="20"/>
      <c r="C2350" s="63"/>
      <c r="D2350" s="14"/>
    </row>
    <row r="2351" spans="1:4" ht="19.5" thickBot="1" x14ac:dyDescent="0.3">
      <c r="A2351" s="19"/>
      <c r="B2351" s="20"/>
      <c r="C2351" s="63"/>
      <c r="D2351" s="14"/>
    </row>
    <row r="2352" spans="1:4" ht="19.5" thickBot="1" x14ac:dyDescent="0.3">
      <c r="A2352" s="19"/>
      <c r="B2352" s="20"/>
      <c r="C2352" s="48"/>
      <c r="D2352" s="46"/>
    </row>
    <row r="2353" spans="1:4" ht="15.75" thickBot="1" x14ac:dyDescent="0.3">
      <c r="A2353" s="32"/>
      <c r="B2353" s="33"/>
      <c r="C2353" s="32"/>
      <c r="D2353" s="34"/>
    </row>
    <row r="2354" spans="1:4" ht="15.75" thickBot="1" x14ac:dyDescent="0.3">
      <c r="A2354" s="58"/>
      <c r="B2354" s="58"/>
      <c r="C2354" s="58"/>
      <c r="D2354" s="35"/>
    </row>
    <row r="2355" spans="1:4" ht="15.75" x14ac:dyDescent="0.25">
      <c r="A2355" s="285"/>
      <c r="B2355" s="59"/>
      <c r="C2355" s="59"/>
      <c r="D2355" s="60"/>
    </row>
    <row r="2356" spans="1:4" ht="16.5" thickBot="1" x14ac:dyDescent="0.3">
      <c r="A2356" s="286"/>
      <c r="B2356" s="62"/>
      <c r="C2356" s="62"/>
      <c r="D2356" s="61"/>
    </row>
    <row r="2357" spans="1:4" ht="15.75" x14ac:dyDescent="0.25">
      <c r="A2357" s="285"/>
      <c r="B2357" s="59"/>
      <c r="C2357" s="59"/>
      <c r="D2357" s="60"/>
    </row>
    <row r="2358" spans="1:4" ht="16.5" thickBot="1" x14ac:dyDescent="0.3">
      <c r="A2358" s="286"/>
      <c r="B2358" s="62"/>
      <c r="C2358" s="62"/>
      <c r="D2358" s="61"/>
    </row>
    <row r="2359" spans="1:4" ht="16.5" thickBot="1" x14ac:dyDescent="0.3">
      <c r="A2359" s="57"/>
      <c r="B2359" s="36"/>
      <c r="C2359" s="36"/>
      <c r="D2359" s="36"/>
    </row>
    <row r="2360" spans="1:4" ht="15.75" thickBot="1" x14ac:dyDescent="0.3">
      <c r="A2360" s="287"/>
      <c r="B2360" s="288"/>
      <c r="C2360" s="288"/>
      <c r="D2360" s="289"/>
    </row>
    <row r="2361" spans="1:4" ht="18.75" x14ac:dyDescent="0.25">
      <c r="A2361" s="5"/>
      <c r="B2361" s="6"/>
      <c r="C2361" s="7"/>
      <c r="D2361" s="8"/>
    </row>
    <row r="2362" spans="1:4" ht="19.5" thickBot="1" x14ac:dyDescent="0.3">
      <c r="A2362" s="9"/>
      <c r="B2362" s="10"/>
      <c r="C2362" s="10"/>
      <c r="D2362" s="11"/>
    </row>
    <row r="2363" spans="1:4" ht="21.75" thickBot="1" x14ac:dyDescent="0.3">
      <c r="A2363" s="43"/>
      <c r="B2363" s="290"/>
      <c r="C2363" s="291"/>
      <c r="D2363" s="43"/>
    </row>
    <row r="2364" spans="1:4" ht="21.75" thickBot="1" x14ac:dyDescent="0.3">
      <c r="A2364" s="38"/>
      <c r="B2364" s="44"/>
      <c r="C2364" s="45"/>
      <c r="D2364" s="44"/>
    </row>
    <row r="2365" spans="1:4" ht="19.5" thickBot="1" x14ac:dyDescent="0.3">
      <c r="A2365" s="19"/>
      <c r="B2365" s="20"/>
      <c r="C2365" s="63"/>
      <c r="D2365" s="14"/>
    </row>
    <row r="2366" spans="1:4" ht="19.5" thickBot="1" x14ac:dyDescent="0.3">
      <c r="A2366" s="19"/>
      <c r="B2366" s="20"/>
      <c r="C2366" s="48"/>
      <c r="D2366" s="46"/>
    </row>
    <row r="2367" spans="1:4" ht="15.75" thickBot="1" x14ac:dyDescent="0.3">
      <c r="A2367" s="32"/>
      <c r="B2367" s="33"/>
      <c r="C2367" s="32"/>
      <c r="D2367" s="34"/>
    </row>
    <row r="2368" spans="1:4" ht="15.75" thickBot="1" x14ac:dyDescent="0.3">
      <c r="A2368" s="58"/>
      <c r="B2368" s="58"/>
      <c r="C2368" s="58"/>
      <c r="D2368" s="35"/>
    </row>
    <row r="2369" spans="1:4" ht="15.75" x14ac:dyDescent="0.25">
      <c r="A2369" s="285"/>
      <c r="B2369" s="59"/>
      <c r="C2369" s="59"/>
      <c r="D2369" s="60"/>
    </row>
    <row r="2370" spans="1:4" ht="16.5" thickBot="1" x14ac:dyDescent="0.3">
      <c r="A2370" s="286"/>
      <c r="B2370" s="62"/>
      <c r="C2370" s="62"/>
      <c r="D2370" s="61"/>
    </row>
    <row r="2371" spans="1:4" ht="15.75" x14ac:dyDescent="0.25">
      <c r="A2371" s="285"/>
      <c r="B2371" s="59"/>
      <c r="C2371" s="59"/>
      <c r="D2371" s="60"/>
    </row>
    <row r="2372" spans="1:4" ht="16.5" thickBot="1" x14ac:dyDescent="0.3">
      <c r="A2372" s="286"/>
      <c r="B2372" s="62"/>
      <c r="C2372" s="62"/>
      <c r="D2372" s="61"/>
    </row>
    <row r="2373" spans="1:4" ht="16.5" thickBot="1" x14ac:dyDescent="0.3">
      <c r="A2373" s="57"/>
      <c r="B2373" s="36"/>
      <c r="C2373" s="36"/>
      <c r="D2373" s="36"/>
    </row>
    <row r="2374" spans="1:4" ht="15.75" thickBot="1" x14ac:dyDescent="0.3">
      <c r="A2374" s="287"/>
      <c r="B2374" s="288"/>
      <c r="C2374" s="288"/>
      <c r="D2374" s="289"/>
    </row>
    <row r="2375" spans="1:4" ht="18.75" x14ac:dyDescent="0.25">
      <c r="A2375" s="5"/>
      <c r="B2375" s="6"/>
      <c r="C2375" s="7"/>
      <c r="D2375" s="8"/>
    </row>
    <row r="2376" spans="1:4" ht="19.5" thickBot="1" x14ac:dyDescent="0.3">
      <c r="A2376" s="9"/>
      <c r="B2376" s="10"/>
      <c r="C2376" s="10"/>
      <c r="D2376" s="11"/>
    </row>
    <row r="2377" spans="1:4" ht="21.75" thickBot="1" x14ac:dyDescent="0.3">
      <c r="A2377" s="43"/>
      <c r="B2377" s="290"/>
      <c r="C2377" s="291"/>
      <c r="D2377" s="43"/>
    </row>
    <row r="2378" spans="1:4" ht="21.75" thickBot="1" x14ac:dyDescent="0.3">
      <c r="A2378" s="38"/>
      <c r="B2378" s="44"/>
      <c r="C2378" s="45"/>
      <c r="D2378" s="44"/>
    </row>
    <row r="2379" spans="1:4" ht="19.5" thickBot="1" x14ac:dyDescent="0.3">
      <c r="A2379" s="19"/>
      <c r="B2379" s="20"/>
      <c r="C2379" s="63"/>
      <c r="D2379" s="14"/>
    </row>
    <row r="2380" spans="1:4" ht="19.5" thickBot="1" x14ac:dyDescent="0.3">
      <c r="A2380" s="19"/>
      <c r="B2380" s="20"/>
      <c r="C2380" s="63"/>
      <c r="D2380" s="14"/>
    </row>
    <row r="2381" spans="1:4" ht="19.5" thickBot="1" x14ac:dyDescent="0.3">
      <c r="A2381" s="19"/>
      <c r="B2381" s="20"/>
      <c r="C2381" s="48"/>
      <c r="D2381" s="46"/>
    </row>
    <row r="2382" spans="1:4" ht="15.75" thickBot="1" x14ac:dyDescent="0.3">
      <c r="A2382" s="32"/>
      <c r="B2382" s="33"/>
      <c r="C2382" s="32"/>
      <c r="D2382" s="34"/>
    </row>
    <row r="2383" spans="1:4" ht="15.75" thickBot="1" x14ac:dyDescent="0.3">
      <c r="A2383" s="58"/>
      <c r="B2383" s="58"/>
      <c r="C2383" s="58"/>
      <c r="D2383" s="35"/>
    </row>
    <row r="2384" spans="1:4" ht="15.75" x14ac:dyDescent="0.25">
      <c r="A2384" s="285"/>
      <c r="B2384" s="59"/>
      <c r="C2384" s="59"/>
      <c r="D2384" s="60"/>
    </row>
    <row r="2385" spans="1:4" ht="16.5" thickBot="1" x14ac:dyDescent="0.3">
      <c r="A2385" s="286"/>
      <c r="B2385" s="62"/>
      <c r="C2385" s="62"/>
      <c r="D2385" s="61"/>
    </row>
    <row r="2386" spans="1:4" ht="15.75" x14ac:dyDescent="0.25">
      <c r="A2386" s="285"/>
      <c r="B2386" s="59"/>
      <c r="C2386" s="59"/>
      <c r="D2386" s="60"/>
    </row>
    <row r="2387" spans="1:4" ht="16.5" thickBot="1" x14ac:dyDescent="0.3">
      <c r="A2387" s="286"/>
      <c r="B2387" s="62"/>
      <c r="C2387" s="62"/>
      <c r="D2387" s="61"/>
    </row>
    <row r="2388" spans="1:4" ht="16.5" thickBot="1" x14ac:dyDescent="0.3">
      <c r="A2388" s="57"/>
      <c r="B2388" s="36"/>
      <c r="C2388" s="36"/>
      <c r="D2388" s="36"/>
    </row>
    <row r="2389" spans="1:4" ht="15.75" thickBot="1" x14ac:dyDescent="0.3">
      <c r="A2389" s="287"/>
      <c r="B2389" s="288"/>
      <c r="C2389" s="288"/>
      <c r="D2389" s="289"/>
    </row>
    <row r="2390" spans="1:4" ht="18.75" x14ac:dyDescent="0.25">
      <c r="A2390" s="5"/>
      <c r="B2390" s="6"/>
      <c r="C2390" s="7"/>
      <c r="D2390" s="8"/>
    </row>
    <row r="2391" spans="1:4" ht="19.5" thickBot="1" x14ac:dyDescent="0.3">
      <c r="A2391" s="9"/>
      <c r="B2391" s="10"/>
      <c r="C2391" s="10"/>
      <c r="D2391" s="11"/>
    </row>
    <row r="2392" spans="1:4" ht="21.75" thickBot="1" x14ac:dyDescent="0.3">
      <c r="A2392" s="43"/>
      <c r="B2392" s="290"/>
      <c r="C2392" s="291"/>
      <c r="D2392" s="43"/>
    </row>
    <row r="2393" spans="1:4" ht="21.75" thickBot="1" x14ac:dyDescent="0.3">
      <c r="A2393" s="38"/>
      <c r="B2393" s="44"/>
      <c r="C2393" s="45"/>
      <c r="D2393" s="44"/>
    </row>
    <row r="2394" spans="1:4" ht="19.5" thickBot="1" x14ac:dyDescent="0.3">
      <c r="A2394" s="19"/>
      <c r="B2394" s="20"/>
      <c r="C2394" s="63"/>
      <c r="D2394" s="14"/>
    </row>
    <row r="2395" spans="1:4" ht="19.5" thickBot="1" x14ac:dyDescent="0.3">
      <c r="A2395" s="19"/>
      <c r="B2395" s="20"/>
      <c r="C2395" s="48"/>
      <c r="D2395" s="46"/>
    </row>
    <row r="2396" spans="1:4" ht="15.75" thickBot="1" x14ac:dyDescent="0.3">
      <c r="A2396" s="32"/>
      <c r="B2396" s="33"/>
      <c r="C2396" s="32"/>
      <c r="D2396" s="34"/>
    </row>
    <row r="2397" spans="1:4" ht="15.75" thickBot="1" x14ac:dyDescent="0.3">
      <c r="A2397" s="58"/>
      <c r="B2397" s="58"/>
      <c r="C2397" s="58"/>
      <c r="D2397" s="35"/>
    </row>
    <row r="2398" spans="1:4" ht="15.75" x14ac:dyDescent="0.25">
      <c r="A2398" s="285"/>
      <c r="B2398" s="59"/>
      <c r="C2398" s="59"/>
      <c r="D2398" s="60"/>
    </row>
    <row r="2399" spans="1:4" ht="16.5" thickBot="1" x14ac:dyDescent="0.3">
      <c r="A2399" s="286"/>
      <c r="B2399" s="62"/>
      <c r="C2399" s="62"/>
      <c r="D2399" s="61"/>
    </row>
    <row r="2400" spans="1:4" ht="15.75" x14ac:dyDescent="0.25">
      <c r="A2400" s="285"/>
      <c r="B2400" s="59"/>
      <c r="C2400" s="59"/>
      <c r="D2400" s="60"/>
    </row>
    <row r="2401" spans="1:4" ht="16.5" thickBot="1" x14ac:dyDescent="0.3">
      <c r="A2401" s="286"/>
      <c r="B2401" s="62"/>
      <c r="C2401" s="62"/>
      <c r="D2401" s="61"/>
    </row>
    <row r="2402" spans="1:4" ht="16.5" thickBot="1" x14ac:dyDescent="0.3">
      <c r="A2402" s="57"/>
      <c r="B2402" s="36"/>
      <c r="C2402" s="36"/>
      <c r="D2402" s="36"/>
    </row>
    <row r="2403" spans="1:4" ht="15.75" thickBot="1" x14ac:dyDescent="0.3">
      <c r="A2403" s="287"/>
      <c r="B2403" s="288"/>
      <c r="C2403" s="288"/>
      <c r="D2403" s="289"/>
    </row>
    <row r="2404" spans="1:4" ht="18.75" x14ac:dyDescent="0.25">
      <c r="A2404" s="5"/>
      <c r="B2404" s="6"/>
      <c r="C2404" s="7"/>
      <c r="D2404" s="8"/>
    </row>
    <row r="2405" spans="1:4" ht="19.5" thickBot="1" x14ac:dyDescent="0.3">
      <c r="A2405" s="9"/>
      <c r="B2405" s="10"/>
      <c r="C2405" s="10"/>
      <c r="D2405" s="11"/>
    </row>
    <row r="2406" spans="1:4" ht="21.75" thickBot="1" x14ac:dyDescent="0.3">
      <c r="A2406" s="43"/>
      <c r="B2406" s="290"/>
      <c r="C2406" s="291"/>
      <c r="D2406" s="43"/>
    </row>
    <row r="2407" spans="1:4" ht="21.75" thickBot="1" x14ac:dyDescent="0.3">
      <c r="A2407" s="38"/>
      <c r="B2407" s="44"/>
      <c r="C2407" s="45"/>
      <c r="D2407" s="44"/>
    </row>
    <row r="2408" spans="1:4" ht="19.5" thickBot="1" x14ac:dyDescent="0.3">
      <c r="A2408" s="19"/>
      <c r="B2408" s="20"/>
      <c r="C2408" s="63"/>
      <c r="D2408" s="14"/>
    </row>
    <row r="2409" spans="1:4" ht="19.5" thickBot="1" x14ac:dyDescent="0.3">
      <c r="A2409" s="19"/>
      <c r="B2409" s="20"/>
      <c r="C2409" s="63"/>
      <c r="D2409" s="14"/>
    </row>
    <row r="2410" spans="1:4" ht="19.5" thickBot="1" x14ac:dyDescent="0.3">
      <c r="A2410" s="19"/>
      <c r="B2410" s="20"/>
      <c r="C2410" s="48"/>
      <c r="D2410" s="46"/>
    </row>
    <row r="2411" spans="1:4" ht="15.75" thickBot="1" x14ac:dyDescent="0.3">
      <c r="A2411" s="32"/>
      <c r="B2411" s="33"/>
      <c r="C2411" s="32"/>
      <c r="D2411" s="34"/>
    </row>
    <row r="2412" spans="1:4" ht="15.75" thickBot="1" x14ac:dyDescent="0.3">
      <c r="A2412" s="58"/>
      <c r="B2412" s="58"/>
      <c r="C2412" s="58"/>
      <c r="D2412" s="35"/>
    </row>
    <row r="2413" spans="1:4" ht="15.75" x14ac:dyDescent="0.25">
      <c r="A2413" s="285"/>
      <c r="B2413" s="59"/>
      <c r="C2413" s="59"/>
      <c r="D2413" s="60"/>
    </row>
    <row r="2414" spans="1:4" ht="16.5" thickBot="1" x14ac:dyDescent="0.3">
      <c r="A2414" s="286"/>
      <c r="B2414" s="62"/>
      <c r="C2414" s="62"/>
      <c r="D2414" s="61"/>
    </row>
    <row r="2415" spans="1:4" ht="15.75" x14ac:dyDescent="0.25">
      <c r="A2415" s="285"/>
      <c r="B2415" s="59"/>
      <c r="C2415" s="59"/>
      <c r="D2415" s="60"/>
    </row>
    <row r="2416" spans="1:4" ht="16.5" thickBot="1" x14ac:dyDescent="0.3">
      <c r="A2416" s="286"/>
      <c r="B2416" s="62"/>
      <c r="C2416" s="62"/>
      <c r="D2416" s="61"/>
    </row>
    <row r="2417" spans="1:4" ht="16.5" thickBot="1" x14ac:dyDescent="0.3">
      <c r="A2417" s="57"/>
      <c r="B2417" s="36"/>
      <c r="C2417" s="36"/>
      <c r="D2417" s="36"/>
    </row>
    <row r="2418" spans="1:4" ht="15.75" thickBot="1" x14ac:dyDescent="0.3">
      <c r="A2418" s="287"/>
      <c r="B2418" s="288"/>
      <c r="C2418" s="288"/>
      <c r="D2418" s="289"/>
    </row>
    <row r="2419" spans="1:4" ht="18.75" x14ac:dyDescent="0.25">
      <c r="A2419" s="5"/>
      <c r="B2419" s="6"/>
      <c r="C2419" s="7"/>
      <c r="D2419" s="8"/>
    </row>
    <row r="2420" spans="1:4" ht="19.5" thickBot="1" x14ac:dyDescent="0.3">
      <c r="A2420" s="9"/>
      <c r="B2420" s="10"/>
      <c r="C2420" s="10"/>
      <c r="D2420" s="11"/>
    </row>
    <row r="2421" spans="1:4" ht="21.75" thickBot="1" x14ac:dyDescent="0.3">
      <c r="A2421" s="43"/>
      <c r="B2421" s="290"/>
      <c r="C2421" s="291"/>
      <c r="D2421" s="43"/>
    </row>
    <row r="2422" spans="1:4" ht="21.75" thickBot="1" x14ac:dyDescent="0.3">
      <c r="A2422" s="38"/>
      <c r="B2422" s="44"/>
      <c r="C2422" s="45"/>
      <c r="D2422" s="44"/>
    </row>
    <row r="2423" spans="1:4" ht="19.5" thickBot="1" x14ac:dyDescent="0.3">
      <c r="A2423" s="19"/>
      <c r="B2423" s="20"/>
      <c r="C2423" s="63"/>
      <c r="D2423" s="14"/>
    </row>
    <row r="2424" spans="1:4" ht="19.5" thickBot="1" x14ac:dyDescent="0.3">
      <c r="A2424" s="19"/>
      <c r="B2424" s="20"/>
      <c r="C2424" s="48"/>
      <c r="D2424" s="46"/>
    </row>
    <row r="2425" spans="1:4" ht="15.75" thickBot="1" x14ac:dyDescent="0.3">
      <c r="A2425" s="32"/>
      <c r="B2425" s="33"/>
      <c r="C2425" s="32"/>
      <c r="D2425" s="34"/>
    </row>
    <row r="2426" spans="1:4" ht="15.75" thickBot="1" x14ac:dyDescent="0.3">
      <c r="A2426" s="58"/>
      <c r="B2426" s="58"/>
      <c r="C2426" s="58"/>
      <c r="D2426" s="35"/>
    </row>
    <row r="2427" spans="1:4" ht="15.75" x14ac:dyDescent="0.25">
      <c r="A2427" s="285"/>
      <c r="B2427" s="59"/>
      <c r="C2427" s="59"/>
      <c r="D2427" s="60"/>
    </row>
    <row r="2428" spans="1:4" ht="16.5" thickBot="1" x14ac:dyDescent="0.3">
      <c r="A2428" s="286"/>
      <c r="B2428" s="62"/>
      <c r="C2428" s="62"/>
      <c r="D2428" s="61"/>
    </row>
    <row r="2429" spans="1:4" ht="15.75" x14ac:dyDescent="0.25">
      <c r="A2429" s="285"/>
      <c r="B2429" s="59"/>
      <c r="C2429" s="59"/>
      <c r="D2429" s="60"/>
    </row>
    <row r="2430" spans="1:4" ht="16.5" thickBot="1" x14ac:dyDescent="0.3">
      <c r="A2430" s="286"/>
      <c r="B2430" s="62"/>
      <c r="C2430" s="62"/>
      <c r="D2430" s="61"/>
    </row>
    <row r="2431" spans="1:4" ht="16.5" thickBot="1" x14ac:dyDescent="0.3">
      <c r="A2431" s="57"/>
      <c r="B2431" s="36"/>
      <c r="C2431" s="36"/>
      <c r="D2431" s="36"/>
    </row>
    <row r="2432" spans="1:4" ht="15.75" thickBot="1" x14ac:dyDescent="0.3">
      <c r="A2432" s="287"/>
      <c r="B2432" s="288"/>
      <c r="C2432" s="288"/>
      <c r="D2432" s="289"/>
    </row>
    <row r="2433" spans="1:4" ht="18.75" x14ac:dyDescent="0.25">
      <c r="A2433" s="5"/>
      <c r="B2433" s="6"/>
      <c r="C2433" s="7"/>
      <c r="D2433" s="8"/>
    </row>
    <row r="2434" spans="1:4" ht="19.5" thickBot="1" x14ac:dyDescent="0.3">
      <c r="A2434" s="9"/>
      <c r="B2434" s="10"/>
      <c r="C2434" s="10"/>
      <c r="D2434" s="11"/>
    </row>
    <row r="2435" spans="1:4" ht="21.75" thickBot="1" x14ac:dyDescent="0.3">
      <c r="A2435" s="43"/>
      <c r="B2435" s="290"/>
      <c r="C2435" s="291"/>
      <c r="D2435" s="43"/>
    </row>
    <row r="2436" spans="1:4" ht="21.75" thickBot="1" x14ac:dyDescent="0.3">
      <c r="A2436" s="38"/>
      <c r="B2436" s="44"/>
      <c r="C2436" s="45"/>
      <c r="D2436" s="44"/>
    </row>
    <row r="2437" spans="1:4" ht="19.5" thickBot="1" x14ac:dyDescent="0.3">
      <c r="A2437" s="19"/>
      <c r="B2437" s="20"/>
      <c r="C2437" s="63"/>
      <c r="D2437" s="14"/>
    </row>
    <row r="2438" spans="1:4" ht="19.5" thickBot="1" x14ac:dyDescent="0.3">
      <c r="A2438" s="19"/>
      <c r="B2438" s="20"/>
      <c r="C2438" s="63"/>
      <c r="D2438" s="14"/>
    </row>
    <row r="2439" spans="1:4" ht="19.5" thickBot="1" x14ac:dyDescent="0.3">
      <c r="A2439" s="19"/>
      <c r="B2439" s="20"/>
      <c r="C2439" s="48"/>
      <c r="D2439" s="46"/>
    </row>
    <row r="2440" spans="1:4" ht="15.75" thickBot="1" x14ac:dyDescent="0.3">
      <c r="A2440" s="32"/>
      <c r="B2440" s="33"/>
      <c r="C2440" s="32"/>
      <c r="D2440" s="34"/>
    </row>
    <row r="2441" spans="1:4" ht="15.75" thickBot="1" x14ac:dyDescent="0.3">
      <c r="A2441" s="58"/>
      <c r="B2441" s="58"/>
      <c r="C2441" s="58"/>
      <c r="D2441" s="35"/>
    </row>
    <row r="2442" spans="1:4" ht="15.75" x14ac:dyDescent="0.25">
      <c r="A2442" s="285"/>
      <c r="B2442" s="59"/>
      <c r="C2442" s="59"/>
      <c r="D2442" s="60"/>
    </row>
    <row r="2443" spans="1:4" ht="16.5" thickBot="1" x14ac:dyDescent="0.3">
      <c r="A2443" s="286"/>
      <c r="B2443" s="62"/>
      <c r="C2443" s="62"/>
      <c r="D2443" s="61"/>
    </row>
    <row r="2444" spans="1:4" ht="15.75" x14ac:dyDescent="0.25">
      <c r="A2444" s="285"/>
      <c r="B2444" s="59"/>
      <c r="C2444" s="59"/>
      <c r="D2444" s="60"/>
    </row>
    <row r="2445" spans="1:4" ht="16.5" thickBot="1" x14ac:dyDescent="0.3">
      <c r="A2445" s="286"/>
      <c r="B2445" s="62"/>
      <c r="C2445" s="62"/>
      <c r="D2445" s="61"/>
    </row>
    <row r="2446" spans="1:4" ht="16.5" thickBot="1" x14ac:dyDescent="0.3">
      <c r="A2446" s="57"/>
      <c r="B2446" s="36"/>
      <c r="C2446" s="36"/>
      <c r="D2446" s="36"/>
    </row>
    <row r="2447" spans="1:4" ht="15.75" thickBot="1" x14ac:dyDescent="0.3">
      <c r="A2447" s="287"/>
      <c r="B2447" s="288"/>
      <c r="C2447" s="288"/>
      <c r="D2447" s="289"/>
    </row>
    <row r="2448" spans="1:4" ht="18.75" x14ac:dyDescent="0.25">
      <c r="A2448" s="5"/>
      <c r="B2448" s="6"/>
      <c r="C2448" s="7"/>
      <c r="D2448" s="8"/>
    </row>
    <row r="2449" spans="1:4" ht="19.5" thickBot="1" x14ac:dyDescent="0.3">
      <c r="A2449" s="9"/>
      <c r="B2449" s="10"/>
      <c r="C2449" s="10"/>
      <c r="D2449" s="11"/>
    </row>
    <row r="2450" spans="1:4" ht="21.75" thickBot="1" x14ac:dyDescent="0.3">
      <c r="A2450" s="43"/>
      <c r="B2450" s="290"/>
      <c r="C2450" s="291"/>
      <c r="D2450" s="43"/>
    </row>
    <row r="2451" spans="1:4" ht="21.75" thickBot="1" x14ac:dyDescent="0.3">
      <c r="A2451" s="38"/>
      <c r="B2451" s="44"/>
      <c r="C2451" s="45"/>
      <c r="D2451" s="44"/>
    </row>
    <row r="2452" spans="1:4" ht="19.5" thickBot="1" x14ac:dyDescent="0.3">
      <c r="A2452" s="19"/>
      <c r="B2452" s="20"/>
      <c r="C2452" s="63"/>
      <c r="D2452" s="14"/>
    </row>
    <row r="2453" spans="1:4" ht="19.5" thickBot="1" x14ac:dyDescent="0.3">
      <c r="A2453" s="19"/>
      <c r="B2453" s="20"/>
      <c r="C2453" s="48"/>
      <c r="D2453" s="46"/>
    </row>
    <row r="2454" spans="1:4" ht="15.75" thickBot="1" x14ac:dyDescent="0.3">
      <c r="A2454" s="32"/>
      <c r="B2454" s="33"/>
      <c r="C2454" s="32"/>
      <c r="D2454" s="34"/>
    </row>
    <row r="2455" spans="1:4" ht="15.75" thickBot="1" x14ac:dyDescent="0.3">
      <c r="A2455" s="58"/>
      <c r="B2455" s="58"/>
      <c r="C2455" s="58"/>
      <c r="D2455" s="35"/>
    </row>
    <row r="2456" spans="1:4" ht="15.75" x14ac:dyDescent="0.25">
      <c r="A2456" s="285"/>
      <c r="B2456" s="59"/>
      <c r="C2456" s="59"/>
      <c r="D2456" s="60"/>
    </row>
    <row r="2457" spans="1:4" ht="16.5" thickBot="1" x14ac:dyDescent="0.3">
      <c r="A2457" s="286"/>
      <c r="B2457" s="62"/>
      <c r="C2457" s="62"/>
      <c r="D2457" s="61"/>
    </row>
    <row r="2458" spans="1:4" ht="15.75" x14ac:dyDescent="0.25">
      <c r="A2458" s="285"/>
      <c r="B2458" s="59"/>
      <c r="C2458" s="59"/>
      <c r="D2458" s="60"/>
    </row>
    <row r="2459" spans="1:4" ht="16.5" thickBot="1" x14ac:dyDescent="0.3">
      <c r="A2459" s="286"/>
      <c r="B2459" s="62"/>
      <c r="C2459" s="62"/>
      <c r="D2459" s="61"/>
    </row>
    <row r="2460" spans="1:4" ht="16.5" thickBot="1" x14ac:dyDescent="0.3">
      <c r="A2460" s="57"/>
      <c r="B2460" s="36"/>
      <c r="C2460" s="36"/>
      <c r="D2460" s="36"/>
    </row>
    <row r="2461" spans="1:4" ht="15.75" thickBot="1" x14ac:dyDescent="0.3">
      <c r="A2461" s="287"/>
      <c r="B2461" s="288"/>
      <c r="C2461" s="288"/>
      <c r="D2461" s="289"/>
    </row>
    <row r="2462" spans="1:4" ht="18.75" x14ac:dyDescent="0.25">
      <c r="A2462" s="5"/>
      <c r="B2462" s="6"/>
      <c r="C2462" s="7"/>
      <c r="D2462" s="8"/>
    </row>
    <row r="2463" spans="1:4" ht="19.5" thickBot="1" x14ac:dyDescent="0.3">
      <c r="A2463" s="9"/>
      <c r="B2463" s="10"/>
      <c r="C2463" s="10"/>
      <c r="D2463" s="11"/>
    </row>
    <row r="2464" spans="1:4" ht="21.75" thickBot="1" x14ac:dyDescent="0.3">
      <c r="A2464" s="43"/>
      <c r="B2464" s="290"/>
      <c r="C2464" s="291"/>
      <c r="D2464" s="43"/>
    </row>
    <row r="2465" spans="1:4" ht="21.75" thickBot="1" x14ac:dyDescent="0.3">
      <c r="A2465" s="38"/>
      <c r="B2465" s="44"/>
      <c r="C2465" s="45"/>
      <c r="D2465" s="44"/>
    </row>
    <row r="2466" spans="1:4" ht="19.5" thickBot="1" x14ac:dyDescent="0.3">
      <c r="A2466" s="19"/>
      <c r="B2466" s="20"/>
      <c r="C2466" s="63"/>
      <c r="D2466" s="14"/>
    </row>
    <row r="2467" spans="1:4" ht="19.5" thickBot="1" x14ac:dyDescent="0.3">
      <c r="A2467" s="19"/>
      <c r="B2467" s="20"/>
      <c r="C2467" s="63"/>
      <c r="D2467" s="14"/>
    </row>
    <row r="2468" spans="1:4" ht="19.5" thickBot="1" x14ac:dyDescent="0.3">
      <c r="A2468" s="19"/>
      <c r="B2468" s="20"/>
      <c r="C2468" s="48"/>
      <c r="D2468" s="46"/>
    </row>
    <row r="2469" spans="1:4" ht="15.75" thickBot="1" x14ac:dyDescent="0.3">
      <c r="A2469" s="32"/>
      <c r="B2469" s="33"/>
      <c r="C2469" s="32"/>
      <c r="D2469" s="34"/>
    </row>
    <row r="2470" spans="1:4" ht="15.75" thickBot="1" x14ac:dyDescent="0.3">
      <c r="A2470" s="58"/>
      <c r="B2470" s="58"/>
      <c r="C2470" s="58"/>
      <c r="D2470" s="35"/>
    </row>
    <row r="2471" spans="1:4" ht="15.75" x14ac:dyDescent="0.25">
      <c r="A2471" s="285"/>
      <c r="B2471" s="59"/>
      <c r="C2471" s="59"/>
      <c r="D2471" s="60"/>
    </row>
    <row r="2472" spans="1:4" ht="16.5" thickBot="1" x14ac:dyDescent="0.3">
      <c r="A2472" s="286"/>
      <c r="B2472" s="62"/>
      <c r="C2472" s="62"/>
      <c r="D2472" s="61"/>
    </row>
    <row r="2473" spans="1:4" ht="15.75" x14ac:dyDescent="0.25">
      <c r="A2473" s="285"/>
      <c r="B2473" s="59"/>
      <c r="C2473" s="59"/>
      <c r="D2473" s="60"/>
    </row>
    <row r="2474" spans="1:4" ht="16.5" thickBot="1" x14ac:dyDescent="0.3">
      <c r="A2474" s="286"/>
      <c r="B2474" s="62"/>
      <c r="C2474" s="62"/>
      <c r="D2474" s="61"/>
    </row>
    <row r="2475" spans="1:4" ht="16.5" thickBot="1" x14ac:dyDescent="0.3">
      <c r="A2475" s="57"/>
      <c r="B2475" s="36"/>
      <c r="C2475" s="36"/>
      <c r="D2475" s="36"/>
    </row>
    <row r="2476" spans="1:4" ht="15.75" thickBot="1" x14ac:dyDescent="0.3">
      <c r="A2476" s="287"/>
      <c r="B2476" s="288"/>
      <c r="C2476" s="288"/>
      <c r="D2476" s="289"/>
    </row>
    <row r="2477" spans="1:4" ht="18.75" x14ac:dyDescent="0.25">
      <c r="A2477" s="5"/>
      <c r="B2477" s="6"/>
      <c r="C2477" s="7"/>
      <c r="D2477" s="8"/>
    </row>
    <row r="2478" spans="1:4" ht="19.5" thickBot="1" x14ac:dyDescent="0.3">
      <c r="A2478" s="9"/>
      <c r="B2478" s="10"/>
      <c r="C2478" s="10"/>
      <c r="D2478" s="11"/>
    </row>
    <row r="2479" spans="1:4" ht="21.75" thickBot="1" x14ac:dyDescent="0.3">
      <c r="A2479" s="43"/>
      <c r="B2479" s="290"/>
      <c r="C2479" s="291"/>
      <c r="D2479" s="43"/>
    </row>
    <row r="2480" spans="1:4" ht="21.75" thickBot="1" x14ac:dyDescent="0.3">
      <c r="A2480" s="38"/>
      <c r="B2480" s="44"/>
      <c r="C2480" s="45"/>
      <c r="D2480" s="44"/>
    </row>
    <row r="2481" spans="1:4" ht="19.5" thickBot="1" x14ac:dyDescent="0.3">
      <c r="A2481" s="19"/>
      <c r="B2481" s="20"/>
      <c r="C2481" s="63"/>
      <c r="D2481" s="14"/>
    </row>
    <row r="2482" spans="1:4" ht="19.5" thickBot="1" x14ac:dyDescent="0.3">
      <c r="A2482" s="19"/>
      <c r="B2482" s="20"/>
      <c r="C2482" s="48"/>
      <c r="D2482" s="46"/>
    </row>
    <row r="2483" spans="1:4" ht="15.75" thickBot="1" x14ac:dyDescent="0.3">
      <c r="A2483" s="32"/>
      <c r="B2483" s="33"/>
      <c r="C2483" s="32"/>
      <c r="D2483" s="34"/>
    </row>
    <row r="2484" spans="1:4" ht="15.75" thickBot="1" x14ac:dyDescent="0.3">
      <c r="A2484" s="58"/>
      <c r="B2484" s="58"/>
      <c r="C2484" s="58"/>
      <c r="D2484" s="35"/>
    </row>
    <row r="2485" spans="1:4" ht="15.75" x14ac:dyDescent="0.25">
      <c r="A2485" s="285"/>
      <c r="B2485" s="59"/>
      <c r="C2485" s="59"/>
      <c r="D2485" s="60"/>
    </row>
    <row r="2486" spans="1:4" ht="16.5" thickBot="1" x14ac:dyDescent="0.3">
      <c r="A2486" s="286"/>
      <c r="B2486" s="62"/>
      <c r="C2486" s="62"/>
      <c r="D2486" s="61"/>
    </row>
    <row r="2487" spans="1:4" ht="15.75" x14ac:dyDescent="0.25">
      <c r="A2487" s="285"/>
      <c r="B2487" s="59"/>
      <c r="C2487" s="59"/>
      <c r="D2487" s="60"/>
    </row>
    <row r="2488" spans="1:4" ht="16.5" thickBot="1" x14ac:dyDescent="0.3">
      <c r="A2488" s="286"/>
      <c r="B2488" s="62"/>
      <c r="C2488" s="62"/>
      <c r="D2488" s="61"/>
    </row>
    <row r="2489" spans="1:4" ht="16.5" thickBot="1" x14ac:dyDescent="0.3">
      <c r="A2489" s="57"/>
      <c r="B2489" s="36"/>
      <c r="C2489" s="36"/>
      <c r="D2489" s="36"/>
    </row>
    <row r="2490" spans="1:4" ht="15.75" thickBot="1" x14ac:dyDescent="0.3">
      <c r="A2490" s="287"/>
      <c r="B2490" s="288"/>
      <c r="C2490" s="288"/>
      <c r="D2490" s="289"/>
    </row>
    <row r="2491" spans="1:4" ht="18.75" x14ac:dyDescent="0.25">
      <c r="A2491" s="5"/>
      <c r="B2491" s="6"/>
      <c r="C2491" s="7"/>
      <c r="D2491" s="8"/>
    </row>
    <row r="2492" spans="1:4" ht="19.5" thickBot="1" x14ac:dyDescent="0.3">
      <c r="A2492" s="9"/>
      <c r="B2492" s="10"/>
      <c r="C2492" s="10"/>
      <c r="D2492" s="11"/>
    </row>
    <row r="2493" spans="1:4" ht="21.75" thickBot="1" x14ac:dyDescent="0.3">
      <c r="A2493" s="43"/>
      <c r="B2493" s="290"/>
      <c r="C2493" s="291"/>
      <c r="D2493" s="43"/>
    </row>
    <row r="2494" spans="1:4" ht="21.75" thickBot="1" x14ac:dyDescent="0.3">
      <c r="A2494" s="38"/>
      <c r="B2494" s="44"/>
      <c r="C2494" s="45"/>
      <c r="D2494" s="44"/>
    </row>
    <row r="2495" spans="1:4" ht="19.5" thickBot="1" x14ac:dyDescent="0.3">
      <c r="A2495" s="19"/>
      <c r="B2495" s="20"/>
      <c r="C2495" s="63"/>
      <c r="D2495" s="14"/>
    </row>
    <row r="2496" spans="1:4" ht="19.5" thickBot="1" x14ac:dyDescent="0.3">
      <c r="A2496" s="19"/>
      <c r="B2496" s="20"/>
      <c r="C2496" s="63"/>
      <c r="D2496" s="14"/>
    </row>
    <row r="2497" spans="1:4" ht="19.5" thickBot="1" x14ac:dyDescent="0.3">
      <c r="A2497" s="19"/>
      <c r="B2497" s="20"/>
      <c r="C2497" s="48"/>
      <c r="D2497" s="46"/>
    </row>
    <row r="2498" spans="1:4" ht="15.75" thickBot="1" x14ac:dyDescent="0.3">
      <c r="A2498" s="32"/>
      <c r="B2498" s="33"/>
      <c r="C2498" s="32"/>
      <c r="D2498" s="34"/>
    </row>
    <row r="2499" spans="1:4" ht="15.75" thickBot="1" x14ac:dyDescent="0.3">
      <c r="A2499" s="58"/>
      <c r="B2499" s="58"/>
      <c r="C2499" s="58"/>
      <c r="D2499" s="35"/>
    </row>
    <row r="2500" spans="1:4" ht="15.75" x14ac:dyDescent="0.25">
      <c r="A2500" s="285"/>
      <c r="B2500" s="59"/>
      <c r="C2500" s="59"/>
      <c r="D2500" s="60"/>
    </row>
    <row r="2501" spans="1:4" ht="16.5" thickBot="1" x14ac:dyDescent="0.3">
      <c r="A2501" s="286"/>
      <c r="B2501" s="62"/>
      <c r="C2501" s="62"/>
      <c r="D2501" s="61"/>
    </row>
    <row r="2502" spans="1:4" ht="15.75" x14ac:dyDescent="0.25">
      <c r="A2502" s="285"/>
      <c r="B2502" s="59"/>
      <c r="C2502" s="59"/>
      <c r="D2502" s="60"/>
    </row>
    <row r="2503" spans="1:4" ht="16.5" thickBot="1" x14ac:dyDescent="0.3">
      <c r="A2503" s="286"/>
      <c r="B2503" s="62"/>
      <c r="C2503" s="62"/>
      <c r="D2503" s="61"/>
    </row>
    <row r="2504" spans="1:4" ht="16.5" thickBot="1" x14ac:dyDescent="0.3">
      <c r="A2504" s="57"/>
      <c r="B2504" s="36"/>
      <c r="C2504" s="36"/>
      <c r="D2504" s="36"/>
    </row>
    <row r="2505" spans="1:4" ht="15.75" thickBot="1" x14ac:dyDescent="0.3">
      <c r="A2505" s="287"/>
      <c r="B2505" s="288"/>
      <c r="C2505" s="288"/>
      <c r="D2505" s="289"/>
    </row>
    <row r="2506" spans="1:4" ht="18.75" x14ac:dyDescent="0.25">
      <c r="A2506" s="5"/>
      <c r="B2506" s="6"/>
      <c r="C2506" s="7"/>
      <c r="D2506" s="8"/>
    </row>
    <row r="2507" spans="1:4" ht="19.5" thickBot="1" x14ac:dyDescent="0.3">
      <c r="A2507" s="9"/>
      <c r="B2507" s="10"/>
      <c r="C2507" s="10"/>
      <c r="D2507" s="11"/>
    </row>
    <row r="2508" spans="1:4" ht="21.75" thickBot="1" x14ac:dyDescent="0.3">
      <c r="A2508" s="43"/>
      <c r="B2508" s="290"/>
      <c r="C2508" s="291"/>
      <c r="D2508" s="43"/>
    </row>
    <row r="2509" spans="1:4" ht="21.75" thickBot="1" x14ac:dyDescent="0.3">
      <c r="A2509" s="38"/>
      <c r="B2509" s="44"/>
      <c r="C2509" s="45"/>
      <c r="D2509" s="44"/>
    </row>
    <row r="2510" spans="1:4" ht="19.5" thickBot="1" x14ac:dyDescent="0.3">
      <c r="A2510" s="19"/>
      <c r="B2510" s="20"/>
      <c r="C2510" s="63"/>
      <c r="D2510" s="14"/>
    </row>
    <row r="2511" spans="1:4" ht="19.5" thickBot="1" x14ac:dyDescent="0.3">
      <c r="A2511" s="19"/>
      <c r="B2511" s="20"/>
      <c r="C2511" s="48"/>
      <c r="D2511" s="46"/>
    </row>
    <row r="2512" spans="1:4" ht="15.75" thickBot="1" x14ac:dyDescent="0.3">
      <c r="A2512" s="32"/>
      <c r="B2512" s="33"/>
      <c r="C2512" s="32"/>
      <c r="D2512" s="34"/>
    </row>
    <row r="2513" spans="1:4" ht="15.75" thickBot="1" x14ac:dyDescent="0.3">
      <c r="A2513" s="58"/>
      <c r="B2513" s="58"/>
      <c r="C2513" s="58"/>
      <c r="D2513" s="35"/>
    </row>
    <row r="2514" spans="1:4" ht="15.75" x14ac:dyDescent="0.25">
      <c r="A2514" s="285"/>
      <c r="B2514" s="59"/>
      <c r="C2514" s="59"/>
      <c r="D2514" s="60"/>
    </row>
    <row r="2515" spans="1:4" ht="16.5" thickBot="1" x14ac:dyDescent="0.3">
      <c r="A2515" s="286"/>
      <c r="B2515" s="62"/>
      <c r="C2515" s="62"/>
      <c r="D2515" s="61"/>
    </row>
    <row r="2516" spans="1:4" ht="15.75" x14ac:dyDescent="0.25">
      <c r="A2516" s="285"/>
      <c r="B2516" s="59"/>
      <c r="C2516" s="59"/>
      <c r="D2516" s="60"/>
    </row>
    <row r="2517" spans="1:4" ht="16.5" thickBot="1" x14ac:dyDescent="0.3">
      <c r="A2517" s="286"/>
      <c r="B2517" s="62"/>
      <c r="C2517" s="62"/>
      <c r="D2517" s="61"/>
    </row>
    <row r="2518" spans="1:4" ht="16.5" thickBot="1" x14ac:dyDescent="0.3">
      <c r="A2518" s="57"/>
      <c r="B2518" s="36"/>
      <c r="C2518" s="36"/>
      <c r="D2518" s="36"/>
    </row>
    <row r="2519" spans="1:4" ht="15.75" thickBot="1" x14ac:dyDescent="0.3">
      <c r="A2519" s="287"/>
      <c r="B2519" s="288"/>
      <c r="C2519" s="288"/>
      <c r="D2519" s="289"/>
    </row>
    <row r="2520" spans="1:4" ht="18.75" x14ac:dyDescent="0.25">
      <c r="A2520" s="5"/>
      <c r="B2520" s="6"/>
      <c r="C2520" s="7"/>
      <c r="D2520" s="8"/>
    </row>
    <row r="2521" spans="1:4" ht="19.5" thickBot="1" x14ac:dyDescent="0.3">
      <c r="A2521" s="9"/>
      <c r="B2521" s="10"/>
      <c r="C2521" s="10"/>
      <c r="D2521" s="11"/>
    </row>
    <row r="2522" spans="1:4" ht="21.75" thickBot="1" x14ac:dyDescent="0.3">
      <c r="A2522" s="43"/>
      <c r="B2522" s="290"/>
      <c r="C2522" s="291"/>
      <c r="D2522" s="43"/>
    </row>
    <row r="2523" spans="1:4" ht="21.75" thickBot="1" x14ac:dyDescent="0.3">
      <c r="A2523" s="38"/>
      <c r="B2523" s="44"/>
      <c r="C2523" s="45"/>
      <c r="D2523" s="44"/>
    </row>
    <row r="2524" spans="1:4" ht="19.5" thickBot="1" x14ac:dyDescent="0.3">
      <c r="A2524" s="19"/>
      <c r="B2524" s="20"/>
      <c r="C2524" s="63"/>
      <c r="D2524" s="14"/>
    </row>
    <row r="2525" spans="1:4" ht="19.5" thickBot="1" x14ac:dyDescent="0.3">
      <c r="A2525" s="19"/>
      <c r="B2525" s="20"/>
      <c r="C2525" s="63"/>
      <c r="D2525" s="14"/>
    </row>
    <row r="2526" spans="1:4" ht="19.5" thickBot="1" x14ac:dyDescent="0.3">
      <c r="A2526" s="19"/>
      <c r="B2526" s="20"/>
      <c r="C2526" s="48"/>
      <c r="D2526" s="46"/>
    </row>
    <row r="2527" spans="1:4" ht="15.75" thickBot="1" x14ac:dyDescent="0.3">
      <c r="A2527" s="32"/>
      <c r="B2527" s="33"/>
      <c r="C2527" s="32"/>
      <c r="D2527" s="34"/>
    </row>
    <row r="2528" spans="1:4" ht="15.75" thickBot="1" x14ac:dyDescent="0.3">
      <c r="A2528" s="58"/>
      <c r="B2528" s="58"/>
      <c r="C2528" s="58"/>
      <c r="D2528" s="35"/>
    </row>
    <row r="2529" spans="1:4" ht="15.75" x14ac:dyDescent="0.25">
      <c r="A2529" s="285"/>
      <c r="B2529" s="59"/>
      <c r="C2529" s="59"/>
      <c r="D2529" s="60"/>
    </row>
    <row r="2530" spans="1:4" ht="16.5" thickBot="1" x14ac:dyDescent="0.3">
      <c r="A2530" s="286"/>
      <c r="B2530" s="62"/>
      <c r="C2530" s="62"/>
      <c r="D2530" s="61"/>
    </row>
    <row r="2531" spans="1:4" ht="15.75" x14ac:dyDescent="0.25">
      <c r="A2531" s="285"/>
      <c r="B2531" s="59"/>
      <c r="C2531" s="59"/>
      <c r="D2531" s="60"/>
    </row>
    <row r="2532" spans="1:4" ht="16.5" thickBot="1" x14ac:dyDescent="0.3">
      <c r="A2532" s="286"/>
      <c r="B2532" s="62"/>
      <c r="C2532" s="62"/>
      <c r="D2532" s="61"/>
    </row>
    <row r="2533" spans="1:4" ht="16.5" thickBot="1" x14ac:dyDescent="0.3">
      <c r="A2533" s="57"/>
      <c r="B2533" s="36"/>
      <c r="C2533" s="36"/>
      <c r="D2533" s="36"/>
    </row>
    <row r="2534" spans="1:4" ht="15.75" thickBot="1" x14ac:dyDescent="0.3">
      <c r="A2534" s="287"/>
      <c r="B2534" s="288"/>
      <c r="C2534" s="288"/>
      <c r="D2534" s="289"/>
    </row>
    <row r="2535" spans="1:4" ht="18.75" x14ac:dyDescent="0.25">
      <c r="A2535" s="5"/>
      <c r="B2535" s="6"/>
      <c r="C2535" s="7"/>
      <c r="D2535" s="8"/>
    </row>
    <row r="2536" spans="1:4" ht="19.5" thickBot="1" x14ac:dyDescent="0.3">
      <c r="A2536" s="9"/>
      <c r="B2536" s="10"/>
      <c r="C2536" s="10"/>
      <c r="D2536" s="11"/>
    </row>
    <row r="2537" spans="1:4" ht="21.75" thickBot="1" x14ac:dyDescent="0.3">
      <c r="A2537" s="43"/>
      <c r="B2537" s="290"/>
      <c r="C2537" s="291"/>
      <c r="D2537" s="43"/>
    </row>
    <row r="2538" spans="1:4" ht="21.75" thickBot="1" x14ac:dyDescent="0.3">
      <c r="A2538" s="38"/>
      <c r="B2538" s="44"/>
      <c r="C2538" s="45"/>
      <c r="D2538" s="44"/>
    </row>
    <row r="2539" spans="1:4" ht="19.5" thickBot="1" x14ac:dyDescent="0.3">
      <c r="A2539" s="19"/>
      <c r="B2539" s="20"/>
      <c r="C2539" s="63"/>
      <c r="D2539" s="14"/>
    </row>
    <row r="2540" spans="1:4" ht="19.5" thickBot="1" x14ac:dyDescent="0.3">
      <c r="A2540" s="19"/>
      <c r="B2540" s="20"/>
      <c r="C2540" s="48"/>
      <c r="D2540" s="46"/>
    </row>
    <row r="2541" spans="1:4" ht="15.75" thickBot="1" x14ac:dyDescent="0.3">
      <c r="A2541" s="32"/>
      <c r="B2541" s="33"/>
      <c r="C2541" s="32"/>
      <c r="D2541" s="34"/>
    </row>
    <row r="2542" spans="1:4" ht="15.75" thickBot="1" x14ac:dyDescent="0.3">
      <c r="A2542" s="58"/>
      <c r="B2542" s="58"/>
      <c r="C2542" s="58"/>
      <c r="D2542" s="35"/>
    </row>
    <row r="2543" spans="1:4" ht="15.75" x14ac:dyDescent="0.25">
      <c r="A2543" s="285"/>
      <c r="B2543" s="59"/>
      <c r="C2543" s="59"/>
      <c r="D2543" s="60"/>
    </row>
    <row r="2544" spans="1:4" ht="16.5" thickBot="1" x14ac:dyDescent="0.3">
      <c r="A2544" s="286"/>
      <c r="B2544" s="62"/>
      <c r="C2544" s="62"/>
      <c r="D2544" s="61"/>
    </row>
    <row r="2545" spans="1:4" ht="15.75" x14ac:dyDescent="0.25">
      <c r="A2545" s="285"/>
      <c r="B2545" s="59"/>
      <c r="C2545" s="59"/>
      <c r="D2545" s="60"/>
    </row>
    <row r="2546" spans="1:4" ht="16.5" thickBot="1" x14ac:dyDescent="0.3">
      <c r="A2546" s="286"/>
      <c r="B2546" s="62"/>
      <c r="C2546" s="62"/>
      <c r="D2546" s="61"/>
    </row>
    <row r="2547" spans="1:4" ht="16.5" thickBot="1" x14ac:dyDescent="0.3">
      <c r="A2547" s="57"/>
      <c r="B2547" s="36"/>
      <c r="C2547" s="36"/>
      <c r="D2547" s="36"/>
    </row>
    <row r="2548" spans="1:4" ht="15.75" thickBot="1" x14ac:dyDescent="0.3">
      <c r="A2548" s="287"/>
      <c r="B2548" s="288"/>
      <c r="C2548" s="288"/>
      <c r="D2548" s="289"/>
    </row>
    <row r="2549" spans="1:4" ht="18.75" x14ac:dyDescent="0.25">
      <c r="A2549" s="5"/>
      <c r="B2549" s="6"/>
      <c r="C2549" s="7"/>
      <c r="D2549" s="8"/>
    </row>
    <row r="2550" spans="1:4" ht="19.5" thickBot="1" x14ac:dyDescent="0.3">
      <c r="A2550" s="9"/>
      <c r="B2550" s="10"/>
      <c r="C2550" s="10"/>
      <c r="D2550" s="11"/>
    </row>
    <row r="2551" spans="1:4" ht="21.75" thickBot="1" x14ac:dyDescent="0.3">
      <c r="A2551" s="43"/>
      <c r="B2551" s="290"/>
      <c r="C2551" s="291"/>
      <c r="D2551" s="43"/>
    </row>
    <row r="2552" spans="1:4" ht="21.75" thickBot="1" x14ac:dyDescent="0.3">
      <c r="A2552" s="38"/>
      <c r="B2552" s="44"/>
      <c r="C2552" s="45"/>
      <c r="D2552" s="44"/>
    </row>
    <row r="2553" spans="1:4" ht="19.5" thickBot="1" x14ac:dyDescent="0.3">
      <c r="A2553" s="19"/>
      <c r="B2553" s="20"/>
      <c r="C2553" s="63"/>
      <c r="D2553" s="14"/>
    </row>
    <row r="2554" spans="1:4" ht="19.5" thickBot="1" x14ac:dyDescent="0.3">
      <c r="A2554" s="19"/>
      <c r="B2554" s="20"/>
      <c r="C2554" s="63"/>
      <c r="D2554" s="14"/>
    </row>
    <row r="2555" spans="1:4" ht="19.5" thickBot="1" x14ac:dyDescent="0.3">
      <c r="A2555" s="19"/>
      <c r="B2555" s="20"/>
      <c r="C2555" s="48"/>
      <c r="D2555" s="46"/>
    </row>
    <row r="2556" spans="1:4" ht="15.75" thickBot="1" x14ac:dyDescent="0.3">
      <c r="A2556" s="32"/>
      <c r="B2556" s="33"/>
      <c r="C2556" s="32"/>
      <c r="D2556" s="34"/>
    </row>
    <row r="2557" spans="1:4" ht="15.75" thickBot="1" x14ac:dyDescent="0.3">
      <c r="A2557" s="58"/>
      <c r="B2557" s="58"/>
      <c r="C2557" s="58"/>
      <c r="D2557" s="35"/>
    </row>
    <row r="2558" spans="1:4" ht="15.75" x14ac:dyDescent="0.25">
      <c r="A2558" s="285"/>
      <c r="B2558" s="59"/>
      <c r="C2558" s="59"/>
      <c r="D2558" s="60"/>
    </row>
    <row r="2559" spans="1:4" ht="16.5" thickBot="1" x14ac:dyDescent="0.3">
      <c r="A2559" s="286"/>
      <c r="B2559" s="62"/>
      <c r="C2559" s="62"/>
      <c r="D2559" s="61"/>
    </row>
    <row r="2560" spans="1:4" ht="15.75" x14ac:dyDescent="0.25">
      <c r="A2560" s="285"/>
      <c r="B2560" s="59"/>
      <c r="C2560" s="59"/>
      <c r="D2560" s="60"/>
    </row>
    <row r="2561" spans="1:4" ht="16.5" thickBot="1" x14ac:dyDescent="0.3">
      <c r="A2561" s="286"/>
      <c r="B2561" s="62"/>
      <c r="C2561" s="62"/>
      <c r="D2561" s="61"/>
    </row>
    <row r="2562" spans="1:4" ht="16.5" thickBot="1" x14ac:dyDescent="0.3">
      <c r="A2562" s="57"/>
      <c r="B2562" s="36"/>
      <c r="C2562" s="36"/>
      <c r="D2562" s="36"/>
    </row>
    <row r="2563" spans="1:4" ht="15.75" thickBot="1" x14ac:dyDescent="0.3">
      <c r="A2563" s="287"/>
      <c r="B2563" s="288"/>
      <c r="C2563" s="288"/>
      <c r="D2563" s="289"/>
    </row>
    <row r="2564" spans="1:4" ht="18.75" x14ac:dyDescent="0.25">
      <c r="A2564" s="5"/>
      <c r="B2564" s="6"/>
      <c r="C2564" s="7"/>
      <c r="D2564" s="8"/>
    </row>
    <row r="2565" spans="1:4" ht="19.5" thickBot="1" x14ac:dyDescent="0.3">
      <c r="A2565" s="9"/>
      <c r="B2565" s="10"/>
      <c r="C2565" s="10"/>
      <c r="D2565" s="11"/>
    </row>
    <row r="2566" spans="1:4" ht="21.75" thickBot="1" x14ac:dyDescent="0.3">
      <c r="A2566" s="43"/>
      <c r="B2566" s="290"/>
      <c r="C2566" s="291"/>
      <c r="D2566" s="43"/>
    </row>
    <row r="2567" spans="1:4" ht="21.75" thickBot="1" x14ac:dyDescent="0.3">
      <c r="A2567" s="38"/>
      <c r="B2567" s="44"/>
      <c r="C2567" s="45"/>
      <c r="D2567" s="44"/>
    </row>
    <row r="2568" spans="1:4" ht="19.5" thickBot="1" x14ac:dyDescent="0.3">
      <c r="A2568" s="19"/>
      <c r="B2568" s="20"/>
      <c r="C2568" s="63"/>
      <c r="D2568" s="14"/>
    </row>
    <row r="2569" spans="1:4" ht="19.5" thickBot="1" x14ac:dyDescent="0.3">
      <c r="A2569" s="19"/>
      <c r="B2569" s="20"/>
      <c r="C2569" s="48"/>
      <c r="D2569" s="46"/>
    </row>
    <row r="2570" spans="1:4" ht="15.75" thickBot="1" x14ac:dyDescent="0.3">
      <c r="A2570" s="32"/>
      <c r="B2570" s="33"/>
      <c r="C2570" s="32"/>
      <c r="D2570" s="34"/>
    </row>
    <row r="2571" spans="1:4" ht="15.75" thickBot="1" x14ac:dyDescent="0.3">
      <c r="A2571" s="58"/>
      <c r="B2571" s="58"/>
      <c r="C2571" s="58"/>
      <c r="D2571" s="35"/>
    </row>
    <row r="2572" spans="1:4" ht="15.75" x14ac:dyDescent="0.25">
      <c r="A2572" s="285"/>
      <c r="B2572" s="59"/>
      <c r="C2572" s="59"/>
      <c r="D2572" s="60"/>
    </row>
    <row r="2573" spans="1:4" ht="16.5" thickBot="1" x14ac:dyDescent="0.3">
      <c r="A2573" s="286"/>
      <c r="B2573" s="62"/>
      <c r="C2573" s="62"/>
      <c r="D2573" s="61"/>
    </row>
    <row r="2574" spans="1:4" ht="15.75" x14ac:dyDescent="0.25">
      <c r="A2574" s="285"/>
      <c r="B2574" s="59"/>
      <c r="C2574" s="59"/>
      <c r="D2574" s="60"/>
    </row>
    <row r="2575" spans="1:4" ht="16.5" thickBot="1" x14ac:dyDescent="0.3">
      <c r="A2575" s="286"/>
      <c r="B2575" s="62"/>
      <c r="C2575" s="62"/>
      <c r="D2575" s="61"/>
    </row>
    <row r="2576" spans="1:4" ht="16.5" thickBot="1" x14ac:dyDescent="0.3">
      <c r="A2576" s="57"/>
      <c r="B2576" s="36"/>
      <c r="C2576" s="36"/>
      <c r="D2576" s="36"/>
    </row>
    <row r="2577" spans="1:4" ht="15.75" thickBot="1" x14ac:dyDescent="0.3">
      <c r="A2577" s="287"/>
      <c r="B2577" s="288"/>
      <c r="C2577" s="288"/>
      <c r="D2577" s="289"/>
    </row>
    <row r="2578" spans="1:4" ht="18.75" x14ac:dyDescent="0.25">
      <c r="A2578" s="5"/>
      <c r="B2578" s="6"/>
      <c r="C2578" s="7"/>
      <c r="D2578" s="8"/>
    </row>
    <row r="2579" spans="1:4" ht="19.5" thickBot="1" x14ac:dyDescent="0.3">
      <c r="A2579" s="9"/>
      <c r="B2579" s="10"/>
      <c r="C2579" s="10"/>
      <c r="D2579" s="11"/>
    </row>
    <row r="2580" spans="1:4" ht="21.75" thickBot="1" x14ac:dyDescent="0.3">
      <c r="A2580" s="43"/>
      <c r="B2580" s="290"/>
      <c r="C2580" s="291"/>
      <c r="D2580" s="43"/>
    </row>
    <row r="2581" spans="1:4" ht="21.75" thickBot="1" x14ac:dyDescent="0.3">
      <c r="A2581" s="38"/>
      <c r="B2581" s="44"/>
      <c r="C2581" s="45"/>
      <c r="D2581" s="44"/>
    </row>
    <row r="2582" spans="1:4" ht="19.5" thickBot="1" x14ac:dyDescent="0.3">
      <c r="A2582" s="19"/>
      <c r="B2582" s="20"/>
      <c r="C2582" s="63"/>
      <c r="D2582" s="14"/>
    </row>
    <row r="2583" spans="1:4" ht="19.5" thickBot="1" x14ac:dyDescent="0.3">
      <c r="A2583" s="19"/>
      <c r="B2583" s="20"/>
      <c r="C2583" s="63"/>
      <c r="D2583" s="14"/>
    </row>
    <row r="2584" spans="1:4" ht="19.5" thickBot="1" x14ac:dyDescent="0.3">
      <c r="A2584" s="19"/>
      <c r="B2584" s="20"/>
      <c r="C2584" s="48"/>
      <c r="D2584" s="46"/>
    </row>
    <row r="2585" spans="1:4" ht="15.75" thickBot="1" x14ac:dyDescent="0.3">
      <c r="A2585" s="32"/>
      <c r="B2585" s="33"/>
      <c r="C2585" s="32"/>
      <c r="D2585" s="34"/>
    </row>
    <row r="2586" spans="1:4" ht="15.75" thickBot="1" x14ac:dyDescent="0.3">
      <c r="A2586" s="58"/>
      <c r="B2586" s="58"/>
      <c r="C2586" s="58"/>
      <c r="D2586" s="35"/>
    </row>
    <row r="2587" spans="1:4" ht="15.75" x14ac:dyDescent="0.25">
      <c r="A2587" s="285"/>
      <c r="B2587" s="59"/>
      <c r="C2587" s="59"/>
      <c r="D2587" s="60"/>
    </row>
    <row r="2588" spans="1:4" ht="16.5" thickBot="1" x14ac:dyDescent="0.3">
      <c r="A2588" s="286"/>
      <c r="B2588" s="62"/>
      <c r="C2588" s="62"/>
      <c r="D2588" s="61"/>
    </row>
    <row r="2589" spans="1:4" ht="15.75" x14ac:dyDescent="0.25">
      <c r="A2589" s="285"/>
      <c r="B2589" s="59"/>
      <c r="C2589" s="59"/>
      <c r="D2589" s="60"/>
    </row>
    <row r="2590" spans="1:4" ht="16.5" thickBot="1" x14ac:dyDescent="0.3">
      <c r="A2590" s="286"/>
      <c r="B2590" s="62"/>
      <c r="C2590" s="62"/>
      <c r="D2590" s="61"/>
    </row>
    <row r="2591" spans="1:4" ht="16.5" thickBot="1" x14ac:dyDescent="0.3">
      <c r="A2591" s="57"/>
      <c r="B2591" s="36"/>
      <c r="C2591" s="36"/>
      <c r="D2591" s="36"/>
    </row>
    <row r="2592" spans="1:4" ht="15.75" thickBot="1" x14ac:dyDescent="0.3">
      <c r="A2592" s="287"/>
      <c r="B2592" s="288"/>
      <c r="C2592" s="288"/>
      <c r="D2592" s="289"/>
    </row>
    <row r="2593" spans="1:4" ht="18.75" x14ac:dyDescent="0.25">
      <c r="A2593" s="5"/>
      <c r="B2593" s="6"/>
      <c r="C2593" s="7"/>
      <c r="D2593" s="8"/>
    </row>
    <row r="2594" spans="1:4" ht="19.5" thickBot="1" x14ac:dyDescent="0.3">
      <c r="A2594" s="9"/>
      <c r="B2594" s="10"/>
      <c r="C2594" s="10"/>
      <c r="D2594" s="11"/>
    </row>
    <row r="2595" spans="1:4" ht="21.75" thickBot="1" x14ac:dyDescent="0.3">
      <c r="A2595" s="43"/>
      <c r="B2595" s="290"/>
      <c r="C2595" s="291"/>
      <c r="D2595" s="43"/>
    </row>
    <row r="2596" spans="1:4" ht="21.75" thickBot="1" x14ac:dyDescent="0.3">
      <c r="A2596" s="38"/>
      <c r="B2596" s="44"/>
      <c r="C2596" s="45"/>
      <c r="D2596" s="44"/>
    </row>
    <row r="2597" spans="1:4" ht="19.5" thickBot="1" x14ac:dyDescent="0.3">
      <c r="A2597" s="19"/>
      <c r="B2597" s="20"/>
      <c r="C2597" s="63"/>
      <c r="D2597" s="14"/>
    </row>
    <row r="2598" spans="1:4" ht="19.5" thickBot="1" x14ac:dyDescent="0.3">
      <c r="A2598" s="19"/>
      <c r="B2598" s="20"/>
      <c r="C2598" s="48"/>
      <c r="D2598" s="46"/>
    </row>
    <row r="2599" spans="1:4" ht="15.75" thickBot="1" x14ac:dyDescent="0.3">
      <c r="A2599" s="32"/>
      <c r="B2599" s="33"/>
      <c r="C2599" s="32"/>
      <c r="D2599" s="34"/>
    </row>
    <row r="2600" spans="1:4" ht="15.75" thickBot="1" x14ac:dyDescent="0.3">
      <c r="A2600" s="58"/>
      <c r="B2600" s="58"/>
      <c r="C2600" s="58"/>
      <c r="D2600" s="35"/>
    </row>
    <row r="2601" spans="1:4" ht="15.75" x14ac:dyDescent="0.25">
      <c r="A2601" s="285"/>
      <c r="B2601" s="59"/>
      <c r="C2601" s="59"/>
      <c r="D2601" s="60"/>
    </row>
    <row r="2602" spans="1:4" ht="16.5" thickBot="1" x14ac:dyDescent="0.3">
      <c r="A2602" s="286"/>
      <c r="B2602" s="62"/>
      <c r="C2602" s="62"/>
      <c r="D2602" s="61"/>
    </row>
    <row r="2603" spans="1:4" ht="15.75" x14ac:dyDescent="0.25">
      <c r="A2603" s="285"/>
      <c r="B2603" s="59"/>
      <c r="C2603" s="59"/>
      <c r="D2603" s="60"/>
    </row>
    <row r="2604" spans="1:4" ht="16.5" thickBot="1" x14ac:dyDescent="0.3">
      <c r="A2604" s="286"/>
      <c r="B2604" s="62"/>
      <c r="C2604" s="62"/>
      <c r="D2604" s="61"/>
    </row>
    <row r="2605" spans="1:4" ht="16.5" thickBot="1" x14ac:dyDescent="0.3">
      <c r="A2605" s="57"/>
      <c r="B2605" s="36"/>
      <c r="C2605" s="36"/>
      <c r="D2605" s="36"/>
    </row>
    <row r="2606" spans="1:4" ht="15.75" thickBot="1" x14ac:dyDescent="0.3">
      <c r="A2606" s="287"/>
      <c r="B2606" s="288"/>
      <c r="C2606" s="288"/>
      <c r="D2606" s="289"/>
    </row>
    <row r="2607" spans="1:4" ht="18.75" x14ac:dyDescent="0.25">
      <c r="A2607" s="5"/>
      <c r="B2607" s="6"/>
      <c r="C2607" s="7"/>
      <c r="D2607" s="8"/>
    </row>
    <row r="2608" spans="1:4" ht="19.5" thickBot="1" x14ac:dyDescent="0.3">
      <c r="A2608" s="9"/>
      <c r="B2608" s="10"/>
      <c r="C2608" s="10"/>
      <c r="D2608" s="11"/>
    </row>
    <row r="2609" spans="1:4" ht="21.75" thickBot="1" x14ac:dyDescent="0.3">
      <c r="A2609" s="43"/>
      <c r="B2609" s="290"/>
      <c r="C2609" s="291"/>
      <c r="D2609" s="43"/>
    </row>
    <row r="2610" spans="1:4" ht="21.75" thickBot="1" x14ac:dyDescent="0.3">
      <c r="A2610" s="38"/>
      <c r="B2610" s="44"/>
      <c r="C2610" s="45"/>
      <c r="D2610" s="44"/>
    </row>
    <row r="2611" spans="1:4" ht="19.5" thickBot="1" x14ac:dyDescent="0.3">
      <c r="A2611" s="19"/>
      <c r="B2611" s="20"/>
      <c r="C2611" s="63"/>
      <c r="D2611" s="14"/>
    </row>
    <row r="2612" spans="1:4" ht="19.5" thickBot="1" x14ac:dyDescent="0.3">
      <c r="A2612" s="19"/>
      <c r="B2612" s="20"/>
      <c r="C2612" s="63"/>
      <c r="D2612" s="14"/>
    </row>
    <row r="2613" spans="1:4" ht="19.5" thickBot="1" x14ac:dyDescent="0.3">
      <c r="A2613" s="19"/>
      <c r="B2613" s="20"/>
      <c r="C2613" s="48"/>
      <c r="D2613" s="46"/>
    </row>
    <row r="2614" spans="1:4" ht="15.75" thickBot="1" x14ac:dyDescent="0.3">
      <c r="A2614" s="32"/>
      <c r="B2614" s="33"/>
      <c r="C2614" s="32"/>
      <c r="D2614" s="34"/>
    </row>
    <row r="2615" spans="1:4" ht="15.75" thickBot="1" x14ac:dyDescent="0.3">
      <c r="A2615" s="58"/>
      <c r="B2615" s="58"/>
      <c r="C2615" s="58"/>
      <c r="D2615" s="35"/>
    </row>
    <row r="2616" spans="1:4" ht="15.75" x14ac:dyDescent="0.25">
      <c r="A2616" s="285"/>
      <c r="B2616" s="59"/>
      <c r="C2616" s="59"/>
      <c r="D2616" s="60"/>
    </row>
    <row r="2617" spans="1:4" ht="16.5" thickBot="1" x14ac:dyDescent="0.3">
      <c r="A2617" s="286"/>
      <c r="B2617" s="62"/>
      <c r="C2617" s="62"/>
      <c r="D2617" s="61"/>
    </row>
    <row r="2618" spans="1:4" ht="15.75" x14ac:dyDescent="0.25">
      <c r="A2618" s="285"/>
      <c r="B2618" s="59"/>
      <c r="C2618" s="59"/>
      <c r="D2618" s="60"/>
    </row>
    <row r="2619" spans="1:4" ht="16.5" thickBot="1" x14ac:dyDescent="0.3">
      <c r="A2619" s="286"/>
      <c r="B2619" s="62"/>
      <c r="C2619" s="62"/>
      <c r="D2619" s="61"/>
    </row>
    <row r="2620" spans="1:4" ht="16.5" thickBot="1" x14ac:dyDescent="0.3">
      <c r="A2620" s="57"/>
      <c r="B2620" s="36"/>
      <c r="C2620" s="36"/>
      <c r="D2620" s="36"/>
    </row>
    <row r="2621" spans="1:4" ht="15.75" thickBot="1" x14ac:dyDescent="0.3">
      <c r="A2621" s="287"/>
      <c r="B2621" s="288"/>
      <c r="C2621" s="288"/>
      <c r="D2621" s="289"/>
    </row>
    <row r="2622" spans="1:4" ht="18.75" x14ac:dyDescent="0.25">
      <c r="A2622" s="5"/>
      <c r="B2622" s="6"/>
      <c r="C2622" s="7"/>
      <c r="D2622" s="8"/>
    </row>
    <row r="2623" spans="1:4" ht="19.5" thickBot="1" x14ac:dyDescent="0.3">
      <c r="A2623" s="9"/>
      <c r="B2623" s="10"/>
      <c r="C2623" s="10"/>
      <c r="D2623" s="11"/>
    </row>
    <row r="2624" spans="1:4" ht="21.75" thickBot="1" x14ac:dyDescent="0.3">
      <c r="A2624" s="43"/>
      <c r="B2624" s="290"/>
      <c r="C2624" s="291"/>
      <c r="D2624" s="43"/>
    </row>
    <row r="2625" spans="1:4" ht="21.75" thickBot="1" x14ac:dyDescent="0.3">
      <c r="A2625" s="38"/>
      <c r="B2625" s="44"/>
      <c r="C2625" s="45"/>
      <c r="D2625" s="44"/>
    </row>
    <row r="2626" spans="1:4" ht="19.5" thickBot="1" x14ac:dyDescent="0.3">
      <c r="A2626" s="19"/>
      <c r="B2626" s="20"/>
      <c r="C2626" s="63"/>
      <c r="D2626" s="14"/>
    </row>
    <row r="2627" spans="1:4" ht="19.5" thickBot="1" x14ac:dyDescent="0.3">
      <c r="A2627" s="19"/>
      <c r="B2627" s="20"/>
      <c r="C2627" s="48"/>
      <c r="D2627" s="46"/>
    </row>
    <row r="2628" spans="1:4" ht="15.75" thickBot="1" x14ac:dyDescent="0.3">
      <c r="A2628" s="32"/>
      <c r="B2628" s="33"/>
      <c r="C2628" s="32"/>
      <c r="D2628" s="34"/>
    </row>
    <row r="2629" spans="1:4" ht="15.75" thickBot="1" x14ac:dyDescent="0.3">
      <c r="A2629" s="58"/>
      <c r="B2629" s="58"/>
      <c r="C2629" s="58"/>
      <c r="D2629" s="35"/>
    </row>
    <row r="2630" spans="1:4" ht="15.75" x14ac:dyDescent="0.25">
      <c r="A2630" s="285"/>
      <c r="B2630" s="59"/>
      <c r="C2630" s="59"/>
      <c r="D2630" s="60"/>
    </row>
    <row r="2631" spans="1:4" ht="16.5" thickBot="1" x14ac:dyDescent="0.3">
      <c r="A2631" s="286"/>
      <c r="B2631" s="62"/>
      <c r="C2631" s="62"/>
      <c r="D2631" s="61"/>
    </row>
    <row r="2632" spans="1:4" ht="15.75" x14ac:dyDescent="0.25">
      <c r="A2632" s="285"/>
      <c r="B2632" s="59"/>
      <c r="C2632" s="59"/>
      <c r="D2632" s="60"/>
    </row>
    <row r="2633" spans="1:4" ht="16.5" thickBot="1" x14ac:dyDescent="0.3">
      <c r="A2633" s="286"/>
      <c r="B2633" s="62"/>
      <c r="C2633" s="62"/>
      <c r="D2633" s="61"/>
    </row>
    <row r="2634" spans="1:4" ht="16.5" thickBot="1" x14ac:dyDescent="0.3">
      <c r="A2634" s="57"/>
      <c r="B2634" s="36"/>
      <c r="C2634" s="36"/>
      <c r="D2634" s="36"/>
    </row>
    <row r="2635" spans="1:4" ht="15.75" thickBot="1" x14ac:dyDescent="0.3">
      <c r="A2635" s="287"/>
      <c r="B2635" s="288"/>
      <c r="C2635" s="288"/>
      <c r="D2635" s="289"/>
    </row>
    <row r="2636" spans="1:4" ht="18.75" x14ac:dyDescent="0.25">
      <c r="A2636" s="5"/>
      <c r="B2636" s="6"/>
      <c r="C2636" s="7"/>
      <c r="D2636" s="8"/>
    </row>
    <row r="2637" spans="1:4" ht="19.5" thickBot="1" x14ac:dyDescent="0.3">
      <c r="A2637" s="9"/>
      <c r="B2637" s="10"/>
      <c r="C2637" s="10"/>
      <c r="D2637" s="11"/>
    </row>
    <row r="2638" spans="1:4" ht="21.75" thickBot="1" x14ac:dyDescent="0.3">
      <c r="A2638" s="43"/>
      <c r="B2638" s="290"/>
      <c r="C2638" s="291"/>
      <c r="D2638" s="43"/>
    </row>
    <row r="2639" spans="1:4" ht="21.75" thickBot="1" x14ac:dyDescent="0.3">
      <c r="A2639" s="38"/>
      <c r="B2639" s="44"/>
      <c r="C2639" s="45"/>
      <c r="D2639" s="44"/>
    </row>
    <row r="2640" spans="1:4" ht="19.5" thickBot="1" x14ac:dyDescent="0.3">
      <c r="A2640" s="19"/>
      <c r="B2640" s="20"/>
      <c r="C2640" s="63"/>
      <c r="D2640" s="14"/>
    </row>
    <row r="2641" spans="1:4" ht="19.5" thickBot="1" x14ac:dyDescent="0.3">
      <c r="A2641" s="19"/>
      <c r="B2641" s="20"/>
      <c r="C2641" s="63"/>
      <c r="D2641" s="14"/>
    </row>
    <row r="2642" spans="1:4" ht="19.5" thickBot="1" x14ac:dyDescent="0.3">
      <c r="A2642" s="19"/>
      <c r="B2642" s="20"/>
      <c r="C2642" s="48"/>
      <c r="D2642" s="46"/>
    </row>
    <row r="2643" spans="1:4" ht="15.75" thickBot="1" x14ac:dyDescent="0.3">
      <c r="A2643" s="32"/>
      <c r="B2643" s="33"/>
      <c r="C2643" s="32"/>
      <c r="D2643" s="34"/>
    </row>
    <row r="2644" spans="1:4" ht="15.75" thickBot="1" x14ac:dyDescent="0.3">
      <c r="A2644" s="58"/>
      <c r="B2644" s="58"/>
      <c r="C2644" s="58"/>
      <c r="D2644" s="35"/>
    </row>
    <row r="2645" spans="1:4" ht="15.75" x14ac:dyDescent="0.25">
      <c r="A2645" s="285"/>
      <c r="B2645" s="59"/>
      <c r="C2645" s="59"/>
      <c r="D2645" s="60"/>
    </row>
    <row r="2646" spans="1:4" ht="16.5" thickBot="1" x14ac:dyDescent="0.3">
      <c r="A2646" s="286"/>
      <c r="B2646" s="62"/>
      <c r="C2646" s="62"/>
      <c r="D2646" s="61"/>
    </row>
    <row r="2647" spans="1:4" ht="15.75" x14ac:dyDescent="0.25">
      <c r="A2647" s="285"/>
      <c r="B2647" s="59"/>
      <c r="C2647" s="59"/>
      <c r="D2647" s="60"/>
    </row>
    <row r="2648" spans="1:4" ht="16.5" thickBot="1" x14ac:dyDescent="0.3">
      <c r="A2648" s="286"/>
      <c r="B2648" s="62"/>
      <c r="C2648" s="62"/>
      <c r="D2648" s="61"/>
    </row>
    <row r="2649" spans="1:4" ht="16.5" thickBot="1" x14ac:dyDescent="0.3">
      <c r="A2649" s="57"/>
      <c r="B2649" s="36"/>
      <c r="C2649" s="36"/>
      <c r="D2649" s="36"/>
    </row>
    <row r="2650" spans="1:4" ht="15.75" thickBot="1" x14ac:dyDescent="0.3">
      <c r="A2650" s="287"/>
      <c r="B2650" s="288"/>
      <c r="C2650" s="288"/>
      <c r="D2650" s="289"/>
    </row>
    <row r="2651" spans="1:4" ht="18.75" x14ac:dyDescent="0.25">
      <c r="A2651" s="5"/>
      <c r="B2651" s="6"/>
      <c r="C2651" s="7"/>
      <c r="D2651" s="8"/>
    </row>
    <row r="2652" spans="1:4" ht="19.5" thickBot="1" x14ac:dyDescent="0.3">
      <c r="A2652" s="9"/>
      <c r="B2652" s="10"/>
      <c r="C2652" s="10"/>
      <c r="D2652" s="11"/>
    </row>
    <row r="2653" spans="1:4" ht="21.75" thickBot="1" x14ac:dyDescent="0.3">
      <c r="A2653" s="43"/>
      <c r="B2653" s="290"/>
      <c r="C2653" s="291"/>
      <c r="D2653" s="43"/>
    </row>
    <row r="2654" spans="1:4" ht="21.75" thickBot="1" x14ac:dyDescent="0.3">
      <c r="A2654" s="38"/>
      <c r="B2654" s="44"/>
      <c r="C2654" s="45"/>
      <c r="D2654" s="44"/>
    </row>
    <row r="2655" spans="1:4" ht="19.5" thickBot="1" x14ac:dyDescent="0.3">
      <c r="A2655" s="19"/>
      <c r="B2655" s="20"/>
      <c r="C2655" s="63"/>
      <c r="D2655" s="14"/>
    </row>
    <row r="2656" spans="1:4" ht="19.5" thickBot="1" x14ac:dyDescent="0.3">
      <c r="A2656" s="19"/>
      <c r="B2656" s="20"/>
      <c r="C2656" s="48"/>
      <c r="D2656" s="46"/>
    </row>
    <row r="2657" spans="1:4" ht="15.75" thickBot="1" x14ac:dyDescent="0.3">
      <c r="A2657" s="32"/>
      <c r="B2657" s="33"/>
      <c r="C2657" s="32"/>
      <c r="D2657" s="34"/>
    </row>
    <row r="2658" spans="1:4" ht="15.75" thickBot="1" x14ac:dyDescent="0.3">
      <c r="A2658" s="58"/>
      <c r="B2658" s="58"/>
      <c r="C2658" s="58"/>
      <c r="D2658" s="35"/>
    </row>
    <row r="2659" spans="1:4" ht="15.75" x14ac:dyDescent="0.25">
      <c r="A2659" s="285"/>
      <c r="B2659" s="59"/>
      <c r="C2659" s="59"/>
      <c r="D2659" s="60"/>
    </row>
    <row r="2660" spans="1:4" ht="16.5" thickBot="1" x14ac:dyDescent="0.3">
      <c r="A2660" s="286"/>
      <c r="B2660" s="62"/>
      <c r="C2660" s="62"/>
      <c r="D2660" s="61"/>
    </row>
    <row r="2661" spans="1:4" ht="15.75" x14ac:dyDescent="0.25">
      <c r="A2661" s="285"/>
      <c r="B2661" s="59"/>
      <c r="C2661" s="59"/>
      <c r="D2661" s="60"/>
    </row>
    <row r="2662" spans="1:4" ht="16.5" thickBot="1" x14ac:dyDescent="0.3">
      <c r="A2662" s="286"/>
      <c r="B2662" s="62"/>
      <c r="C2662" s="62"/>
      <c r="D2662" s="61"/>
    </row>
    <row r="2663" spans="1:4" ht="16.5" thickBot="1" x14ac:dyDescent="0.3">
      <c r="A2663" s="57"/>
      <c r="B2663" s="36"/>
      <c r="C2663" s="36"/>
      <c r="D2663" s="36"/>
    </row>
    <row r="2664" spans="1:4" ht="15.75" thickBot="1" x14ac:dyDescent="0.3">
      <c r="A2664" s="287"/>
      <c r="B2664" s="288"/>
      <c r="C2664" s="288"/>
      <c r="D2664" s="289"/>
    </row>
    <row r="2665" spans="1:4" ht="18.75" x14ac:dyDescent="0.25">
      <c r="A2665" s="5"/>
      <c r="B2665" s="6"/>
      <c r="C2665" s="7"/>
      <c r="D2665" s="8"/>
    </row>
    <row r="2666" spans="1:4" ht="19.5" thickBot="1" x14ac:dyDescent="0.3">
      <c r="A2666" s="9"/>
      <c r="B2666" s="10"/>
      <c r="C2666" s="10"/>
      <c r="D2666" s="11"/>
    </row>
    <row r="2667" spans="1:4" ht="21.75" thickBot="1" x14ac:dyDescent="0.3">
      <c r="A2667" s="43"/>
      <c r="B2667" s="290"/>
      <c r="C2667" s="291"/>
      <c r="D2667" s="43"/>
    </row>
    <row r="2668" spans="1:4" ht="21.75" thickBot="1" x14ac:dyDescent="0.3">
      <c r="A2668" s="38"/>
      <c r="B2668" s="44"/>
      <c r="C2668" s="45"/>
      <c r="D2668" s="44"/>
    </row>
    <row r="2669" spans="1:4" ht="19.5" thickBot="1" x14ac:dyDescent="0.3">
      <c r="A2669" s="19"/>
      <c r="B2669" s="20"/>
      <c r="C2669" s="63"/>
      <c r="D2669" s="14"/>
    </row>
    <row r="2670" spans="1:4" ht="19.5" thickBot="1" x14ac:dyDescent="0.3">
      <c r="A2670" s="19"/>
      <c r="B2670" s="20"/>
      <c r="C2670" s="63"/>
      <c r="D2670" s="14"/>
    </row>
    <row r="2671" spans="1:4" ht="19.5" thickBot="1" x14ac:dyDescent="0.3">
      <c r="A2671" s="19"/>
      <c r="B2671" s="20"/>
      <c r="C2671" s="48"/>
      <c r="D2671" s="46"/>
    </row>
    <row r="2672" spans="1:4" ht="15.75" thickBot="1" x14ac:dyDescent="0.3">
      <c r="A2672" s="32"/>
      <c r="B2672" s="33"/>
      <c r="C2672" s="32"/>
      <c r="D2672" s="34"/>
    </row>
    <row r="2673" spans="1:4" ht="15.75" thickBot="1" x14ac:dyDescent="0.3">
      <c r="A2673" s="58"/>
      <c r="B2673" s="58"/>
      <c r="C2673" s="58"/>
      <c r="D2673" s="35"/>
    </row>
    <row r="2674" spans="1:4" ht="15.75" x14ac:dyDescent="0.25">
      <c r="A2674" s="285"/>
      <c r="B2674" s="59"/>
      <c r="C2674" s="59"/>
      <c r="D2674" s="60"/>
    </row>
    <row r="2675" spans="1:4" ht="16.5" thickBot="1" x14ac:dyDescent="0.3">
      <c r="A2675" s="286"/>
      <c r="B2675" s="62"/>
      <c r="C2675" s="62"/>
      <c r="D2675" s="61"/>
    </row>
    <row r="2676" spans="1:4" ht="15.75" x14ac:dyDescent="0.25">
      <c r="A2676" s="285"/>
      <c r="B2676" s="59"/>
      <c r="C2676" s="59"/>
      <c r="D2676" s="60"/>
    </row>
    <row r="2677" spans="1:4" ht="16.5" thickBot="1" x14ac:dyDescent="0.3">
      <c r="A2677" s="286"/>
      <c r="B2677" s="62"/>
      <c r="C2677" s="62"/>
      <c r="D2677" s="61"/>
    </row>
    <row r="2678" spans="1:4" ht="16.5" thickBot="1" x14ac:dyDescent="0.3">
      <c r="A2678" s="57"/>
      <c r="B2678" s="36"/>
      <c r="C2678" s="36"/>
      <c r="D2678" s="36"/>
    </row>
    <row r="2679" spans="1:4" ht="15.75" thickBot="1" x14ac:dyDescent="0.3">
      <c r="A2679" s="287"/>
      <c r="B2679" s="288"/>
      <c r="C2679" s="288"/>
      <c r="D2679" s="289"/>
    </row>
    <row r="2680" spans="1:4" ht="18.75" x14ac:dyDescent="0.25">
      <c r="A2680" s="5"/>
      <c r="B2680" s="6"/>
      <c r="C2680" s="7"/>
      <c r="D2680" s="8"/>
    </row>
    <row r="2681" spans="1:4" ht="19.5" thickBot="1" x14ac:dyDescent="0.3">
      <c r="A2681" s="9"/>
      <c r="B2681" s="10"/>
      <c r="C2681" s="10"/>
      <c r="D2681" s="11"/>
    </row>
    <row r="2682" spans="1:4" ht="21.75" thickBot="1" x14ac:dyDescent="0.3">
      <c r="A2682" s="43"/>
      <c r="B2682" s="290"/>
      <c r="C2682" s="291"/>
      <c r="D2682" s="43"/>
    </row>
    <row r="2683" spans="1:4" ht="21.75" thickBot="1" x14ac:dyDescent="0.3">
      <c r="A2683" s="38"/>
      <c r="B2683" s="44"/>
      <c r="C2683" s="45"/>
      <c r="D2683" s="44"/>
    </row>
    <row r="2684" spans="1:4" ht="19.5" thickBot="1" x14ac:dyDescent="0.3">
      <c r="A2684" s="19"/>
      <c r="B2684" s="20"/>
      <c r="C2684" s="63"/>
      <c r="D2684" s="14"/>
    </row>
    <row r="2685" spans="1:4" ht="19.5" thickBot="1" x14ac:dyDescent="0.3">
      <c r="A2685" s="19"/>
      <c r="B2685" s="20"/>
      <c r="C2685" s="48"/>
      <c r="D2685" s="46"/>
    </row>
    <row r="2686" spans="1:4" ht="15.75" thickBot="1" x14ac:dyDescent="0.3">
      <c r="A2686" s="32"/>
      <c r="B2686" s="33"/>
      <c r="C2686" s="32"/>
      <c r="D2686" s="34"/>
    </row>
    <row r="2687" spans="1:4" ht="15.75" thickBot="1" x14ac:dyDescent="0.3">
      <c r="A2687" s="58"/>
      <c r="B2687" s="58"/>
      <c r="C2687" s="58"/>
      <c r="D2687" s="35"/>
    </row>
    <row r="2688" spans="1:4" ht="15.75" x14ac:dyDescent="0.25">
      <c r="A2688" s="285"/>
      <c r="B2688" s="59"/>
      <c r="C2688" s="59"/>
      <c r="D2688" s="60"/>
    </row>
    <row r="2689" spans="1:4" ht="16.5" thickBot="1" x14ac:dyDescent="0.3">
      <c r="A2689" s="286"/>
      <c r="B2689" s="62"/>
      <c r="C2689" s="62"/>
      <c r="D2689" s="61"/>
    </row>
    <row r="2690" spans="1:4" ht="15.75" x14ac:dyDescent="0.25">
      <c r="A2690" s="285"/>
      <c r="B2690" s="59"/>
      <c r="C2690" s="59"/>
      <c r="D2690" s="60"/>
    </row>
    <row r="2691" spans="1:4" ht="16.5" thickBot="1" x14ac:dyDescent="0.3">
      <c r="A2691" s="286"/>
      <c r="B2691" s="62"/>
      <c r="C2691" s="62"/>
      <c r="D2691" s="61"/>
    </row>
    <row r="2692" spans="1:4" ht="16.5" thickBot="1" x14ac:dyDescent="0.3">
      <c r="A2692" s="57"/>
      <c r="B2692" s="36"/>
      <c r="C2692" s="36"/>
      <c r="D2692" s="36"/>
    </row>
    <row r="2693" spans="1:4" ht="15.75" thickBot="1" x14ac:dyDescent="0.3">
      <c r="A2693" s="287"/>
      <c r="B2693" s="288"/>
      <c r="C2693" s="288"/>
      <c r="D2693" s="289"/>
    </row>
    <row r="2694" spans="1:4" ht="18.75" x14ac:dyDescent="0.25">
      <c r="A2694" s="5"/>
      <c r="B2694" s="6"/>
      <c r="C2694" s="7"/>
      <c r="D2694" s="8"/>
    </row>
    <row r="2695" spans="1:4" ht="19.5" thickBot="1" x14ac:dyDescent="0.3">
      <c r="A2695" s="9"/>
      <c r="B2695" s="10"/>
      <c r="C2695" s="10"/>
      <c r="D2695" s="11"/>
    </row>
    <row r="2696" spans="1:4" ht="21.75" thickBot="1" x14ac:dyDescent="0.3">
      <c r="A2696" s="43"/>
      <c r="B2696" s="290"/>
      <c r="C2696" s="291"/>
      <c r="D2696" s="43"/>
    </row>
    <row r="2697" spans="1:4" ht="21.75" thickBot="1" x14ac:dyDescent="0.3">
      <c r="A2697" s="38"/>
      <c r="B2697" s="44"/>
      <c r="C2697" s="45"/>
      <c r="D2697" s="44"/>
    </row>
    <row r="2698" spans="1:4" ht="19.5" thickBot="1" x14ac:dyDescent="0.3">
      <c r="A2698" s="19"/>
      <c r="B2698" s="20"/>
      <c r="C2698" s="63"/>
      <c r="D2698" s="14"/>
    </row>
    <row r="2699" spans="1:4" ht="19.5" thickBot="1" x14ac:dyDescent="0.3">
      <c r="A2699" s="19"/>
      <c r="B2699" s="20"/>
      <c r="C2699" s="63"/>
      <c r="D2699" s="14"/>
    </row>
    <row r="2700" spans="1:4" ht="19.5" thickBot="1" x14ac:dyDescent="0.3">
      <c r="A2700" s="19"/>
      <c r="B2700" s="20"/>
      <c r="C2700" s="48"/>
      <c r="D2700" s="46"/>
    </row>
    <row r="2701" spans="1:4" ht="15.75" thickBot="1" x14ac:dyDescent="0.3">
      <c r="A2701" s="32"/>
      <c r="B2701" s="33"/>
      <c r="C2701" s="32"/>
      <c r="D2701" s="34"/>
    </row>
    <row r="2702" spans="1:4" ht="15.75" thickBot="1" x14ac:dyDescent="0.3">
      <c r="A2702" s="58"/>
      <c r="B2702" s="58"/>
      <c r="C2702" s="58"/>
      <c r="D2702" s="35"/>
    </row>
    <row r="2703" spans="1:4" ht="15.75" x14ac:dyDescent="0.25">
      <c r="A2703" s="285"/>
      <c r="B2703" s="59"/>
      <c r="C2703" s="59"/>
      <c r="D2703" s="60"/>
    </row>
    <row r="2704" spans="1:4" ht="16.5" thickBot="1" x14ac:dyDescent="0.3">
      <c r="A2704" s="286"/>
      <c r="B2704" s="62"/>
      <c r="C2704" s="62"/>
      <c r="D2704" s="61"/>
    </row>
    <row r="2705" spans="1:4" ht="15.75" x14ac:dyDescent="0.25">
      <c r="A2705" s="285"/>
      <c r="B2705" s="59"/>
      <c r="C2705" s="59"/>
      <c r="D2705" s="60"/>
    </row>
    <row r="2706" spans="1:4" ht="16.5" thickBot="1" x14ac:dyDescent="0.3">
      <c r="A2706" s="286"/>
      <c r="B2706" s="62"/>
      <c r="C2706" s="62"/>
      <c r="D2706" s="61"/>
    </row>
    <row r="2707" spans="1:4" ht="16.5" thickBot="1" x14ac:dyDescent="0.3">
      <c r="A2707" s="57"/>
      <c r="B2707" s="36"/>
      <c r="C2707" s="36"/>
      <c r="D2707" s="36"/>
    </row>
    <row r="2708" spans="1:4" ht="15.75" thickBot="1" x14ac:dyDescent="0.3">
      <c r="A2708" s="287"/>
      <c r="B2708" s="288"/>
      <c r="C2708" s="288"/>
      <c r="D2708" s="289"/>
    </row>
    <row r="2709" spans="1:4" ht="18.75" x14ac:dyDescent="0.25">
      <c r="A2709" s="5"/>
      <c r="B2709" s="6"/>
      <c r="C2709" s="7"/>
      <c r="D2709" s="8"/>
    </row>
    <row r="2710" spans="1:4" ht="19.5" thickBot="1" x14ac:dyDescent="0.3">
      <c r="A2710" s="9"/>
      <c r="B2710" s="10"/>
      <c r="C2710" s="10"/>
      <c r="D2710" s="11"/>
    </row>
    <row r="2711" spans="1:4" ht="21.75" thickBot="1" x14ac:dyDescent="0.3">
      <c r="A2711" s="43"/>
      <c r="B2711" s="290"/>
      <c r="C2711" s="291"/>
      <c r="D2711" s="43"/>
    </row>
    <row r="2712" spans="1:4" ht="21.75" thickBot="1" x14ac:dyDescent="0.3">
      <c r="A2712" s="38"/>
      <c r="B2712" s="44"/>
      <c r="C2712" s="45"/>
      <c r="D2712" s="44"/>
    </row>
    <row r="2713" spans="1:4" ht="19.5" thickBot="1" x14ac:dyDescent="0.3">
      <c r="A2713" s="19"/>
      <c r="B2713" s="20"/>
      <c r="C2713" s="63"/>
      <c r="D2713" s="14"/>
    </row>
    <row r="2714" spans="1:4" ht="19.5" thickBot="1" x14ac:dyDescent="0.3">
      <c r="A2714" s="19"/>
      <c r="B2714" s="20"/>
      <c r="C2714" s="48"/>
      <c r="D2714" s="46"/>
    </row>
    <row r="2715" spans="1:4" ht="15.75" thickBot="1" x14ac:dyDescent="0.3">
      <c r="A2715" s="32"/>
      <c r="B2715" s="33"/>
      <c r="C2715" s="32"/>
      <c r="D2715" s="34"/>
    </row>
    <row r="2716" spans="1:4" ht="15.75" thickBot="1" x14ac:dyDescent="0.3">
      <c r="A2716" s="58"/>
      <c r="B2716" s="58"/>
      <c r="C2716" s="58"/>
      <c r="D2716" s="35"/>
    </row>
    <row r="2717" spans="1:4" ht="15.75" x14ac:dyDescent="0.25">
      <c r="A2717" s="285"/>
      <c r="B2717" s="59"/>
      <c r="C2717" s="59"/>
      <c r="D2717" s="60"/>
    </row>
    <row r="2718" spans="1:4" ht="16.5" thickBot="1" x14ac:dyDescent="0.3">
      <c r="A2718" s="286"/>
      <c r="B2718" s="62"/>
      <c r="C2718" s="62"/>
      <c r="D2718" s="61"/>
    </row>
    <row r="2719" spans="1:4" ht="15.75" x14ac:dyDescent="0.25">
      <c r="A2719" s="285"/>
      <c r="B2719" s="59"/>
      <c r="C2719" s="59"/>
      <c r="D2719" s="60"/>
    </row>
    <row r="2720" spans="1:4" ht="16.5" thickBot="1" x14ac:dyDescent="0.3">
      <c r="A2720" s="286"/>
      <c r="B2720" s="62"/>
      <c r="C2720" s="62"/>
      <c r="D2720" s="61"/>
    </row>
    <row r="2721" spans="1:4" ht="16.5" thickBot="1" x14ac:dyDescent="0.3">
      <c r="A2721" s="57"/>
      <c r="B2721" s="36"/>
      <c r="C2721" s="36"/>
      <c r="D2721" s="36"/>
    </row>
    <row r="2722" spans="1:4" ht="15.75" thickBot="1" x14ac:dyDescent="0.3">
      <c r="A2722" s="287"/>
      <c r="B2722" s="288"/>
      <c r="C2722" s="288"/>
      <c r="D2722" s="289"/>
    </row>
    <row r="2723" spans="1:4" ht="18.75" x14ac:dyDescent="0.25">
      <c r="A2723" s="5"/>
      <c r="B2723" s="6"/>
      <c r="C2723" s="7"/>
      <c r="D2723" s="8"/>
    </row>
    <row r="2724" spans="1:4" ht="19.5" thickBot="1" x14ac:dyDescent="0.3">
      <c r="A2724" s="9"/>
      <c r="B2724" s="10"/>
      <c r="C2724" s="10"/>
      <c r="D2724" s="11"/>
    </row>
    <row r="2725" spans="1:4" ht="21.75" thickBot="1" x14ac:dyDescent="0.3">
      <c r="A2725" s="43"/>
      <c r="B2725" s="290"/>
      <c r="C2725" s="291"/>
      <c r="D2725" s="43"/>
    </row>
    <row r="2726" spans="1:4" ht="21.75" thickBot="1" x14ac:dyDescent="0.3">
      <c r="A2726" s="38"/>
      <c r="B2726" s="44"/>
      <c r="C2726" s="45"/>
      <c r="D2726" s="44"/>
    </row>
    <row r="2727" spans="1:4" ht="19.5" thickBot="1" x14ac:dyDescent="0.3">
      <c r="A2727" s="19"/>
      <c r="B2727" s="20"/>
      <c r="C2727" s="63"/>
      <c r="D2727" s="14"/>
    </row>
    <row r="2728" spans="1:4" ht="19.5" thickBot="1" x14ac:dyDescent="0.3">
      <c r="A2728" s="19"/>
      <c r="B2728" s="20"/>
      <c r="C2728" s="63"/>
      <c r="D2728" s="14"/>
    </row>
    <row r="2729" spans="1:4" ht="19.5" thickBot="1" x14ac:dyDescent="0.3">
      <c r="A2729" s="19"/>
      <c r="B2729" s="20"/>
      <c r="C2729" s="48"/>
      <c r="D2729" s="46"/>
    </row>
    <row r="2730" spans="1:4" ht="15.75" thickBot="1" x14ac:dyDescent="0.3">
      <c r="A2730" s="32"/>
      <c r="B2730" s="33"/>
      <c r="C2730" s="32"/>
      <c r="D2730" s="34"/>
    </row>
    <row r="2731" spans="1:4" ht="15.75" thickBot="1" x14ac:dyDescent="0.3">
      <c r="A2731" s="58"/>
      <c r="B2731" s="58"/>
      <c r="C2731" s="58"/>
      <c r="D2731" s="35"/>
    </row>
    <row r="2732" spans="1:4" ht="15.75" x14ac:dyDescent="0.25">
      <c r="A2732" s="285"/>
      <c r="B2732" s="59"/>
      <c r="C2732" s="59"/>
      <c r="D2732" s="60"/>
    </row>
    <row r="2733" spans="1:4" ht="16.5" thickBot="1" x14ac:dyDescent="0.3">
      <c r="A2733" s="286"/>
      <c r="B2733" s="62"/>
      <c r="C2733" s="62"/>
      <c r="D2733" s="61"/>
    </row>
    <row r="2734" spans="1:4" ht="15.75" x14ac:dyDescent="0.25">
      <c r="A2734" s="285"/>
      <c r="B2734" s="59"/>
      <c r="C2734" s="59"/>
      <c r="D2734" s="60"/>
    </row>
    <row r="2735" spans="1:4" ht="16.5" thickBot="1" x14ac:dyDescent="0.3">
      <c r="A2735" s="286"/>
      <c r="B2735" s="62"/>
      <c r="C2735" s="62"/>
      <c r="D2735" s="61"/>
    </row>
    <row r="2736" spans="1:4" ht="16.5" thickBot="1" x14ac:dyDescent="0.3">
      <c r="A2736" s="57"/>
      <c r="B2736" s="36"/>
      <c r="C2736" s="36"/>
      <c r="D2736" s="36"/>
    </row>
    <row r="2737" spans="1:4" ht="15.75" thickBot="1" x14ac:dyDescent="0.3">
      <c r="A2737" s="287"/>
      <c r="B2737" s="288"/>
      <c r="C2737" s="288"/>
      <c r="D2737" s="289"/>
    </row>
    <row r="2738" spans="1:4" ht="18.75" x14ac:dyDescent="0.25">
      <c r="A2738" s="5"/>
      <c r="B2738" s="6"/>
      <c r="C2738" s="7"/>
      <c r="D2738" s="8"/>
    </row>
    <row r="2739" spans="1:4" ht="19.5" thickBot="1" x14ac:dyDescent="0.3">
      <c r="A2739" s="9"/>
      <c r="B2739" s="10"/>
      <c r="C2739" s="10"/>
      <c r="D2739" s="11"/>
    </row>
    <row r="2740" spans="1:4" ht="21.75" thickBot="1" x14ac:dyDescent="0.3">
      <c r="A2740" s="43"/>
      <c r="B2740" s="290"/>
      <c r="C2740" s="291"/>
      <c r="D2740" s="43"/>
    </row>
    <row r="2741" spans="1:4" ht="21.75" thickBot="1" x14ac:dyDescent="0.3">
      <c r="A2741" s="38"/>
      <c r="B2741" s="44"/>
      <c r="C2741" s="45"/>
      <c r="D2741" s="44"/>
    </row>
    <row r="2742" spans="1:4" ht="19.5" thickBot="1" x14ac:dyDescent="0.3">
      <c r="A2742" s="19"/>
      <c r="B2742" s="20"/>
      <c r="C2742" s="63"/>
      <c r="D2742" s="14"/>
    </row>
    <row r="2743" spans="1:4" ht="19.5" thickBot="1" x14ac:dyDescent="0.3">
      <c r="A2743" s="19"/>
      <c r="B2743" s="20"/>
      <c r="C2743" s="48"/>
      <c r="D2743" s="46"/>
    </row>
    <row r="2744" spans="1:4" ht="15.75" thickBot="1" x14ac:dyDescent="0.3">
      <c r="A2744" s="32"/>
      <c r="B2744" s="33"/>
      <c r="C2744" s="32"/>
      <c r="D2744" s="34"/>
    </row>
    <row r="2745" spans="1:4" ht="15.75" thickBot="1" x14ac:dyDescent="0.3">
      <c r="A2745" s="58"/>
      <c r="B2745" s="58"/>
      <c r="C2745" s="58"/>
      <c r="D2745" s="35"/>
    </row>
    <row r="2746" spans="1:4" ht="15.75" x14ac:dyDescent="0.25">
      <c r="A2746" s="285"/>
      <c r="B2746" s="59"/>
      <c r="C2746" s="59"/>
      <c r="D2746" s="60"/>
    </row>
    <row r="2747" spans="1:4" ht="16.5" thickBot="1" x14ac:dyDescent="0.3">
      <c r="A2747" s="286"/>
      <c r="B2747" s="62"/>
      <c r="C2747" s="62"/>
      <c r="D2747" s="61"/>
    </row>
    <row r="2748" spans="1:4" ht="15.75" x14ac:dyDescent="0.25">
      <c r="A2748" s="285"/>
      <c r="B2748" s="59"/>
      <c r="C2748" s="59"/>
      <c r="D2748" s="60"/>
    </row>
    <row r="2749" spans="1:4" ht="16.5" thickBot="1" x14ac:dyDescent="0.3">
      <c r="A2749" s="286"/>
      <c r="B2749" s="62"/>
      <c r="C2749" s="62"/>
      <c r="D2749" s="61"/>
    </row>
    <row r="2750" spans="1:4" ht="16.5" thickBot="1" x14ac:dyDescent="0.3">
      <c r="A2750" s="57"/>
      <c r="B2750" s="36"/>
      <c r="C2750" s="36"/>
      <c r="D2750" s="36"/>
    </row>
    <row r="2751" spans="1:4" ht="15.75" thickBot="1" x14ac:dyDescent="0.3">
      <c r="A2751" s="287"/>
      <c r="B2751" s="288"/>
      <c r="C2751" s="288"/>
      <c r="D2751" s="289"/>
    </row>
    <row r="2752" spans="1:4" ht="18.75" x14ac:dyDescent="0.25">
      <c r="A2752" s="5"/>
      <c r="B2752" s="6"/>
      <c r="C2752" s="7"/>
      <c r="D2752" s="8"/>
    </row>
    <row r="2753" spans="1:4" ht="19.5" thickBot="1" x14ac:dyDescent="0.3">
      <c r="A2753" s="9"/>
      <c r="B2753" s="10"/>
      <c r="C2753" s="10"/>
      <c r="D2753" s="11"/>
    </row>
    <row r="2754" spans="1:4" ht="21.75" thickBot="1" x14ac:dyDescent="0.3">
      <c r="A2754" s="43"/>
      <c r="B2754" s="290"/>
      <c r="C2754" s="291"/>
      <c r="D2754" s="43"/>
    </row>
    <row r="2755" spans="1:4" ht="21.75" thickBot="1" x14ac:dyDescent="0.3">
      <c r="A2755" s="38"/>
      <c r="B2755" s="44"/>
      <c r="C2755" s="45"/>
      <c r="D2755" s="44"/>
    </row>
    <row r="2756" spans="1:4" ht="19.5" thickBot="1" x14ac:dyDescent="0.3">
      <c r="A2756" s="19"/>
      <c r="B2756" s="20"/>
      <c r="C2756" s="63"/>
      <c r="D2756" s="14"/>
    </row>
    <row r="2757" spans="1:4" ht="19.5" thickBot="1" x14ac:dyDescent="0.3">
      <c r="A2757" s="19"/>
      <c r="B2757" s="20"/>
      <c r="C2757" s="63"/>
      <c r="D2757" s="14"/>
    </row>
    <row r="2758" spans="1:4" ht="19.5" thickBot="1" x14ac:dyDescent="0.3">
      <c r="A2758" s="19"/>
      <c r="B2758" s="20"/>
      <c r="C2758" s="48"/>
      <c r="D2758" s="46"/>
    </row>
    <row r="2759" spans="1:4" ht="15.75" thickBot="1" x14ac:dyDescent="0.3">
      <c r="A2759" s="32"/>
      <c r="B2759" s="33"/>
      <c r="C2759" s="32"/>
      <c r="D2759" s="34"/>
    </row>
    <row r="2760" spans="1:4" ht="15.75" thickBot="1" x14ac:dyDescent="0.3">
      <c r="A2760" s="58"/>
      <c r="B2760" s="58"/>
      <c r="C2760" s="58"/>
      <c r="D2760" s="35"/>
    </row>
    <row r="2761" spans="1:4" ht="15.75" x14ac:dyDescent="0.25">
      <c r="A2761" s="285"/>
      <c r="B2761" s="59"/>
      <c r="C2761" s="59"/>
      <c r="D2761" s="60"/>
    </row>
    <row r="2762" spans="1:4" ht="16.5" thickBot="1" x14ac:dyDescent="0.3">
      <c r="A2762" s="286"/>
      <c r="B2762" s="62"/>
      <c r="C2762" s="62"/>
      <c r="D2762" s="61"/>
    </row>
    <row r="2763" spans="1:4" ht="15.75" x14ac:dyDescent="0.25">
      <c r="A2763" s="285"/>
      <c r="B2763" s="59"/>
      <c r="C2763" s="59"/>
      <c r="D2763" s="60"/>
    </row>
    <row r="2764" spans="1:4" ht="16.5" thickBot="1" x14ac:dyDescent="0.3">
      <c r="A2764" s="286"/>
      <c r="B2764" s="62"/>
      <c r="C2764" s="62"/>
      <c r="D2764" s="61"/>
    </row>
    <row r="2765" spans="1:4" ht="16.5" thickBot="1" x14ac:dyDescent="0.3">
      <c r="A2765" s="57"/>
      <c r="B2765" s="36"/>
      <c r="C2765" s="36"/>
      <c r="D2765" s="36"/>
    </row>
    <row r="2766" spans="1:4" ht="15.75" thickBot="1" x14ac:dyDescent="0.3">
      <c r="A2766" s="287"/>
      <c r="B2766" s="288"/>
      <c r="C2766" s="288"/>
      <c r="D2766" s="289"/>
    </row>
    <row r="2767" spans="1:4" ht="18.75" x14ac:dyDescent="0.25">
      <c r="A2767" s="5"/>
      <c r="B2767" s="6"/>
      <c r="C2767" s="7"/>
      <c r="D2767" s="8"/>
    </row>
    <row r="2768" spans="1:4" ht="19.5" thickBot="1" x14ac:dyDescent="0.3">
      <c r="A2768" s="9"/>
      <c r="B2768" s="10"/>
      <c r="C2768" s="10"/>
      <c r="D2768" s="11"/>
    </row>
    <row r="2769" spans="1:4" ht="21.75" thickBot="1" x14ac:dyDescent="0.3">
      <c r="A2769" s="43"/>
      <c r="B2769" s="290"/>
      <c r="C2769" s="291"/>
      <c r="D2769" s="43"/>
    </row>
    <row r="2770" spans="1:4" ht="21.75" thickBot="1" x14ac:dyDescent="0.3">
      <c r="A2770" s="38"/>
      <c r="B2770" s="44"/>
      <c r="C2770" s="45"/>
      <c r="D2770" s="44"/>
    </row>
    <row r="2771" spans="1:4" ht="19.5" thickBot="1" x14ac:dyDescent="0.3">
      <c r="A2771" s="19"/>
      <c r="B2771" s="20"/>
      <c r="C2771" s="63"/>
      <c r="D2771" s="14"/>
    </row>
    <row r="2772" spans="1:4" ht="19.5" thickBot="1" x14ac:dyDescent="0.3">
      <c r="A2772" s="19"/>
      <c r="B2772" s="20"/>
      <c r="C2772" s="48"/>
      <c r="D2772" s="46"/>
    </row>
    <row r="2773" spans="1:4" ht="15.75" thickBot="1" x14ac:dyDescent="0.3">
      <c r="A2773" s="32"/>
      <c r="B2773" s="33"/>
      <c r="C2773" s="32"/>
      <c r="D2773" s="34"/>
    </row>
    <row r="2774" spans="1:4" ht="15.75" thickBot="1" x14ac:dyDescent="0.3">
      <c r="A2774" s="58"/>
      <c r="B2774" s="58"/>
      <c r="C2774" s="58"/>
      <c r="D2774" s="35"/>
    </row>
    <row r="2775" spans="1:4" ht="15.75" x14ac:dyDescent="0.25">
      <c r="A2775" s="285"/>
      <c r="B2775" s="59"/>
      <c r="C2775" s="59"/>
      <c r="D2775" s="60"/>
    </row>
    <row r="2776" spans="1:4" ht="16.5" thickBot="1" x14ac:dyDescent="0.3">
      <c r="A2776" s="286"/>
      <c r="B2776" s="62"/>
      <c r="C2776" s="62"/>
      <c r="D2776" s="61"/>
    </row>
    <row r="2777" spans="1:4" ht="15.75" x14ac:dyDescent="0.25">
      <c r="A2777" s="285"/>
      <c r="B2777" s="59"/>
      <c r="C2777" s="59"/>
      <c r="D2777" s="60"/>
    </row>
    <row r="2778" spans="1:4" ht="16.5" thickBot="1" x14ac:dyDescent="0.3">
      <c r="A2778" s="286"/>
      <c r="B2778" s="62"/>
      <c r="C2778" s="62"/>
      <c r="D2778" s="61"/>
    </row>
    <row r="2779" spans="1:4" ht="16.5" thickBot="1" x14ac:dyDescent="0.3">
      <c r="A2779" s="57"/>
      <c r="B2779" s="36"/>
      <c r="C2779" s="36"/>
      <c r="D2779" s="36"/>
    </row>
    <row r="2780" spans="1:4" ht="15.75" thickBot="1" x14ac:dyDescent="0.3">
      <c r="A2780" s="287"/>
      <c r="B2780" s="288"/>
      <c r="C2780" s="288"/>
      <c r="D2780" s="289"/>
    </row>
    <row r="2781" spans="1:4" ht="18.75" x14ac:dyDescent="0.25">
      <c r="A2781" s="5"/>
      <c r="B2781" s="6"/>
      <c r="C2781" s="7"/>
      <c r="D2781" s="8"/>
    </row>
    <row r="2782" spans="1:4" ht="19.5" thickBot="1" x14ac:dyDescent="0.3">
      <c r="A2782" s="9"/>
      <c r="B2782" s="10"/>
      <c r="C2782" s="10"/>
      <c r="D2782" s="11"/>
    </row>
    <row r="2783" spans="1:4" ht="21.75" thickBot="1" x14ac:dyDescent="0.3">
      <c r="A2783" s="43"/>
      <c r="B2783" s="290"/>
      <c r="C2783" s="291"/>
      <c r="D2783" s="43"/>
    </row>
    <row r="2784" spans="1:4" ht="21.75" thickBot="1" x14ac:dyDescent="0.3">
      <c r="A2784" s="38"/>
      <c r="B2784" s="44"/>
      <c r="C2784" s="45"/>
      <c r="D2784" s="44"/>
    </row>
    <row r="2785" spans="1:4" ht="19.5" thickBot="1" x14ac:dyDescent="0.3">
      <c r="A2785" s="19"/>
      <c r="B2785" s="20"/>
      <c r="C2785" s="63"/>
      <c r="D2785" s="14"/>
    </row>
    <row r="2786" spans="1:4" ht="19.5" thickBot="1" x14ac:dyDescent="0.3">
      <c r="A2786" s="19"/>
      <c r="B2786" s="20"/>
      <c r="C2786" s="63"/>
      <c r="D2786" s="14"/>
    </row>
    <row r="2787" spans="1:4" ht="19.5" thickBot="1" x14ac:dyDescent="0.3">
      <c r="A2787" s="19"/>
      <c r="B2787" s="20"/>
      <c r="C2787" s="48"/>
      <c r="D2787" s="46"/>
    </row>
    <row r="2788" spans="1:4" ht="15.75" thickBot="1" x14ac:dyDescent="0.3">
      <c r="A2788" s="32"/>
      <c r="B2788" s="33"/>
      <c r="C2788" s="32"/>
      <c r="D2788" s="34"/>
    </row>
    <row r="2789" spans="1:4" ht="15.75" thickBot="1" x14ac:dyDescent="0.3">
      <c r="A2789" s="58"/>
      <c r="B2789" s="58"/>
      <c r="C2789" s="58"/>
      <c r="D2789" s="35"/>
    </row>
    <row r="2790" spans="1:4" ht="15.75" x14ac:dyDescent="0.25">
      <c r="A2790" s="285"/>
      <c r="B2790" s="59"/>
      <c r="C2790" s="59"/>
      <c r="D2790" s="60"/>
    </row>
    <row r="2791" spans="1:4" ht="16.5" thickBot="1" x14ac:dyDescent="0.3">
      <c r="A2791" s="286"/>
      <c r="B2791" s="62"/>
      <c r="C2791" s="62"/>
      <c r="D2791" s="61"/>
    </row>
    <row r="2792" spans="1:4" ht="15.75" x14ac:dyDescent="0.25">
      <c r="A2792" s="285"/>
      <c r="B2792" s="59"/>
      <c r="C2792" s="59"/>
      <c r="D2792" s="60"/>
    </row>
    <row r="2793" spans="1:4" ht="16.5" thickBot="1" x14ac:dyDescent="0.3">
      <c r="A2793" s="286"/>
      <c r="B2793" s="62"/>
      <c r="C2793" s="62"/>
      <c r="D2793" s="61"/>
    </row>
    <row r="2794" spans="1:4" ht="16.5" thickBot="1" x14ac:dyDescent="0.3">
      <c r="A2794" s="57"/>
      <c r="B2794" s="36"/>
      <c r="C2794" s="36"/>
      <c r="D2794" s="36"/>
    </row>
    <row r="2795" spans="1:4" ht="15.75" thickBot="1" x14ac:dyDescent="0.3">
      <c r="A2795" s="287"/>
      <c r="B2795" s="288"/>
      <c r="C2795" s="288"/>
      <c r="D2795" s="289"/>
    </row>
    <row r="2796" spans="1:4" ht="18.75" x14ac:dyDescent="0.25">
      <c r="A2796" s="5"/>
      <c r="B2796" s="6"/>
      <c r="C2796" s="7"/>
      <c r="D2796" s="8"/>
    </row>
    <row r="2797" spans="1:4" ht="19.5" thickBot="1" x14ac:dyDescent="0.3">
      <c r="A2797" s="9"/>
      <c r="B2797" s="10"/>
      <c r="C2797" s="10"/>
      <c r="D2797" s="11"/>
    </row>
    <row r="2798" spans="1:4" ht="21.75" thickBot="1" x14ac:dyDescent="0.3">
      <c r="A2798" s="43"/>
      <c r="B2798" s="290"/>
      <c r="C2798" s="291"/>
      <c r="D2798" s="43"/>
    </row>
    <row r="2799" spans="1:4" ht="21.75" thickBot="1" x14ac:dyDescent="0.3">
      <c r="A2799" s="38"/>
      <c r="B2799" s="44"/>
      <c r="C2799" s="45"/>
      <c r="D2799" s="44"/>
    </row>
    <row r="2800" spans="1:4" ht="19.5" thickBot="1" x14ac:dyDescent="0.3">
      <c r="A2800" s="19"/>
      <c r="B2800" s="20"/>
      <c r="C2800" s="63"/>
      <c r="D2800" s="14"/>
    </row>
    <row r="2801" spans="1:4" ht="19.5" thickBot="1" x14ac:dyDescent="0.3">
      <c r="A2801" s="19"/>
      <c r="B2801" s="20"/>
      <c r="C2801" s="48"/>
      <c r="D2801" s="46"/>
    </row>
    <row r="2802" spans="1:4" ht="15.75" thickBot="1" x14ac:dyDescent="0.3">
      <c r="A2802" s="32"/>
      <c r="B2802" s="33"/>
      <c r="C2802" s="32"/>
      <c r="D2802" s="34"/>
    </row>
    <row r="2803" spans="1:4" ht="15.75" thickBot="1" x14ac:dyDescent="0.3">
      <c r="A2803" s="58"/>
      <c r="B2803" s="58"/>
      <c r="C2803" s="58"/>
      <c r="D2803" s="35"/>
    </row>
    <row r="2804" spans="1:4" ht="15.75" x14ac:dyDescent="0.25">
      <c r="A2804" s="285"/>
      <c r="B2804" s="59"/>
      <c r="C2804" s="59"/>
      <c r="D2804" s="60"/>
    </row>
    <row r="2805" spans="1:4" ht="16.5" thickBot="1" x14ac:dyDescent="0.3">
      <c r="A2805" s="286"/>
      <c r="B2805" s="62"/>
      <c r="C2805" s="62"/>
      <c r="D2805" s="61"/>
    </row>
    <row r="2806" spans="1:4" ht="15.75" x14ac:dyDescent="0.25">
      <c r="A2806" s="285"/>
      <c r="B2806" s="59"/>
      <c r="C2806" s="59"/>
      <c r="D2806" s="60"/>
    </row>
    <row r="2807" spans="1:4" ht="16.5" thickBot="1" x14ac:dyDescent="0.3">
      <c r="A2807" s="286"/>
      <c r="B2807" s="62"/>
      <c r="C2807" s="62"/>
      <c r="D2807" s="61"/>
    </row>
    <row r="2808" spans="1:4" ht="16.5" thickBot="1" x14ac:dyDescent="0.3">
      <c r="A2808" s="57"/>
      <c r="B2808" s="36"/>
      <c r="C2808" s="36"/>
      <c r="D2808" s="36"/>
    </row>
    <row r="2809" spans="1:4" ht="15.75" thickBot="1" x14ac:dyDescent="0.3">
      <c r="A2809" s="287"/>
      <c r="B2809" s="288"/>
      <c r="C2809" s="288"/>
      <c r="D2809" s="289"/>
    </row>
    <row r="2810" spans="1:4" ht="18.75" x14ac:dyDescent="0.25">
      <c r="A2810" s="5"/>
      <c r="B2810" s="6"/>
      <c r="C2810" s="7"/>
      <c r="D2810" s="8"/>
    </row>
    <row r="2811" spans="1:4" ht="19.5" thickBot="1" x14ac:dyDescent="0.3">
      <c r="A2811" s="9"/>
      <c r="B2811" s="10"/>
      <c r="C2811" s="10"/>
      <c r="D2811" s="11"/>
    </row>
    <row r="2812" spans="1:4" ht="21.75" thickBot="1" x14ac:dyDescent="0.3">
      <c r="A2812" s="43"/>
      <c r="B2812" s="290"/>
      <c r="C2812" s="291"/>
      <c r="D2812" s="43"/>
    </row>
    <row r="2813" spans="1:4" ht="21.75" thickBot="1" x14ac:dyDescent="0.3">
      <c r="A2813" s="38"/>
      <c r="B2813" s="44"/>
      <c r="C2813" s="45"/>
      <c r="D2813" s="44"/>
    </row>
    <row r="2814" spans="1:4" ht="19.5" thickBot="1" x14ac:dyDescent="0.3">
      <c r="A2814" s="19"/>
      <c r="B2814" s="20"/>
      <c r="C2814" s="63"/>
      <c r="D2814" s="14"/>
    </row>
    <row r="2815" spans="1:4" ht="19.5" thickBot="1" x14ac:dyDescent="0.3">
      <c r="A2815" s="19"/>
      <c r="B2815" s="20"/>
      <c r="C2815" s="63"/>
      <c r="D2815" s="14"/>
    </row>
    <row r="2816" spans="1:4" ht="19.5" thickBot="1" x14ac:dyDescent="0.3">
      <c r="A2816" s="19"/>
      <c r="B2816" s="20"/>
      <c r="C2816" s="48"/>
      <c r="D2816" s="46"/>
    </row>
    <row r="2817" spans="1:4" ht="15.75" thickBot="1" x14ac:dyDescent="0.3">
      <c r="A2817" s="32"/>
      <c r="B2817" s="33"/>
      <c r="C2817" s="32"/>
      <c r="D2817" s="34"/>
    </row>
    <row r="2818" spans="1:4" ht="15.75" thickBot="1" x14ac:dyDescent="0.3">
      <c r="A2818" s="58"/>
      <c r="B2818" s="58"/>
      <c r="C2818" s="58"/>
      <c r="D2818" s="35"/>
    </row>
    <row r="2819" spans="1:4" ht="15.75" x14ac:dyDescent="0.25">
      <c r="A2819" s="285"/>
      <c r="B2819" s="59"/>
      <c r="C2819" s="59"/>
      <c r="D2819" s="60"/>
    </row>
    <row r="2820" spans="1:4" ht="16.5" thickBot="1" x14ac:dyDescent="0.3">
      <c r="A2820" s="286"/>
      <c r="B2820" s="62"/>
      <c r="C2820" s="62"/>
      <c r="D2820" s="61"/>
    </row>
    <row r="2821" spans="1:4" ht="15.75" x14ac:dyDescent="0.25">
      <c r="A2821" s="285"/>
      <c r="B2821" s="59"/>
      <c r="C2821" s="59"/>
      <c r="D2821" s="60"/>
    </row>
    <row r="2822" spans="1:4" ht="16.5" thickBot="1" x14ac:dyDescent="0.3">
      <c r="A2822" s="286"/>
      <c r="B2822" s="62"/>
      <c r="C2822" s="62"/>
      <c r="D2822" s="61"/>
    </row>
    <row r="2823" spans="1:4" ht="16.5" thickBot="1" x14ac:dyDescent="0.3">
      <c r="A2823" s="57"/>
      <c r="B2823" s="36"/>
      <c r="C2823" s="36"/>
      <c r="D2823" s="36"/>
    </row>
    <row r="2824" spans="1:4" ht="15.75" thickBot="1" x14ac:dyDescent="0.3">
      <c r="A2824" s="287"/>
      <c r="B2824" s="288"/>
      <c r="C2824" s="288"/>
      <c r="D2824" s="289"/>
    </row>
    <row r="2825" spans="1:4" ht="18.75" x14ac:dyDescent="0.25">
      <c r="A2825" s="5"/>
      <c r="B2825" s="6"/>
      <c r="C2825" s="7"/>
      <c r="D2825" s="8"/>
    </row>
    <row r="2826" spans="1:4" ht="19.5" thickBot="1" x14ac:dyDescent="0.3">
      <c r="A2826" s="9"/>
      <c r="B2826" s="10"/>
      <c r="C2826" s="10"/>
      <c r="D2826" s="11"/>
    </row>
    <row r="2827" spans="1:4" ht="21.75" thickBot="1" x14ac:dyDescent="0.3">
      <c r="A2827" s="43"/>
      <c r="B2827" s="290"/>
      <c r="C2827" s="291"/>
      <c r="D2827" s="43"/>
    </row>
    <row r="2828" spans="1:4" ht="21.75" thickBot="1" x14ac:dyDescent="0.3">
      <c r="A2828" s="38"/>
      <c r="B2828" s="44"/>
      <c r="C2828" s="45"/>
      <c r="D2828" s="44"/>
    </row>
    <row r="2829" spans="1:4" ht="19.5" thickBot="1" x14ac:dyDescent="0.3">
      <c r="A2829" s="19"/>
      <c r="B2829" s="20"/>
      <c r="C2829" s="63"/>
      <c r="D2829" s="14"/>
    </row>
    <row r="2830" spans="1:4" ht="19.5" thickBot="1" x14ac:dyDescent="0.3">
      <c r="A2830" s="19"/>
      <c r="B2830" s="20"/>
      <c r="C2830" s="48"/>
      <c r="D2830" s="46"/>
    </row>
    <row r="2831" spans="1:4" ht="15.75" thickBot="1" x14ac:dyDescent="0.3">
      <c r="A2831" s="32"/>
      <c r="B2831" s="33"/>
      <c r="C2831" s="32"/>
      <c r="D2831" s="34"/>
    </row>
    <row r="2832" spans="1:4" ht="15.75" thickBot="1" x14ac:dyDescent="0.3">
      <c r="A2832" s="58"/>
      <c r="B2832" s="58"/>
      <c r="C2832" s="58"/>
      <c r="D2832" s="35"/>
    </row>
    <row r="2833" spans="1:4" ht="15.75" x14ac:dyDescent="0.25">
      <c r="A2833" s="285"/>
      <c r="B2833" s="59"/>
      <c r="C2833" s="59"/>
      <c r="D2833" s="60"/>
    </row>
    <row r="2834" spans="1:4" ht="16.5" thickBot="1" x14ac:dyDescent="0.3">
      <c r="A2834" s="286"/>
      <c r="B2834" s="62"/>
      <c r="C2834" s="62"/>
      <c r="D2834" s="61"/>
    </row>
    <row r="2835" spans="1:4" ht="15.75" x14ac:dyDescent="0.25">
      <c r="A2835" s="285"/>
      <c r="B2835" s="59"/>
      <c r="C2835" s="59"/>
      <c r="D2835" s="60"/>
    </row>
    <row r="2836" spans="1:4" ht="16.5" thickBot="1" x14ac:dyDescent="0.3">
      <c r="A2836" s="286"/>
      <c r="B2836" s="62"/>
      <c r="C2836" s="62"/>
      <c r="D2836" s="61"/>
    </row>
    <row r="2837" spans="1:4" ht="16.5" thickBot="1" x14ac:dyDescent="0.3">
      <c r="A2837" s="57"/>
      <c r="B2837" s="36"/>
      <c r="C2837" s="36"/>
      <c r="D2837" s="36"/>
    </row>
    <row r="2838" spans="1:4" ht="15.75" thickBot="1" x14ac:dyDescent="0.3">
      <c r="A2838" s="287"/>
      <c r="B2838" s="288"/>
      <c r="C2838" s="288"/>
      <c r="D2838" s="289"/>
    </row>
    <row r="2839" spans="1:4" ht="18.75" x14ac:dyDescent="0.25">
      <c r="A2839" s="5"/>
      <c r="B2839" s="6"/>
      <c r="C2839" s="7"/>
      <c r="D2839" s="8"/>
    </row>
    <row r="2840" spans="1:4" ht="19.5" thickBot="1" x14ac:dyDescent="0.3">
      <c r="A2840" s="9"/>
      <c r="B2840" s="10"/>
      <c r="C2840" s="10"/>
      <c r="D2840" s="11"/>
    </row>
    <row r="2841" spans="1:4" ht="21.75" thickBot="1" x14ac:dyDescent="0.3">
      <c r="A2841" s="43"/>
      <c r="B2841" s="290"/>
      <c r="C2841" s="291"/>
      <c r="D2841" s="43"/>
    </row>
    <row r="2842" spans="1:4" ht="21.75" thickBot="1" x14ac:dyDescent="0.3">
      <c r="A2842" s="38"/>
      <c r="B2842" s="44"/>
      <c r="C2842" s="45"/>
      <c r="D2842" s="44"/>
    </row>
    <row r="2843" spans="1:4" ht="19.5" thickBot="1" x14ac:dyDescent="0.3">
      <c r="A2843" s="19"/>
      <c r="B2843" s="20"/>
      <c r="C2843" s="63"/>
      <c r="D2843" s="14"/>
    </row>
    <row r="2844" spans="1:4" ht="19.5" thickBot="1" x14ac:dyDescent="0.3">
      <c r="A2844" s="19"/>
      <c r="B2844" s="20"/>
      <c r="C2844" s="63"/>
      <c r="D2844" s="14"/>
    </row>
    <row r="2845" spans="1:4" ht="19.5" thickBot="1" x14ac:dyDescent="0.3">
      <c r="A2845" s="19"/>
      <c r="B2845" s="20"/>
      <c r="C2845" s="48"/>
      <c r="D2845" s="46"/>
    </row>
    <row r="2846" spans="1:4" ht="15.75" thickBot="1" x14ac:dyDescent="0.3">
      <c r="A2846" s="32"/>
      <c r="B2846" s="33"/>
      <c r="C2846" s="32"/>
      <c r="D2846" s="34"/>
    </row>
    <row r="2847" spans="1:4" ht="15.75" thickBot="1" x14ac:dyDescent="0.3">
      <c r="A2847" s="58"/>
      <c r="B2847" s="58"/>
      <c r="C2847" s="58"/>
      <c r="D2847" s="35"/>
    </row>
    <row r="2848" spans="1:4" ht="15.75" x14ac:dyDescent="0.25">
      <c r="A2848" s="285"/>
      <c r="B2848" s="59"/>
      <c r="C2848" s="59"/>
      <c r="D2848" s="60"/>
    </row>
    <row r="2849" spans="1:4" ht="16.5" thickBot="1" x14ac:dyDescent="0.3">
      <c r="A2849" s="286"/>
      <c r="B2849" s="62"/>
      <c r="C2849" s="62"/>
      <c r="D2849" s="61"/>
    </row>
    <row r="2850" spans="1:4" ht="15.75" x14ac:dyDescent="0.25">
      <c r="A2850" s="285"/>
      <c r="B2850" s="59"/>
      <c r="C2850" s="59"/>
      <c r="D2850" s="60"/>
    </row>
    <row r="2851" spans="1:4" ht="16.5" thickBot="1" x14ac:dyDescent="0.3">
      <c r="A2851" s="286"/>
      <c r="B2851" s="62"/>
      <c r="C2851" s="62"/>
      <c r="D2851" s="61"/>
    </row>
    <row r="2852" spans="1:4" ht="16.5" thickBot="1" x14ac:dyDescent="0.3">
      <c r="A2852" s="57"/>
      <c r="B2852" s="36"/>
      <c r="C2852" s="36"/>
      <c r="D2852" s="36"/>
    </row>
    <row r="2853" spans="1:4" ht="15.75" thickBot="1" x14ac:dyDescent="0.3">
      <c r="A2853" s="287"/>
      <c r="B2853" s="288"/>
      <c r="C2853" s="288"/>
      <c r="D2853" s="289"/>
    </row>
    <row r="2854" spans="1:4" ht="18.75" x14ac:dyDescent="0.25">
      <c r="A2854" s="5"/>
      <c r="B2854" s="6"/>
      <c r="C2854" s="7"/>
      <c r="D2854" s="8"/>
    </row>
    <row r="2855" spans="1:4" ht="19.5" thickBot="1" x14ac:dyDescent="0.3">
      <c r="A2855" s="9"/>
      <c r="B2855" s="10"/>
      <c r="C2855" s="10"/>
      <c r="D2855" s="11"/>
    </row>
    <row r="2856" spans="1:4" ht="21.75" thickBot="1" x14ac:dyDescent="0.3">
      <c r="A2856" s="43"/>
      <c r="B2856" s="290"/>
      <c r="C2856" s="291"/>
      <c r="D2856" s="43"/>
    </row>
    <row r="2857" spans="1:4" ht="21.75" thickBot="1" x14ac:dyDescent="0.3">
      <c r="A2857" s="38"/>
      <c r="B2857" s="44"/>
      <c r="C2857" s="45"/>
      <c r="D2857" s="44"/>
    </row>
    <row r="2858" spans="1:4" ht="19.5" thickBot="1" x14ac:dyDescent="0.3">
      <c r="A2858" s="19"/>
      <c r="B2858" s="20"/>
      <c r="C2858" s="63"/>
      <c r="D2858" s="14"/>
    </row>
    <row r="2859" spans="1:4" ht="19.5" thickBot="1" x14ac:dyDescent="0.3">
      <c r="A2859" s="19"/>
      <c r="B2859" s="20"/>
      <c r="C2859" s="48"/>
      <c r="D2859" s="46"/>
    </row>
    <row r="2860" spans="1:4" ht="15.75" thickBot="1" x14ac:dyDescent="0.3">
      <c r="A2860" s="32"/>
      <c r="B2860" s="33"/>
      <c r="C2860" s="32"/>
      <c r="D2860" s="34"/>
    </row>
    <row r="2861" spans="1:4" ht="15.75" thickBot="1" x14ac:dyDescent="0.3">
      <c r="A2861" s="58"/>
      <c r="B2861" s="58"/>
      <c r="C2861" s="58"/>
      <c r="D2861" s="35"/>
    </row>
    <row r="2862" spans="1:4" ht="15.75" x14ac:dyDescent="0.25">
      <c r="A2862" s="285"/>
      <c r="B2862" s="59"/>
      <c r="C2862" s="59"/>
      <c r="D2862" s="60"/>
    </row>
    <row r="2863" spans="1:4" ht="16.5" thickBot="1" x14ac:dyDescent="0.3">
      <c r="A2863" s="286"/>
      <c r="B2863" s="62"/>
      <c r="C2863" s="62"/>
      <c r="D2863" s="61"/>
    </row>
    <row r="2864" spans="1:4" ht="15.75" x14ac:dyDescent="0.25">
      <c r="A2864" s="285"/>
      <c r="B2864" s="59"/>
      <c r="C2864" s="59"/>
      <c r="D2864" s="60"/>
    </row>
    <row r="2865" spans="1:4" ht="16.5" thickBot="1" x14ac:dyDescent="0.3">
      <c r="A2865" s="286"/>
      <c r="B2865" s="62"/>
      <c r="C2865" s="62"/>
      <c r="D2865" s="61"/>
    </row>
    <row r="2866" spans="1:4" ht="16.5" thickBot="1" x14ac:dyDescent="0.3">
      <c r="A2866" s="57"/>
      <c r="B2866" s="36"/>
      <c r="C2866" s="36"/>
      <c r="D2866" s="36"/>
    </row>
    <row r="2867" spans="1:4" ht="15.75" thickBot="1" x14ac:dyDescent="0.3">
      <c r="A2867" s="287"/>
      <c r="B2867" s="288"/>
      <c r="C2867" s="288"/>
      <c r="D2867" s="289"/>
    </row>
    <row r="2868" spans="1:4" ht="18.75" x14ac:dyDescent="0.25">
      <c r="A2868" s="5"/>
      <c r="B2868" s="6"/>
      <c r="C2868" s="7"/>
      <c r="D2868" s="8"/>
    </row>
    <row r="2869" spans="1:4" ht="19.5" thickBot="1" x14ac:dyDescent="0.3">
      <c r="A2869" s="9"/>
      <c r="B2869" s="10"/>
      <c r="C2869" s="10"/>
      <c r="D2869" s="11"/>
    </row>
    <row r="2870" spans="1:4" ht="21.75" thickBot="1" x14ac:dyDescent="0.3">
      <c r="A2870" s="43"/>
      <c r="B2870" s="290"/>
      <c r="C2870" s="291"/>
      <c r="D2870" s="43"/>
    </row>
    <row r="2871" spans="1:4" ht="21.75" thickBot="1" x14ac:dyDescent="0.3">
      <c r="A2871" s="38"/>
      <c r="B2871" s="44"/>
      <c r="C2871" s="45"/>
      <c r="D2871" s="44"/>
    </row>
    <row r="2872" spans="1:4" ht="19.5" thickBot="1" x14ac:dyDescent="0.3">
      <c r="A2872" s="19"/>
      <c r="B2872" s="20"/>
      <c r="C2872" s="63"/>
      <c r="D2872" s="14"/>
    </row>
    <row r="2873" spans="1:4" ht="19.5" thickBot="1" x14ac:dyDescent="0.3">
      <c r="A2873" s="19"/>
      <c r="B2873" s="20"/>
      <c r="C2873" s="63"/>
      <c r="D2873" s="14"/>
    </row>
    <row r="2874" spans="1:4" ht="19.5" thickBot="1" x14ac:dyDescent="0.3">
      <c r="A2874" s="19"/>
      <c r="B2874" s="20"/>
      <c r="C2874" s="48"/>
      <c r="D2874" s="46"/>
    </row>
    <row r="2875" spans="1:4" ht="15.75" thickBot="1" x14ac:dyDescent="0.3">
      <c r="A2875" s="32"/>
      <c r="B2875" s="33"/>
      <c r="C2875" s="32"/>
      <c r="D2875" s="34"/>
    </row>
    <row r="2876" spans="1:4" ht="15.75" thickBot="1" x14ac:dyDescent="0.3">
      <c r="A2876" s="58"/>
      <c r="B2876" s="58"/>
      <c r="C2876" s="58"/>
      <c r="D2876" s="35"/>
    </row>
    <row r="2877" spans="1:4" ht="15.75" x14ac:dyDescent="0.25">
      <c r="A2877" s="285"/>
      <c r="B2877" s="59"/>
      <c r="C2877" s="59"/>
      <c r="D2877" s="60"/>
    </row>
    <row r="2878" spans="1:4" ht="16.5" thickBot="1" x14ac:dyDescent="0.3">
      <c r="A2878" s="286"/>
      <c r="B2878" s="62"/>
      <c r="C2878" s="62"/>
      <c r="D2878" s="61"/>
    </row>
    <row r="2879" spans="1:4" ht="15.75" x14ac:dyDescent="0.25">
      <c r="A2879" s="285"/>
      <c r="B2879" s="59"/>
      <c r="C2879" s="59"/>
      <c r="D2879" s="60"/>
    </row>
    <row r="2880" spans="1:4" ht="16.5" thickBot="1" x14ac:dyDescent="0.3">
      <c r="A2880" s="286"/>
      <c r="B2880" s="62"/>
      <c r="C2880" s="62"/>
      <c r="D2880" s="61"/>
    </row>
    <row r="2881" spans="1:4" ht="16.5" thickBot="1" x14ac:dyDescent="0.3">
      <c r="A2881" s="57"/>
      <c r="B2881" s="36"/>
      <c r="C2881" s="36"/>
      <c r="D2881" s="36"/>
    </row>
    <row r="2882" spans="1:4" ht="15.75" thickBot="1" x14ac:dyDescent="0.3">
      <c r="A2882" s="287"/>
      <c r="B2882" s="288"/>
      <c r="C2882" s="288"/>
      <c r="D2882" s="289"/>
    </row>
    <row r="2883" spans="1:4" ht="18.75" x14ac:dyDescent="0.25">
      <c r="A2883" s="5"/>
      <c r="B2883" s="6"/>
      <c r="C2883" s="7"/>
      <c r="D2883" s="8"/>
    </row>
    <row r="2884" spans="1:4" ht="19.5" thickBot="1" x14ac:dyDescent="0.3">
      <c r="A2884" s="9"/>
      <c r="B2884" s="10"/>
      <c r="C2884" s="10"/>
      <c r="D2884" s="11"/>
    </row>
    <row r="2885" spans="1:4" ht="21.75" thickBot="1" x14ac:dyDescent="0.3">
      <c r="A2885" s="43"/>
      <c r="B2885" s="290"/>
      <c r="C2885" s="291"/>
      <c r="D2885" s="43"/>
    </row>
    <row r="2886" spans="1:4" ht="21.75" thickBot="1" x14ac:dyDescent="0.3">
      <c r="A2886" s="38"/>
      <c r="B2886" s="44"/>
      <c r="C2886" s="45"/>
      <c r="D2886" s="44"/>
    </row>
    <row r="2887" spans="1:4" ht="19.5" thickBot="1" x14ac:dyDescent="0.3">
      <c r="A2887" s="19"/>
      <c r="B2887" s="20"/>
      <c r="C2887" s="63"/>
      <c r="D2887" s="14"/>
    </row>
    <row r="2888" spans="1:4" ht="19.5" thickBot="1" x14ac:dyDescent="0.3">
      <c r="A2888" s="19"/>
      <c r="B2888" s="20"/>
      <c r="C2888" s="48"/>
      <c r="D2888" s="46"/>
    </row>
    <row r="2889" spans="1:4" ht="15.75" thickBot="1" x14ac:dyDescent="0.3">
      <c r="A2889" s="32"/>
      <c r="B2889" s="33"/>
      <c r="C2889" s="32"/>
      <c r="D2889" s="34"/>
    </row>
    <row r="2890" spans="1:4" ht="15.75" thickBot="1" x14ac:dyDescent="0.3">
      <c r="A2890" s="58"/>
      <c r="B2890" s="58"/>
      <c r="C2890" s="58"/>
      <c r="D2890" s="35"/>
    </row>
    <row r="2891" spans="1:4" ht="15.75" x14ac:dyDescent="0.25">
      <c r="A2891" s="285"/>
      <c r="B2891" s="59"/>
      <c r="C2891" s="59"/>
      <c r="D2891" s="60"/>
    </row>
    <row r="2892" spans="1:4" ht="16.5" thickBot="1" x14ac:dyDescent="0.3">
      <c r="A2892" s="286"/>
      <c r="B2892" s="62"/>
      <c r="C2892" s="62"/>
      <c r="D2892" s="61"/>
    </row>
    <row r="2893" spans="1:4" ht="15.75" x14ac:dyDescent="0.25">
      <c r="A2893" s="285"/>
      <c r="B2893" s="59"/>
      <c r="C2893" s="59"/>
      <c r="D2893" s="60"/>
    </row>
    <row r="2894" spans="1:4" ht="16.5" thickBot="1" x14ac:dyDescent="0.3">
      <c r="A2894" s="286"/>
      <c r="B2894" s="62"/>
      <c r="C2894" s="62"/>
      <c r="D2894" s="61"/>
    </row>
    <row r="2895" spans="1:4" ht="16.5" thickBot="1" x14ac:dyDescent="0.3">
      <c r="A2895" s="57"/>
      <c r="B2895" s="36"/>
      <c r="C2895" s="36"/>
      <c r="D2895" s="36"/>
    </row>
    <row r="2896" spans="1:4" ht="15.75" thickBot="1" x14ac:dyDescent="0.3">
      <c r="A2896" s="287"/>
      <c r="B2896" s="288"/>
      <c r="C2896" s="288"/>
      <c r="D2896" s="289"/>
    </row>
    <row r="2897" spans="1:4" ht="18.75" x14ac:dyDescent="0.25">
      <c r="A2897" s="5"/>
      <c r="B2897" s="6"/>
      <c r="C2897" s="7"/>
      <c r="D2897" s="8"/>
    </row>
    <row r="2898" spans="1:4" ht="19.5" thickBot="1" x14ac:dyDescent="0.3">
      <c r="A2898" s="9"/>
      <c r="B2898" s="10"/>
      <c r="C2898" s="10"/>
      <c r="D2898" s="11"/>
    </row>
    <row r="2899" spans="1:4" ht="21.75" thickBot="1" x14ac:dyDescent="0.3">
      <c r="A2899" s="43"/>
      <c r="B2899" s="290"/>
      <c r="C2899" s="291"/>
      <c r="D2899" s="43"/>
    </row>
    <row r="2900" spans="1:4" ht="21.75" thickBot="1" x14ac:dyDescent="0.3">
      <c r="A2900" s="38"/>
      <c r="B2900" s="44"/>
      <c r="C2900" s="45"/>
      <c r="D2900" s="44"/>
    </row>
    <row r="2901" spans="1:4" ht="19.5" thickBot="1" x14ac:dyDescent="0.3">
      <c r="A2901" s="19"/>
      <c r="B2901" s="20"/>
      <c r="C2901" s="63"/>
      <c r="D2901" s="14"/>
    </row>
    <row r="2902" spans="1:4" ht="19.5" thickBot="1" x14ac:dyDescent="0.3">
      <c r="A2902" s="19"/>
      <c r="B2902" s="20"/>
      <c r="C2902" s="63"/>
      <c r="D2902" s="14"/>
    </row>
    <row r="2903" spans="1:4" ht="19.5" thickBot="1" x14ac:dyDescent="0.3">
      <c r="A2903" s="19"/>
      <c r="B2903" s="20"/>
      <c r="C2903" s="48"/>
      <c r="D2903" s="46"/>
    </row>
    <row r="2904" spans="1:4" ht="15.75" thickBot="1" x14ac:dyDescent="0.3">
      <c r="A2904" s="32"/>
      <c r="B2904" s="33"/>
      <c r="C2904" s="32"/>
      <c r="D2904" s="34"/>
    </row>
    <row r="2905" spans="1:4" ht="15.75" thickBot="1" x14ac:dyDescent="0.3">
      <c r="A2905" s="58"/>
      <c r="B2905" s="58"/>
      <c r="C2905" s="58"/>
      <c r="D2905" s="35"/>
    </row>
    <row r="2906" spans="1:4" ht="15.75" x14ac:dyDescent="0.25">
      <c r="A2906" s="285"/>
      <c r="B2906" s="59"/>
      <c r="C2906" s="59"/>
      <c r="D2906" s="60"/>
    </row>
    <row r="2907" spans="1:4" ht="16.5" thickBot="1" x14ac:dyDescent="0.3">
      <c r="A2907" s="286"/>
      <c r="B2907" s="62"/>
      <c r="C2907" s="62"/>
      <c r="D2907" s="61"/>
    </row>
    <row r="2908" spans="1:4" ht="15.75" x14ac:dyDescent="0.25">
      <c r="A2908" s="285"/>
      <c r="B2908" s="59"/>
      <c r="C2908" s="59"/>
      <c r="D2908" s="60"/>
    </row>
    <row r="2909" spans="1:4" ht="16.5" thickBot="1" x14ac:dyDescent="0.3">
      <c r="A2909" s="286"/>
      <c r="B2909" s="62"/>
      <c r="C2909" s="62"/>
      <c r="D2909" s="61"/>
    </row>
    <row r="2910" spans="1:4" ht="16.5" thickBot="1" x14ac:dyDescent="0.3">
      <c r="A2910" s="57"/>
      <c r="B2910" s="36"/>
      <c r="C2910" s="36"/>
      <c r="D2910" s="36"/>
    </row>
    <row r="2911" spans="1:4" ht="15.75" thickBot="1" x14ac:dyDescent="0.3">
      <c r="A2911" s="287"/>
      <c r="B2911" s="288"/>
      <c r="C2911" s="288"/>
      <c r="D2911" s="289"/>
    </row>
    <row r="2912" spans="1:4" ht="18.75" x14ac:dyDescent="0.25">
      <c r="A2912" s="5"/>
      <c r="B2912" s="6"/>
      <c r="C2912" s="7"/>
      <c r="D2912" s="8"/>
    </row>
    <row r="2913" spans="1:4" ht="19.5" thickBot="1" x14ac:dyDescent="0.3">
      <c r="A2913" s="9"/>
      <c r="B2913" s="10"/>
      <c r="C2913" s="10"/>
      <c r="D2913" s="11"/>
    </row>
    <row r="2914" spans="1:4" ht="21.75" thickBot="1" x14ac:dyDescent="0.3">
      <c r="A2914" s="43"/>
      <c r="B2914" s="290"/>
      <c r="C2914" s="291"/>
      <c r="D2914" s="43"/>
    </row>
    <row r="2915" spans="1:4" ht="21.75" thickBot="1" x14ac:dyDescent="0.3">
      <c r="A2915" s="38"/>
      <c r="B2915" s="44"/>
      <c r="C2915" s="45"/>
      <c r="D2915" s="44"/>
    </row>
    <row r="2916" spans="1:4" ht="19.5" thickBot="1" x14ac:dyDescent="0.3">
      <c r="A2916" s="19"/>
      <c r="B2916" s="20"/>
      <c r="C2916" s="63"/>
      <c r="D2916" s="14"/>
    </row>
    <row r="2917" spans="1:4" ht="19.5" thickBot="1" x14ac:dyDescent="0.3">
      <c r="A2917" s="19"/>
      <c r="B2917" s="20"/>
      <c r="C2917" s="48"/>
      <c r="D2917" s="46"/>
    </row>
    <row r="2918" spans="1:4" ht="15.75" thickBot="1" x14ac:dyDescent="0.3">
      <c r="A2918" s="32"/>
      <c r="B2918" s="33"/>
      <c r="C2918" s="32"/>
      <c r="D2918" s="34"/>
    </row>
    <row r="2919" spans="1:4" ht="15.75" thickBot="1" x14ac:dyDescent="0.3">
      <c r="A2919" s="58"/>
      <c r="B2919" s="58"/>
      <c r="C2919" s="58"/>
      <c r="D2919" s="35"/>
    </row>
    <row r="2920" spans="1:4" ht="15.75" x14ac:dyDescent="0.25">
      <c r="A2920" s="285"/>
      <c r="B2920" s="59"/>
      <c r="C2920" s="59"/>
      <c r="D2920" s="60"/>
    </row>
    <row r="2921" spans="1:4" ht="16.5" thickBot="1" x14ac:dyDescent="0.3">
      <c r="A2921" s="286"/>
      <c r="B2921" s="62"/>
      <c r="C2921" s="62"/>
      <c r="D2921" s="61"/>
    </row>
    <row r="2922" spans="1:4" ht="15.75" x14ac:dyDescent="0.25">
      <c r="A2922" s="285"/>
      <c r="B2922" s="59"/>
      <c r="C2922" s="59"/>
      <c r="D2922" s="60"/>
    </row>
    <row r="2923" spans="1:4" ht="16.5" thickBot="1" x14ac:dyDescent="0.3">
      <c r="A2923" s="286"/>
      <c r="B2923" s="62"/>
      <c r="C2923" s="62"/>
      <c r="D2923" s="61"/>
    </row>
    <row r="2924" spans="1:4" ht="16.5" thickBot="1" x14ac:dyDescent="0.3">
      <c r="A2924" s="57"/>
      <c r="B2924" s="36"/>
      <c r="C2924" s="36"/>
      <c r="D2924" s="36"/>
    </row>
    <row r="2925" spans="1:4" ht="15.75" thickBot="1" x14ac:dyDescent="0.3">
      <c r="A2925" s="287"/>
      <c r="B2925" s="288"/>
      <c r="C2925" s="288"/>
      <c r="D2925" s="289"/>
    </row>
    <row r="2926" spans="1:4" ht="18.75" x14ac:dyDescent="0.25">
      <c r="A2926" s="5"/>
      <c r="B2926" s="6"/>
      <c r="C2926" s="7"/>
      <c r="D2926" s="8"/>
    </row>
    <row r="2927" spans="1:4" ht="19.5" thickBot="1" x14ac:dyDescent="0.3">
      <c r="A2927" s="9"/>
      <c r="B2927" s="10"/>
      <c r="C2927" s="10"/>
      <c r="D2927" s="11"/>
    </row>
    <row r="2928" spans="1:4" ht="21.75" thickBot="1" x14ac:dyDescent="0.3">
      <c r="A2928" s="43"/>
      <c r="B2928" s="290"/>
      <c r="C2928" s="291"/>
      <c r="D2928" s="43"/>
    </row>
    <row r="2929" spans="1:4" ht="21.75" thickBot="1" x14ac:dyDescent="0.3">
      <c r="A2929" s="38"/>
      <c r="B2929" s="44"/>
      <c r="C2929" s="45"/>
      <c r="D2929" s="44"/>
    </row>
    <row r="2930" spans="1:4" ht="19.5" thickBot="1" x14ac:dyDescent="0.3">
      <c r="A2930" s="19"/>
      <c r="B2930" s="20"/>
      <c r="C2930" s="63"/>
      <c r="D2930" s="14"/>
    </row>
    <row r="2931" spans="1:4" ht="19.5" thickBot="1" x14ac:dyDescent="0.3">
      <c r="A2931" s="19"/>
      <c r="B2931" s="20"/>
      <c r="C2931" s="63"/>
      <c r="D2931" s="14"/>
    </row>
    <row r="2932" spans="1:4" ht="19.5" thickBot="1" x14ac:dyDescent="0.3">
      <c r="A2932" s="19"/>
      <c r="B2932" s="20"/>
      <c r="C2932" s="48"/>
      <c r="D2932" s="46"/>
    </row>
    <row r="2933" spans="1:4" ht="15.75" thickBot="1" x14ac:dyDescent="0.3">
      <c r="A2933" s="32"/>
      <c r="B2933" s="33"/>
      <c r="C2933" s="32"/>
      <c r="D2933" s="34"/>
    </row>
    <row r="2934" spans="1:4" ht="15.75" thickBot="1" x14ac:dyDescent="0.3">
      <c r="A2934" s="58"/>
      <c r="B2934" s="58"/>
      <c r="C2934" s="58"/>
      <c r="D2934" s="35"/>
    </row>
    <row r="2935" spans="1:4" ht="15.75" x14ac:dyDescent="0.25">
      <c r="A2935" s="285"/>
      <c r="B2935" s="59"/>
      <c r="C2935" s="59"/>
      <c r="D2935" s="60"/>
    </row>
    <row r="2936" spans="1:4" ht="16.5" thickBot="1" x14ac:dyDescent="0.3">
      <c r="A2936" s="286"/>
      <c r="B2936" s="62"/>
      <c r="C2936" s="62"/>
      <c r="D2936" s="61"/>
    </row>
    <row r="2937" spans="1:4" ht="15.75" x14ac:dyDescent="0.25">
      <c r="A2937" s="285"/>
      <c r="B2937" s="59"/>
      <c r="C2937" s="59"/>
      <c r="D2937" s="60"/>
    </row>
    <row r="2938" spans="1:4" ht="16.5" thickBot="1" x14ac:dyDescent="0.3">
      <c r="A2938" s="286"/>
      <c r="B2938" s="62"/>
      <c r="C2938" s="62"/>
      <c r="D2938" s="61"/>
    </row>
    <row r="2939" spans="1:4" ht="16.5" thickBot="1" x14ac:dyDescent="0.3">
      <c r="A2939" s="57"/>
      <c r="B2939" s="36"/>
      <c r="C2939" s="36"/>
      <c r="D2939" s="36"/>
    </row>
    <row r="2940" spans="1:4" ht="15.75" thickBot="1" x14ac:dyDescent="0.3">
      <c r="A2940" s="287"/>
      <c r="B2940" s="288"/>
      <c r="C2940" s="288"/>
      <c r="D2940" s="289"/>
    </row>
    <row r="2941" spans="1:4" ht="18.75" x14ac:dyDescent="0.25">
      <c r="A2941" s="5"/>
      <c r="B2941" s="6"/>
      <c r="C2941" s="7"/>
      <c r="D2941" s="8"/>
    </row>
    <row r="2942" spans="1:4" ht="19.5" thickBot="1" x14ac:dyDescent="0.3">
      <c r="A2942" s="9"/>
      <c r="B2942" s="10"/>
      <c r="C2942" s="10"/>
      <c r="D2942" s="11"/>
    </row>
    <row r="2943" spans="1:4" ht="21.75" thickBot="1" x14ac:dyDescent="0.3">
      <c r="A2943" s="43"/>
      <c r="B2943" s="290"/>
      <c r="C2943" s="291"/>
      <c r="D2943" s="43"/>
    </row>
    <row r="2944" spans="1:4" ht="21.75" thickBot="1" x14ac:dyDescent="0.3">
      <c r="A2944" s="38"/>
      <c r="B2944" s="44"/>
      <c r="C2944" s="45"/>
      <c r="D2944" s="44"/>
    </row>
    <row r="2945" spans="1:4" ht="19.5" thickBot="1" x14ac:dyDescent="0.3">
      <c r="A2945" s="19"/>
      <c r="B2945" s="20"/>
      <c r="C2945" s="63"/>
      <c r="D2945" s="14"/>
    </row>
    <row r="2946" spans="1:4" ht="19.5" thickBot="1" x14ac:dyDescent="0.3">
      <c r="A2946" s="19"/>
      <c r="B2946" s="20"/>
      <c r="C2946" s="48"/>
      <c r="D2946" s="46"/>
    </row>
    <row r="2947" spans="1:4" ht="15.75" thickBot="1" x14ac:dyDescent="0.3">
      <c r="A2947" s="32"/>
      <c r="B2947" s="33"/>
      <c r="C2947" s="32"/>
      <c r="D2947" s="34"/>
    </row>
    <row r="2948" spans="1:4" ht="15.75" thickBot="1" x14ac:dyDescent="0.3">
      <c r="A2948" s="58"/>
      <c r="B2948" s="58"/>
      <c r="C2948" s="58"/>
      <c r="D2948" s="35"/>
    </row>
    <row r="2949" spans="1:4" ht="15.75" x14ac:dyDescent="0.25">
      <c r="A2949" s="285"/>
      <c r="B2949" s="59"/>
      <c r="C2949" s="59"/>
      <c r="D2949" s="60"/>
    </row>
    <row r="2950" spans="1:4" ht="16.5" thickBot="1" x14ac:dyDescent="0.3">
      <c r="A2950" s="286"/>
      <c r="B2950" s="62"/>
      <c r="C2950" s="62"/>
      <c r="D2950" s="61"/>
    </row>
    <row r="2951" spans="1:4" ht="15.75" x14ac:dyDescent="0.25">
      <c r="A2951" s="285"/>
      <c r="B2951" s="59"/>
      <c r="C2951" s="59"/>
      <c r="D2951" s="60"/>
    </row>
    <row r="2952" spans="1:4" ht="16.5" thickBot="1" x14ac:dyDescent="0.3">
      <c r="A2952" s="286"/>
      <c r="B2952" s="62"/>
      <c r="C2952" s="62"/>
      <c r="D2952" s="61"/>
    </row>
    <row r="2953" spans="1:4" ht="16.5" thickBot="1" x14ac:dyDescent="0.3">
      <c r="A2953" s="57"/>
      <c r="B2953" s="36"/>
      <c r="C2953" s="36"/>
      <c r="D2953" s="36"/>
    </row>
    <row r="2954" spans="1:4" ht="15.75" thickBot="1" x14ac:dyDescent="0.3">
      <c r="A2954" s="287"/>
      <c r="B2954" s="288"/>
      <c r="C2954" s="288"/>
      <c r="D2954" s="289"/>
    </row>
    <row r="2955" spans="1:4" ht="18.75" x14ac:dyDescent="0.25">
      <c r="A2955" s="5"/>
      <c r="B2955" s="6"/>
      <c r="C2955" s="7"/>
      <c r="D2955" s="8"/>
    </row>
    <row r="2956" spans="1:4" ht="19.5" thickBot="1" x14ac:dyDescent="0.3">
      <c r="A2956" s="9"/>
      <c r="B2956" s="10"/>
      <c r="C2956" s="10"/>
      <c r="D2956" s="11"/>
    </row>
    <row r="2957" spans="1:4" ht="21.75" thickBot="1" x14ac:dyDescent="0.3">
      <c r="A2957" s="43"/>
      <c r="B2957" s="290"/>
      <c r="C2957" s="291"/>
      <c r="D2957" s="43"/>
    </row>
    <row r="2958" spans="1:4" ht="21.75" thickBot="1" x14ac:dyDescent="0.3">
      <c r="A2958" s="38"/>
      <c r="B2958" s="44"/>
      <c r="C2958" s="45"/>
      <c r="D2958" s="44"/>
    </row>
    <row r="2959" spans="1:4" ht="19.5" thickBot="1" x14ac:dyDescent="0.3">
      <c r="A2959" s="19"/>
      <c r="B2959" s="20"/>
      <c r="C2959" s="63"/>
      <c r="D2959" s="14"/>
    </row>
    <row r="2960" spans="1:4" ht="19.5" thickBot="1" x14ac:dyDescent="0.3">
      <c r="A2960" s="19"/>
      <c r="B2960" s="20"/>
      <c r="C2960" s="63"/>
      <c r="D2960" s="14"/>
    </row>
    <row r="2961" spans="1:4" ht="19.5" thickBot="1" x14ac:dyDescent="0.3">
      <c r="A2961" s="19"/>
      <c r="B2961" s="20"/>
      <c r="C2961" s="48"/>
      <c r="D2961" s="46"/>
    </row>
    <row r="2962" spans="1:4" ht="15.75" thickBot="1" x14ac:dyDescent="0.3">
      <c r="A2962" s="32"/>
      <c r="B2962" s="33"/>
      <c r="C2962" s="32"/>
      <c r="D2962" s="34"/>
    </row>
    <row r="2963" spans="1:4" ht="15.75" thickBot="1" x14ac:dyDescent="0.3">
      <c r="A2963" s="58"/>
      <c r="B2963" s="58"/>
      <c r="C2963" s="58"/>
      <c r="D2963" s="35"/>
    </row>
    <row r="2964" spans="1:4" ht="15.75" x14ac:dyDescent="0.25">
      <c r="A2964" s="285"/>
      <c r="B2964" s="59"/>
      <c r="C2964" s="59"/>
      <c r="D2964" s="60"/>
    </row>
    <row r="2965" spans="1:4" ht="16.5" thickBot="1" x14ac:dyDescent="0.3">
      <c r="A2965" s="286"/>
      <c r="B2965" s="62"/>
      <c r="C2965" s="62"/>
      <c r="D2965" s="61"/>
    </row>
    <row r="2966" spans="1:4" ht="15.75" x14ac:dyDescent="0.25">
      <c r="A2966" s="285"/>
      <c r="B2966" s="59"/>
      <c r="C2966" s="59"/>
      <c r="D2966" s="60"/>
    </row>
    <row r="2967" spans="1:4" ht="16.5" thickBot="1" x14ac:dyDescent="0.3">
      <c r="A2967" s="286"/>
      <c r="B2967" s="62"/>
      <c r="C2967" s="62"/>
      <c r="D2967" s="61"/>
    </row>
    <row r="2968" spans="1:4" ht="16.5" thickBot="1" x14ac:dyDescent="0.3">
      <c r="A2968" s="57"/>
      <c r="B2968" s="36"/>
      <c r="C2968" s="36"/>
      <c r="D2968" s="36"/>
    </row>
    <row r="2969" spans="1:4" ht="15.75" thickBot="1" x14ac:dyDescent="0.3">
      <c r="A2969" s="287"/>
      <c r="B2969" s="288"/>
      <c r="C2969" s="288"/>
      <c r="D2969" s="289"/>
    </row>
    <row r="2970" spans="1:4" ht="18.75" x14ac:dyDescent="0.25">
      <c r="A2970" s="5"/>
      <c r="B2970" s="6"/>
      <c r="C2970" s="7"/>
      <c r="D2970" s="8"/>
    </row>
    <row r="2971" spans="1:4" ht="19.5" thickBot="1" x14ac:dyDescent="0.3">
      <c r="A2971" s="9"/>
      <c r="B2971" s="10"/>
      <c r="C2971" s="10"/>
      <c r="D2971" s="11"/>
    </row>
    <row r="2972" spans="1:4" ht="21.75" thickBot="1" x14ac:dyDescent="0.3">
      <c r="A2972" s="43"/>
      <c r="B2972" s="290"/>
      <c r="C2972" s="291"/>
      <c r="D2972" s="43"/>
    </row>
    <row r="2973" spans="1:4" ht="21.75" thickBot="1" x14ac:dyDescent="0.3">
      <c r="A2973" s="38"/>
      <c r="B2973" s="44"/>
      <c r="C2973" s="45"/>
      <c r="D2973" s="44"/>
    </row>
    <row r="2974" spans="1:4" ht="19.5" thickBot="1" x14ac:dyDescent="0.3">
      <c r="A2974" s="19"/>
      <c r="B2974" s="20"/>
      <c r="C2974" s="63"/>
      <c r="D2974" s="14"/>
    </row>
    <row r="2975" spans="1:4" ht="19.5" thickBot="1" x14ac:dyDescent="0.3">
      <c r="A2975" s="19"/>
      <c r="B2975" s="20"/>
      <c r="C2975" s="48"/>
      <c r="D2975" s="46"/>
    </row>
    <row r="2976" spans="1:4" ht="15.75" thickBot="1" x14ac:dyDescent="0.3">
      <c r="A2976" s="32"/>
      <c r="B2976" s="33"/>
      <c r="C2976" s="32"/>
      <c r="D2976" s="34"/>
    </row>
    <row r="2977" spans="1:4" ht="15.75" thickBot="1" x14ac:dyDescent="0.3">
      <c r="A2977" s="58"/>
      <c r="B2977" s="58"/>
      <c r="C2977" s="58"/>
      <c r="D2977" s="35"/>
    </row>
    <row r="2978" spans="1:4" ht="15.75" x14ac:dyDescent="0.25">
      <c r="A2978" s="285"/>
      <c r="B2978" s="59"/>
      <c r="C2978" s="59"/>
      <c r="D2978" s="60"/>
    </row>
    <row r="2979" spans="1:4" ht="16.5" thickBot="1" x14ac:dyDescent="0.3">
      <c r="A2979" s="286"/>
      <c r="B2979" s="62"/>
      <c r="C2979" s="62"/>
      <c r="D2979" s="61"/>
    </row>
    <row r="2980" spans="1:4" ht="15.75" x14ac:dyDescent="0.25">
      <c r="A2980" s="285"/>
      <c r="B2980" s="59"/>
      <c r="C2980" s="59"/>
      <c r="D2980" s="60"/>
    </row>
    <row r="2981" spans="1:4" ht="16.5" thickBot="1" x14ac:dyDescent="0.3">
      <c r="A2981" s="286"/>
      <c r="B2981" s="62"/>
      <c r="C2981" s="62"/>
      <c r="D2981" s="61"/>
    </row>
    <row r="2982" spans="1:4" ht="16.5" thickBot="1" x14ac:dyDescent="0.3">
      <c r="A2982" s="57"/>
      <c r="B2982" s="36"/>
      <c r="C2982" s="36"/>
      <c r="D2982" s="36"/>
    </row>
    <row r="2983" spans="1:4" ht="15.75" thickBot="1" x14ac:dyDescent="0.3">
      <c r="A2983" s="287"/>
      <c r="B2983" s="288"/>
      <c r="C2983" s="288"/>
      <c r="D2983" s="289"/>
    </row>
    <row r="2984" spans="1:4" ht="18.75" x14ac:dyDescent="0.25">
      <c r="A2984" s="5"/>
      <c r="B2984" s="6"/>
      <c r="C2984" s="7"/>
      <c r="D2984" s="8"/>
    </row>
    <row r="2985" spans="1:4" ht="19.5" thickBot="1" x14ac:dyDescent="0.3">
      <c r="A2985" s="9"/>
      <c r="B2985" s="10"/>
      <c r="C2985" s="10"/>
      <c r="D2985" s="11"/>
    </row>
    <row r="2986" spans="1:4" ht="21.75" thickBot="1" x14ac:dyDescent="0.3">
      <c r="A2986" s="43"/>
      <c r="B2986" s="290"/>
      <c r="C2986" s="291"/>
      <c r="D2986" s="43"/>
    </row>
    <row r="2987" spans="1:4" ht="21.75" thickBot="1" x14ac:dyDescent="0.3">
      <c r="A2987" s="38"/>
      <c r="B2987" s="44"/>
      <c r="C2987" s="45"/>
      <c r="D2987" s="44"/>
    </row>
    <row r="2988" spans="1:4" ht="19.5" thickBot="1" x14ac:dyDescent="0.3">
      <c r="A2988" s="19"/>
      <c r="B2988" s="20"/>
      <c r="C2988" s="63"/>
      <c r="D2988" s="14"/>
    </row>
    <row r="2989" spans="1:4" ht="19.5" thickBot="1" x14ac:dyDescent="0.3">
      <c r="A2989" s="19"/>
      <c r="B2989" s="20"/>
      <c r="C2989" s="63"/>
      <c r="D2989" s="14"/>
    </row>
    <row r="2990" spans="1:4" ht="19.5" thickBot="1" x14ac:dyDescent="0.3">
      <c r="A2990" s="19"/>
      <c r="B2990" s="20"/>
      <c r="C2990" s="48"/>
      <c r="D2990" s="46"/>
    </row>
    <row r="2991" spans="1:4" ht="15.75" thickBot="1" x14ac:dyDescent="0.3">
      <c r="A2991" s="32"/>
      <c r="B2991" s="33"/>
      <c r="C2991" s="32"/>
      <c r="D2991" s="34"/>
    </row>
    <row r="2992" spans="1:4" ht="15.75" thickBot="1" x14ac:dyDescent="0.3">
      <c r="A2992" s="58"/>
      <c r="B2992" s="58"/>
      <c r="C2992" s="58"/>
      <c r="D2992" s="35"/>
    </row>
    <row r="2993" spans="1:4" ht="15.75" x14ac:dyDescent="0.25">
      <c r="A2993" s="285"/>
      <c r="B2993" s="59"/>
      <c r="C2993" s="59"/>
      <c r="D2993" s="60"/>
    </row>
    <row r="2994" spans="1:4" ht="16.5" thickBot="1" x14ac:dyDescent="0.3">
      <c r="A2994" s="286"/>
      <c r="B2994" s="62"/>
      <c r="C2994" s="62"/>
      <c r="D2994" s="61"/>
    </row>
    <row r="2995" spans="1:4" ht="15.75" x14ac:dyDescent="0.25">
      <c r="A2995" s="285"/>
      <c r="B2995" s="59"/>
      <c r="C2995" s="59"/>
      <c r="D2995" s="60"/>
    </row>
    <row r="2996" spans="1:4" ht="16.5" thickBot="1" x14ac:dyDescent="0.3">
      <c r="A2996" s="286"/>
      <c r="B2996" s="62"/>
      <c r="C2996" s="62"/>
      <c r="D2996" s="61"/>
    </row>
    <row r="2997" spans="1:4" ht="16.5" thickBot="1" x14ac:dyDescent="0.3">
      <c r="A2997" s="57"/>
      <c r="B2997" s="36"/>
      <c r="C2997" s="36"/>
      <c r="D2997" s="36"/>
    </row>
    <row r="2998" spans="1:4" ht="15.75" thickBot="1" x14ac:dyDescent="0.3">
      <c r="A2998" s="287"/>
      <c r="B2998" s="288"/>
      <c r="C2998" s="288"/>
      <c r="D2998" s="289"/>
    </row>
    <row r="2999" spans="1:4" ht="18.75" x14ac:dyDescent="0.25">
      <c r="A2999" s="5"/>
      <c r="B2999" s="6"/>
      <c r="C2999" s="7"/>
      <c r="D2999" s="8"/>
    </row>
    <row r="3000" spans="1:4" ht="19.5" thickBot="1" x14ac:dyDescent="0.3">
      <c r="A3000" s="9"/>
      <c r="B3000" s="10"/>
      <c r="C3000" s="10"/>
      <c r="D3000" s="11"/>
    </row>
    <row r="3001" spans="1:4" ht="21.75" thickBot="1" x14ac:dyDescent="0.3">
      <c r="A3001" s="43"/>
      <c r="B3001" s="290"/>
      <c r="C3001" s="291"/>
      <c r="D3001" s="43"/>
    </row>
    <row r="3002" spans="1:4" ht="21.75" thickBot="1" x14ac:dyDescent="0.3">
      <c r="A3002" s="38"/>
      <c r="B3002" s="44"/>
      <c r="C3002" s="45"/>
      <c r="D3002" s="44"/>
    </row>
    <row r="3003" spans="1:4" ht="19.5" thickBot="1" x14ac:dyDescent="0.3">
      <c r="A3003" s="19"/>
      <c r="B3003" s="20"/>
      <c r="C3003" s="63"/>
      <c r="D3003" s="14"/>
    </row>
    <row r="3004" spans="1:4" ht="19.5" thickBot="1" x14ac:dyDescent="0.3">
      <c r="A3004" s="19"/>
      <c r="B3004" s="20"/>
      <c r="C3004" s="48"/>
      <c r="D3004" s="46"/>
    </row>
    <row r="3005" spans="1:4" ht="15.75" thickBot="1" x14ac:dyDescent="0.3">
      <c r="A3005" s="32"/>
      <c r="B3005" s="33"/>
      <c r="C3005" s="32"/>
      <c r="D3005" s="34"/>
    </row>
    <row r="3006" spans="1:4" ht="15.75" thickBot="1" x14ac:dyDescent="0.3">
      <c r="A3006" s="58"/>
      <c r="B3006" s="58"/>
      <c r="C3006" s="58"/>
      <c r="D3006" s="35"/>
    </row>
    <row r="3007" spans="1:4" ht="15.75" x14ac:dyDescent="0.25">
      <c r="A3007" s="285"/>
      <c r="B3007" s="59"/>
      <c r="C3007" s="59"/>
      <c r="D3007" s="60"/>
    </row>
    <row r="3008" spans="1:4" ht="16.5" thickBot="1" x14ac:dyDescent="0.3">
      <c r="A3008" s="286"/>
      <c r="B3008" s="62"/>
      <c r="C3008" s="62"/>
      <c r="D3008" s="61"/>
    </row>
    <row r="3009" spans="1:4" ht="15.75" x14ac:dyDescent="0.25">
      <c r="A3009" s="285"/>
      <c r="B3009" s="59"/>
      <c r="C3009" s="59"/>
      <c r="D3009" s="60"/>
    </row>
    <row r="3010" spans="1:4" ht="16.5" thickBot="1" x14ac:dyDescent="0.3">
      <c r="A3010" s="286"/>
      <c r="B3010" s="62"/>
      <c r="C3010" s="62"/>
      <c r="D3010" s="61"/>
    </row>
    <row r="3011" spans="1:4" ht="16.5" thickBot="1" x14ac:dyDescent="0.3">
      <c r="A3011" s="57"/>
      <c r="B3011" s="36"/>
      <c r="C3011" s="36"/>
      <c r="D3011" s="36"/>
    </row>
    <row r="3012" spans="1:4" ht="15.75" thickBot="1" x14ac:dyDescent="0.3">
      <c r="A3012" s="287"/>
      <c r="B3012" s="288"/>
      <c r="C3012" s="288"/>
      <c r="D3012" s="289"/>
    </row>
    <row r="3013" spans="1:4" ht="18.75" x14ac:dyDescent="0.25">
      <c r="A3013" s="5"/>
      <c r="B3013" s="6"/>
      <c r="C3013" s="7"/>
      <c r="D3013" s="8"/>
    </row>
    <row r="3014" spans="1:4" ht="19.5" thickBot="1" x14ac:dyDescent="0.3">
      <c r="A3014" s="9"/>
      <c r="B3014" s="10"/>
      <c r="C3014" s="10"/>
      <c r="D3014" s="11"/>
    </row>
    <row r="3015" spans="1:4" ht="21.75" thickBot="1" x14ac:dyDescent="0.3">
      <c r="A3015" s="43"/>
      <c r="B3015" s="290"/>
      <c r="C3015" s="291"/>
      <c r="D3015" s="43"/>
    </row>
    <row r="3016" spans="1:4" ht="21.75" thickBot="1" x14ac:dyDescent="0.3">
      <c r="A3016" s="38"/>
      <c r="B3016" s="44"/>
      <c r="C3016" s="45"/>
      <c r="D3016" s="44"/>
    </row>
    <row r="3017" spans="1:4" ht="19.5" thickBot="1" x14ac:dyDescent="0.3">
      <c r="A3017" s="19"/>
      <c r="B3017" s="20"/>
      <c r="C3017" s="63"/>
      <c r="D3017" s="14"/>
    </row>
    <row r="3018" spans="1:4" ht="19.5" thickBot="1" x14ac:dyDescent="0.3">
      <c r="A3018" s="19"/>
      <c r="B3018" s="20"/>
      <c r="C3018" s="63"/>
      <c r="D3018" s="14"/>
    </row>
    <row r="3019" spans="1:4" ht="19.5" thickBot="1" x14ac:dyDescent="0.3">
      <c r="A3019" s="19"/>
      <c r="B3019" s="20"/>
      <c r="C3019" s="48"/>
      <c r="D3019" s="46"/>
    </row>
    <row r="3020" spans="1:4" ht="15.75" thickBot="1" x14ac:dyDescent="0.3">
      <c r="A3020" s="32"/>
      <c r="B3020" s="33"/>
      <c r="C3020" s="32"/>
      <c r="D3020" s="34"/>
    </row>
    <row r="3021" spans="1:4" ht="15.75" thickBot="1" x14ac:dyDescent="0.3">
      <c r="A3021" s="58"/>
      <c r="B3021" s="58"/>
      <c r="C3021" s="58"/>
      <c r="D3021" s="35"/>
    </row>
    <row r="3022" spans="1:4" ht="15.75" x14ac:dyDescent="0.25">
      <c r="A3022" s="285"/>
      <c r="B3022" s="59"/>
      <c r="C3022" s="59"/>
      <c r="D3022" s="60"/>
    </row>
    <row r="3023" spans="1:4" ht="16.5" thickBot="1" x14ac:dyDescent="0.3">
      <c r="A3023" s="286"/>
      <c r="B3023" s="62"/>
      <c r="C3023" s="62"/>
      <c r="D3023" s="61"/>
    </row>
    <row r="3024" spans="1:4" ht="15.75" x14ac:dyDescent="0.25">
      <c r="A3024" s="285"/>
      <c r="B3024" s="59"/>
      <c r="C3024" s="59"/>
      <c r="D3024" s="60"/>
    </row>
    <row r="3025" spans="1:4" ht="16.5" thickBot="1" x14ac:dyDescent="0.3">
      <c r="A3025" s="286"/>
      <c r="B3025" s="62"/>
      <c r="C3025" s="62"/>
      <c r="D3025" s="61"/>
    </row>
    <row r="3026" spans="1:4" ht="16.5" thickBot="1" x14ac:dyDescent="0.3">
      <c r="A3026" s="57"/>
      <c r="B3026" s="36"/>
      <c r="C3026" s="36"/>
      <c r="D3026" s="36"/>
    </row>
    <row r="3027" spans="1:4" ht="15.75" thickBot="1" x14ac:dyDescent="0.3">
      <c r="A3027" s="287"/>
      <c r="B3027" s="288"/>
      <c r="C3027" s="288"/>
      <c r="D3027" s="289"/>
    </row>
    <row r="3028" spans="1:4" ht="18.75" x14ac:dyDescent="0.25">
      <c r="A3028" s="5"/>
      <c r="B3028" s="6"/>
      <c r="C3028" s="7"/>
      <c r="D3028" s="8"/>
    </row>
    <row r="3029" spans="1:4" ht="19.5" thickBot="1" x14ac:dyDescent="0.3">
      <c r="A3029" s="9"/>
      <c r="B3029" s="10"/>
      <c r="C3029" s="10"/>
      <c r="D3029" s="11"/>
    </row>
    <row r="3030" spans="1:4" ht="21.75" thickBot="1" x14ac:dyDescent="0.3">
      <c r="A3030" s="43"/>
      <c r="B3030" s="290"/>
      <c r="C3030" s="291"/>
      <c r="D3030" s="43"/>
    </row>
    <row r="3031" spans="1:4" ht="21.75" thickBot="1" x14ac:dyDescent="0.3">
      <c r="A3031" s="38"/>
      <c r="B3031" s="44"/>
      <c r="C3031" s="45"/>
      <c r="D3031" s="44"/>
    </row>
    <row r="3032" spans="1:4" ht="19.5" thickBot="1" x14ac:dyDescent="0.3">
      <c r="A3032" s="19"/>
      <c r="B3032" s="20"/>
      <c r="C3032" s="63"/>
      <c r="D3032" s="14"/>
    </row>
    <row r="3033" spans="1:4" ht="19.5" thickBot="1" x14ac:dyDescent="0.3">
      <c r="A3033" s="19"/>
      <c r="B3033" s="20"/>
      <c r="C3033" s="48"/>
      <c r="D3033" s="46"/>
    </row>
    <row r="3034" spans="1:4" ht="15.75" thickBot="1" x14ac:dyDescent="0.3">
      <c r="A3034" s="32"/>
      <c r="B3034" s="33"/>
      <c r="C3034" s="32"/>
      <c r="D3034" s="34"/>
    </row>
    <row r="3035" spans="1:4" ht="15.75" thickBot="1" x14ac:dyDescent="0.3">
      <c r="A3035" s="58"/>
      <c r="B3035" s="58"/>
      <c r="C3035" s="58"/>
      <c r="D3035" s="35"/>
    </row>
    <row r="3036" spans="1:4" ht="15.75" x14ac:dyDescent="0.25">
      <c r="A3036" s="285"/>
      <c r="B3036" s="59"/>
      <c r="C3036" s="59"/>
      <c r="D3036" s="60"/>
    </row>
    <row r="3037" spans="1:4" ht="16.5" thickBot="1" x14ac:dyDescent="0.3">
      <c r="A3037" s="286"/>
      <c r="B3037" s="62"/>
      <c r="C3037" s="62"/>
      <c r="D3037" s="61"/>
    </row>
    <row r="3038" spans="1:4" ht="15.75" x14ac:dyDescent="0.25">
      <c r="A3038" s="285"/>
      <c r="B3038" s="59"/>
      <c r="C3038" s="59"/>
      <c r="D3038" s="60"/>
    </row>
    <row r="3039" spans="1:4" ht="16.5" thickBot="1" x14ac:dyDescent="0.3">
      <c r="A3039" s="286"/>
      <c r="B3039" s="62"/>
      <c r="C3039" s="62"/>
      <c r="D3039" s="61"/>
    </row>
    <row r="3040" spans="1:4" ht="16.5" thickBot="1" x14ac:dyDescent="0.3">
      <c r="A3040" s="57"/>
      <c r="B3040" s="36"/>
      <c r="C3040" s="36"/>
      <c r="D3040" s="36"/>
    </row>
    <row r="3041" spans="1:4" ht="15.75" thickBot="1" x14ac:dyDescent="0.3">
      <c r="A3041" s="287"/>
      <c r="B3041" s="288"/>
      <c r="C3041" s="288"/>
      <c r="D3041" s="289"/>
    </row>
    <row r="3042" spans="1:4" ht="18.75" x14ac:dyDescent="0.25">
      <c r="A3042" s="5"/>
      <c r="B3042" s="6"/>
      <c r="C3042" s="7"/>
      <c r="D3042" s="8"/>
    </row>
    <row r="3043" spans="1:4" ht="19.5" thickBot="1" x14ac:dyDescent="0.3">
      <c r="A3043" s="9"/>
      <c r="B3043" s="10"/>
      <c r="C3043" s="10"/>
      <c r="D3043" s="11"/>
    </row>
    <row r="3044" spans="1:4" ht="21.75" thickBot="1" x14ac:dyDescent="0.3">
      <c r="A3044" s="43"/>
      <c r="B3044" s="290"/>
      <c r="C3044" s="291"/>
      <c r="D3044" s="43"/>
    </row>
    <row r="3045" spans="1:4" ht="21.75" thickBot="1" x14ac:dyDescent="0.3">
      <c r="A3045" s="38"/>
      <c r="B3045" s="44"/>
      <c r="C3045" s="45"/>
      <c r="D3045" s="44"/>
    </row>
    <row r="3046" spans="1:4" ht="19.5" thickBot="1" x14ac:dyDescent="0.3">
      <c r="A3046" s="19"/>
      <c r="B3046" s="20"/>
      <c r="C3046" s="63"/>
      <c r="D3046" s="14"/>
    </row>
    <row r="3047" spans="1:4" ht="19.5" thickBot="1" x14ac:dyDescent="0.3">
      <c r="A3047" s="19"/>
      <c r="B3047" s="20"/>
      <c r="C3047" s="63"/>
      <c r="D3047" s="14"/>
    </row>
    <row r="3048" spans="1:4" ht="19.5" thickBot="1" x14ac:dyDescent="0.3">
      <c r="A3048" s="19"/>
      <c r="B3048" s="20"/>
      <c r="C3048" s="48"/>
      <c r="D3048" s="46"/>
    </row>
    <row r="3049" spans="1:4" ht="15.75" thickBot="1" x14ac:dyDescent="0.3">
      <c r="A3049" s="32"/>
      <c r="B3049" s="33"/>
      <c r="C3049" s="32"/>
      <c r="D3049" s="34"/>
    </row>
    <row r="3050" spans="1:4" ht="15.75" thickBot="1" x14ac:dyDescent="0.3">
      <c r="A3050" s="58"/>
      <c r="B3050" s="58"/>
      <c r="C3050" s="58"/>
      <c r="D3050" s="35"/>
    </row>
    <row r="3051" spans="1:4" ht="15.75" x14ac:dyDescent="0.25">
      <c r="A3051" s="285"/>
      <c r="B3051" s="59"/>
      <c r="C3051" s="59"/>
      <c r="D3051" s="60"/>
    </row>
    <row r="3052" spans="1:4" ht="16.5" thickBot="1" x14ac:dyDescent="0.3">
      <c r="A3052" s="286"/>
      <c r="B3052" s="62"/>
      <c r="C3052" s="62"/>
      <c r="D3052" s="61"/>
    </row>
    <row r="3053" spans="1:4" ht="15.75" x14ac:dyDescent="0.25">
      <c r="A3053" s="285"/>
      <c r="B3053" s="59"/>
      <c r="C3053" s="59"/>
      <c r="D3053" s="60"/>
    </row>
    <row r="3054" spans="1:4" ht="16.5" thickBot="1" x14ac:dyDescent="0.3">
      <c r="A3054" s="286"/>
      <c r="B3054" s="62"/>
      <c r="C3054" s="62"/>
      <c r="D3054" s="61"/>
    </row>
    <row r="3055" spans="1:4" ht="16.5" thickBot="1" x14ac:dyDescent="0.3">
      <c r="A3055" s="57"/>
      <c r="B3055" s="36"/>
      <c r="C3055" s="36"/>
      <c r="D3055" s="36"/>
    </row>
    <row r="3056" spans="1:4" ht="15.75" thickBot="1" x14ac:dyDescent="0.3">
      <c r="A3056" s="287"/>
      <c r="B3056" s="288"/>
      <c r="C3056" s="288"/>
      <c r="D3056" s="289"/>
    </row>
    <row r="3057" spans="1:4" ht="18.75" x14ac:dyDescent="0.25">
      <c r="A3057" s="5"/>
      <c r="B3057" s="6"/>
      <c r="C3057" s="7"/>
      <c r="D3057" s="8"/>
    </row>
    <row r="3058" spans="1:4" ht="19.5" thickBot="1" x14ac:dyDescent="0.3">
      <c r="A3058" s="9"/>
      <c r="B3058" s="10"/>
      <c r="C3058" s="10"/>
      <c r="D3058" s="11"/>
    </row>
    <row r="3059" spans="1:4" ht="21.75" thickBot="1" x14ac:dyDescent="0.3">
      <c r="A3059" s="43"/>
      <c r="B3059" s="290"/>
      <c r="C3059" s="291"/>
      <c r="D3059" s="43"/>
    </row>
    <row r="3060" spans="1:4" ht="21.75" thickBot="1" x14ac:dyDescent="0.3">
      <c r="A3060" s="38"/>
      <c r="B3060" s="44"/>
      <c r="C3060" s="45"/>
      <c r="D3060" s="44"/>
    </row>
    <row r="3061" spans="1:4" ht="19.5" thickBot="1" x14ac:dyDescent="0.3">
      <c r="A3061" s="19"/>
      <c r="B3061" s="20"/>
      <c r="C3061" s="63"/>
      <c r="D3061" s="14"/>
    </row>
    <row r="3062" spans="1:4" ht="19.5" thickBot="1" x14ac:dyDescent="0.3">
      <c r="A3062" s="19"/>
      <c r="B3062" s="20"/>
      <c r="C3062" s="48"/>
      <c r="D3062" s="46"/>
    </row>
    <row r="3063" spans="1:4" ht="15.75" thickBot="1" x14ac:dyDescent="0.3">
      <c r="A3063" s="32"/>
      <c r="B3063" s="33"/>
      <c r="C3063" s="32"/>
      <c r="D3063" s="34"/>
    </row>
    <row r="3064" spans="1:4" ht="15.75" thickBot="1" x14ac:dyDescent="0.3">
      <c r="A3064" s="58"/>
      <c r="B3064" s="58"/>
      <c r="C3064" s="58"/>
      <c r="D3064" s="35"/>
    </row>
    <row r="3065" spans="1:4" ht="15.75" x14ac:dyDescent="0.25">
      <c r="A3065" s="285"/>
      <c r="B3065" s="59"/>
      <c r="C3065" s="59"/>
      <c r="D3065" s="60"/>
    </row>
    <row r="3066" spans="1:4" ht="16.5" thickBot="1" x14ac:dyDescent="0.3">
      <c r="A3066" s="286"/>
      <c r="B3066" s="62"/>
      <c r="C3066" s="62"/>
      <c r="D3066" s="61"/>
    </row>
    <row r="3067" spans="1:4" ht="15.75" x14ac:dyDescent="0.25">
      <c r="A3067" s="285"/>
      <c r="B3067" s="59"/>
      <c r="C3067" s="59"/>
      <c r="D3067" s="60"/>
    </row>
    <row r="3068" spans="1:4" ht="16.5" thickBot="1" x14ac:dyDescent="0.3">
      <c r="A3068" s="286"/>
      <c r="B3068" s="62"/>
      <c r="C3068" s="62"/>
      <c r="D3068" s="61"/>
    </row>
    <row r="3069" spans="1:4" ht="16.5" thickBot="1" x14ac:dyDescent="0.3">
      <c r="A3069" s="57"/>
      <c r="B3069" s="36"/>
      <c r="C3069" s="36"/>
      <c r="D3069" s="36"/>
    </row>
    <row r="3070" spans="1:4" ht="15.75" thickBot="1" x14ac:dyDescent="0.3">
      <c r="A3070" s="287"/>
      <c r="B3070" s="288"/>
      <c r="C3070" s="288"/>
      <c r="D3070" s="289"/>
    </row>
    <row r="3071" spans="1:4" ht="18.75" x14ac:dyDescent="0.25">
      <c r="A3071" s="5"/>
      <c r="B3071" s="6"/>
      <c r="C3071" s="7"/>
      <c r="D3071" s="8"/>
    </row>
    <row r="3072" spans="1:4" ht="19.5" thickBot="1" x14ac:dyDescent="0.3">
      <c r="A3072" s="9"/>
      <c r="B3072" s="10"/>
      <c r="C3072" s="10"/>
      <c r="D3072" s="11"/>
    </row>
    <row r="3073" spans="1:4" ht="21.75" thickBot="1" x14ac:dyDescent="0.3">
      <c r="A3073" s="43"/>
      <c r="B3073" s="290"/>
      <c r="C3073" s="291"/>
      <c r="D3073" s="43"/>
    </row>
    <row r="3074" spans="1:4" ht="21.75" thickBot="1" x14ac:dyDescent="0.3">
      <c r="A3074" s="38"/>
      <c r="B3074" s="44"/>
      <c r="C3074" s="45"/>
      <c r="D3074" s="44"/>
    </row>
    <row r="3075" spans="1:4" ht="19.5" thickBot="1" x14ac:dyDescent="0.3">
      <c r="A3075" s="19"/>
      <c r="B3075" s="20"/>
      <c r="C3075" s="63"/>
      <c r="D3075" s="14"/>
    </row>
    <row r="3076" spans="1:4" ht="19.5" thickBot="1" x14ac:dyDescent="0.3">
      <c r="A3076" s="19"/>
      <c r="B3076" s="20"/>
      <c r="C3076" s="63"/>
      <c r="D3076" s="14"/>
    </row>
    <row r="3077" spans="1:4" ht="19.5" thickBot="1" x14ac:dyDescent="0.3">
      <c r="A3077" s="19"/>
      <c r="B3077" s="20"/>
      <c r="C3077" s="48"/>
      <c r="D3077" s="46"/>
    </row>
    <row r="3078" spans="1:4" ht="15.75" thickBot="1" x14ac:dyDescent="0.3">
      <c r="A3078" s="32"/>
      <c r="B3078" s="33"/>
      <c r="C3078" s="32"/>
      <c r="D3078" s="34"/>
    </row>
    <row r="3079" spans="1:4" ht="15.75" thickBot="1" x14ac:dyDescent="0.3">
      <c r="A3079" s="58"/>
      <c r="B3079" s="58"/>
      <c r="C3079" s="58"/>
      <c r="D3079" s="35"/>
    </row>
    <row r="3080" spans="1:4" ht="15.75" x14ac:dyDescent="0.25">
      <c r="A3080" s="285"/>
      <c r="B3080" s="59"/>
      <c r="C3080" s="59"/>
      <c r="D3080" s="60"/>
    </row>
    <row r="3081" spans="1:4" ht="16.5" thickBot="1" x14ac:dyDescent="0.3">
      <c r="A3081" s="286"/>
      <c r="B3081" s="62"/>
      <c r="C3081" s="62"/>
      <c r="D3081" s="61"/>
    </row>
    <row r="3082" spans="1:4" ht="15.75" x14ac:dyDescent="0.25">
      <c r="A3082" s="285"/>
      <c r="B3082" s="59"/>
      <c r="C3082" s="59"/>
      <c r="D3082" s="60"/>
    </row>
    <row r="3083" spans="1:4" ht="16.5" thickBot="1" x14ac:dyDescent="0.3">
      <c r="A3083" s="286"/>
      <c r="B3083" s="62"/>
      <c r="C3083" s="62"/>
      <c r="D3083" s="61"/>
    </row>
    <row r="3084" spans="1:4" ht="16.5" thickBot="1" x14ac:dyDescent="0.3">
      <c r="A3084" s="57"/>
      <c r="B3084" s="36"/>
      <c r="C3084" s="36"/>
      <c r="D3084" s="36"/>
    </row>
    <row r="3085" spans="1:4" ht="15.75" thickBot="1" x14ac:dyDescent="0.3">
      <c r="A3085" s="287"/>
      <c r="B3085" s="288"/>
      <c r="C3085" s="288"/>
      <c r="D3085" s="289"/>
    </row>
    <row r="3086" spans="1:4" ht="18.75" x14ac:dyDescent="0.25">
      <c r="A3086" s="5"/>
      <c r="B3086" s="6"/>
      <c r="C3086" s="7"/>
      <c r="D3086" s="8"/>
    </row>
    <row r="3087" spans="1:4" ht="19.5" thickBot="1" x14ac:dyDescent="0.3">
      <c r="A3087" s="9"/>
      <c r="B3087" s="10"/>
      <c r="C3087" s="10"/>
      <c r="D3087" s="11"/>
    </row>
    <row r="3088" spans="1:4" ht="21.75" thickBot="1" x14ac:dyDescent="0.3">
      <c r="A3088" s="43"/>
      <c r="B3088" s="290"/>
      <c r="C3088" s="291"/>
      <c r="D3088" s="43"/>
    </row>
    <row r="3089" spans="1:4" ht="21.75" thickBot="1" x14ac:dyDescent="0.3">
      <c r="A3089" s="38"/>
      <c r="B3089" s="44"/>
      <c r="C3089" s="45"/>
      <c r="D3089" s="44"/>
    </row>
    <row r="3090" spans="1:4" ht="19.5" thickBot="1" x14ac:dyDescent="0.3">
      <c r="A3090" s="19"/>
      <c r="B3090" s="20"/>
      <c r="C3090" s="63"/>
      <c r="D3090" s="14"/>
    </row>
    <row r="3091" spans="1:4" ht="19.5" thickBot="1" x14ac:dyDescent="0.3">
      <c r="A3091" s="19"/>
      <c r="B3091" s="20"/>
      <c r="C3091" s="48"/>
      <c r="D3091" s="46"/>
    </row>
    <row r="3092" spans="1:4" ht="15.75" thickBot="1" x14ac:dyDescent="0.3">
      <c r="A3092" s="32"/>
      <c r="B3092" s="33"/>
      <c r="C3092" s="32"/>
      <c r="D3092" s="34"/>
    </row>
    <row r="3093" spans="1:4" ht="15.75" thickBot="1" x14ac:dyDescent="0.3">
      <c r="A3093" s="58"/>
      <c r="B3093" s="58"/>
      <c r="C3093" s="58"/>
      <c r="D3093" s="35"/>
    </row>
    <row r="3094" spans="1:4" ht="15.75" x14ac:dyDescent="0.25">
      <c r="A3094" s="285"/>
      <c r="B3094" s="59"/>
      <c r="C3094" s="59"/>
      <c r="D3094" s="60"/>
    </row>
    <row r="3095" spans="1:4" ht="16.5" thickBot="1" x14ac:dyDescent="0.3">
      <c r="A3095" s="286"/>
      <c r="B3095" s="62"/>
      <c r="C3095" s="62"/>
      <c r="D3095" s="61"/>
    </row>
    <row r="3096" spans="1:4" ht="15.75" x14ac:dyDescent="0.25">
      <c r="A3096" s="285"/>
      <c r="B3096" s="59"/>
      <c r="C3096" s="59"/>
      <c r="D3096" s="60"/>
    </row>
    <row r="3097" spans="1:4" ht="16.5" thickBot="1" x14ac:dyDescent="0.3">
      <c r="A3097" s="286"/>
      <c r="B3097" s="62"/>
      <c r="C3097" s="62"/>
      <c r="D3097" s="61"/>
    </row>
    <row r="3098" spans="1:4" ht="16.5" thickBot="1" x14ac:dyDescent="0.3">
      <c r="A3098" s="57"/>
      <c r="B3098" s="36"/>
      <c r="C3098" s="36"/>
      <c r="D3098" s="36"/>
    </row>
    <row r="3099" spans="1:4" ht="15.75" thickBot="1" x14ac:dyDescent="0.3">
      <c r="A3099" s="287"/>
      <c r="B3099" s="288"/>
      <c r="C3099" s="288"/>
      <c r="D3099" s="289"/>
    </row>
    <row r="3100" spans="1:4" ht="18.75" x14ac:dyDescent="0.25">
      <c r="A3100" s="5"/>
      <c r="B3100" s="6"/>
      <c r="C3100" s="7"/>
      <c r="D3100" s="8"/>
    </row>
    <row r="3101" spans="1:4" ht="19.5" thickBot="1" x14ac:dyDescent="0.3">
      <c r="A3101" s="9"/>
      <c r="B3101" s="10"/>
      <c r="C3101" s="10"/>
      <c r="D3101" s="11"/>
    </row>
    <row r="3102" spans="1:4" ht="21.75" thickBot="1" x14ac:dyDescent="0.3">
      <c r="A3102" s="43"/>
      <c r="B3102" s="290"/>
      <c r="C3102" s="291"/>
      <c r="D3102" s="43"/>
    </row>
    <row r="3103" spans="1:4" ht="21.75" thickBot="1" x14ac:dyDescent="0.3">
      <c r="A3103" s="38"/>
      <c r="B3103" s="44"/>
      <c r="C3103" s="45"/>
      <c r="D3103" s="44"/>
    </row>
    <row r="3104" spans="1:4" ht="19.5" thickBot="1" x14ac:dyDescent="0.3">
      <c r="A3104" s="19"/>
      <c r="B3104" s="20"/>
      <c r="C3104" s="63"/>
      <c r="D3104" s="14"/>
    </row>
    <row r="3105" spans="1:4" ht="19.5" thickBot="1" x14ac:dyDescent="0.3">
      <c r="A3105" s="19"/>
      <c r="B3105" s="20"/>
      <c r="C3105" s="63"/>
      <c r="D3105" s="14"/>
    </row>
    <row r="3106" spans="1:4" ht="19.5" thickBot="1" x14ac:dyDescent="0.3">
      <c r="A3106" s="19"/>
      <c r="B3106" s="20"/>
      <c r="C3106" s="48"/>
      <c r="D3106" s="46"/>
    </row>
    <row r="3107" spans="1:4" ht="15.75" thickBot="1" x14ac:dyDescent="0.3">
      <c r="A3107" s="32"/>
      <c r="B3107" s="33"/>
      <c r="C3107" s="32"/>
      <c r="D3107" s="34"/>
    </row>
    <row r="3108" spans="1:4" ht="15.75" thickBot="1" x14ac:dyDescent="0.3">
      <c r="A3108" s="58"/>
      <c r="B3108" s="58"/>
      <c r="C3108" s="58"/>
      <c r="D3108" s="35"/>
    </row>
    <row r="3109" spans="1:4" ht="15.75" x14ac:dyDescent="0.25">
      <c r="A3109" s="285"/>
      <c r="B3109" s="59"/>
      <c r="C3109" s="59"/>
      <c r="D3109" s="60"/>
    </row>
    <row r="3110" spans="1:4" ht="16.5" thickBot="1" x14ac:dyDescent="0.3">
      <c r="A3110" s="286"/>
      <c r="B3110" s="62"/>
      <c r="C3110" s="62"/>
      <c r="D3110" s="61"/>
    </row>
    <row r="3111" spans="1:4" ht="15.75" x14ac:dyDescent="0.25">
      <c r="A3111" s="285"/>
      <c r="B3111" s="59"/>
      <c r="C3111" s="59"/>
      <c r="D3111" s="60"/>
    </row>
    <row r="3112" spans="1:4" ht="16.5" thickBot="1" x14ac:dyDescent="0.3">
      <c r="A3112" s="286"/>
      <c r="B3112" s="62"/>
      <c r="C3112" s="62"/>
      <c r="D3112" s="61"/>
    </row>
    <row r="3113" spans="1:4" ht="16.5" thickBot="1" x14ac:dyDescent="0.3">
      <c r="A3113" s="57"/>
      <c r="B3113" s="36"/>
      <c r="C3113" s="36"/>
      <c r="D3113" s="36"/>
    </row>
    <row r="3114" spans="1:4" ht="15.75" thickBot="1" x14ac:dyDescent="0.3">
      <c r="A3114" s="287"/>
      <c r="B3114" s="288"/>
      <c r="C3114" s="288"/>
      <c r="D3114" s="289"/>
    </row>
    <row r="3115" spans="1:4" ht="18.75" x14ac:dyDescent="0.25">
      <c r="A3115" s="5"/>
      <c r="B3115" s="6"/>
      <c r="C3115" s="7"/>
      <c r="D3115" s="8"/>
    </row>
    <row r="3116" spans="1:4" ht="19.5" thickBot="1" x14ac:dyDescent="0.3">
      <c r="A3116" s="9"/>
      <c r="B3116" s="10"/>
      <c r="C3116" s="10"/>
      <c r="D3116" s="11"/>
    </row>
    <row r="3117" spans="1:4" ht="21.75" thickBot="1" x14ac:dyDescent="0.3">
      <c r="A3117" s="43"/>
      <c r="B3117" s="290"/>
      <c r="C3117" s="291"/>
      <c r="D3117" s="43"/>
    </row>
    <row r="3118" spans="1:4" ht="21.75" thickBot="1" x14ac:dyDescent="0.3">
      <c r="A3118" s="38"/>
      <c r="B3118" s="44"/>
      <c r="C3118" s="45"/>
      <c r="D3118" s="44"/>
    </row>
    <row r="3119" spans="1:4" ht="19.5" thickBot="1" x14ac:dyDescent="0.3">
      <c r="A3119" s="19"/>
      <c r="B3119" s="20"/>
      <c r="C3119" s="63"/>
      <c r="D3119" s="14"/>
    </row>
    <row r="3120" spans="1:4" ht="19.5" thickBot="1" x14ac:dyDescent="0.3">
      <c r="A3120" s="19"/>
      <c r="B3120" s="20"/>
      <c r="C3120" s="48"/>
      <c r="D3120" s="46"/>
    </row>
    <row r="3121" spans="1:4" ht="15.75" thickBot="1" x14ac:dyDescent="0.3">
      <c r="A3121" s="32"/>
      <c r="B3121" s="33"/>
      <c r="C3121" s="32"/>
      <c r="D3121" s="34"/>
    </row>
    <row r="3122" spans="1:4" ht="15.75" thickBot="1" x14ac:dyDescent="0.3">
      <c r="A3122" s="58"/>
      <c r="B3122" s="58"/>
      <c r="C3122" s="58"/>
      <c r="D3122" s="35"/>
    </row>
    <row r="3123" spans="1:4" ht="15.75" x14ac:dyDescent="0.25">
      <c r="A3123" s="285"/>
      <c r="B3123" s="59"/>
      <c r="C3123" s="59"/>
      <c r="D3123" s="60"/>
    </row>
    <row r="3124" spans="1:4" ht="16.5" thickBot="1" x14ac:dyDescent="0.3">
      <c r="A3124" s="286"/>
      <c r="B3124" s="62"/>
      <c r="C3124" s="62"/>
      <c r="D3124" s="61"/>
    </row>
    <row r="3125" spans="1:4" ht="15.75" x14ac:dyDescent="0.25">
      <c r="A3125" s="285"/>
      <c r="B3125" s="59"/>
      <c r="C3125" s="59"/>
      <c r="D3125" s="60"/>
    </row>
    <row r="3126" spans="1:4" ht="16.5" thickBot="1" x14ac:dyDescent="0.3">
      <c r="A3126" s="286"/>
      <c r="B3126" s="62"/>
      <c r="C3126" s="62"/>
      <c r="D3126" s="61"/>
    </row>
    <row r="3127" spans="1:4" ht="16.5" thickBot="1" x14ac:dyDescent="0.3">
      <c r="A3127" s="57"/>
      <c r="B3127" s="36"/>
      <c r="C3127" s="36"/>
      <c r="D3127" s="36"/>
    </row>
    <row r="3128" spans="1:4" ht="15.75" thickBot="1" x14ac:dyDescent="0.3">
      <c r="A3128" s="287"/>
      <c r="B3128" s="288"/>
      <c r="C3128" s="288"/>
      <c r="D3128" s="289"/>
    </row>
    <row r="3129" spans="1:4" ht="18.75" x14ac:dyDescent="0.25">
      <c r="A3129" s="5"/>
      <c r="B3129" s="6"/>
      <c r="C3129" s="7"/>
      <c r="D3129" s="8"/>
    </row>
    <row r="3130" spans="1:4" ht="19.5" thickBot="1" x14ac:dyDescent="0.3">
      <c r="A3130" s="9"/>
      <c r="B3130" s="10"/>
      <c r="C3130" s="10"/>
      <c r="D3130" s="11"/>
    </row>
    <row r="3131" spans="1:4" ht="21.75" thickBot="1" x14ac:dyDescent="0.3">
      <c r="A3131" s="43"/>
      <c r="B3131" s="290"/>
      <c r="C3131" s="291"/>
      <c r="D3131" s="43"/>
    </row>
    <row r="3132" spans="1:4" ht="21.75" thickBot="1" x14ac:dyDescent="0.3">
      <c r="A3132" s="38"/>
      <c r="B3132" s="44"/>
      <c r="C3132" s="45"/>
      <c r="D3132" s="44"/>
    </row>
    <row r="3133" spans="1:4" ht="19.5" thickBot="1" x14ac:dyDescent="0.3">
      <c r="A3133" s="19"/>
      <c r="B3133" s="20"/>
      <c r="C3133" s="63"/>
      <c r="D3133" s="14"/>
    </row>
    <row r="3134" spans="1:4" ht="19.5" thickBot="1" x14ac:dyDescent="0.3">
      <c r="A3134" s="19"/>
      <c r="B3134" s="20"/>
      <c r="C3134" s="63"/>
      <c r="D3134" s="14"/>
    </row>
    <row r="3135" spans="1:4" ht="19.5" thickBot="1" x14ac:dyDescent="0.3">
      <c r="A3135" s="19"/>
      <c r="B3135" s="20"/>
      <c r="C3135" s="48"/>
      <c r="D3135" s="46"/>
    </row>
    <row r="3136" spans="1:4" ht="15.75" thickBot="1" x14ac:dyDescent="0.3">
      <c r="A3136" s="32"/>
      <c r="B3136" s="33"/>
      <c r="C3136" s="32"/>
      <c r="D3136" s="34"/>
    </row>
    <row r="3137" spans="1:4" ht="15.75" thickBot="1" x14ac:dyDescent="0.3">
      <c r="A3137" s="58"/>
      <c r="B3137" s="58"/>
      <c r="C3137" s="58"/>
      <c r="D3137" s="35"/>
    </row>
    <row r="3138" spans="1:4" ht="15.75" x14ac:dyDescent="0.25">
      <c r="A3138" s="285"/>
      <c r="B3138" s="59"/>
      <c r="C3138" s="59"/>
      <c r="D3138" s="60"/>
    </row>
    <row r="3139" spans="1:4" ht="16.5" thickBot="1" x14ac:dyDescent="0.3">
      <c r="A3139" s="286"/>
      <c r="B3139" s="62"/>
      <c r="C3139" s="62"/>
      <c r="D3139" s="61"/>
    </row>
    <row r="3140" spans="1:4" ht="15.75" x14ac:dyDescent="0.25">
      <c r="A3140" s="285"/>
      <c r="B3140" s="59"/>
      <c r="C3140" s="59"/>
      <c r="D3140" s="60"/>
    </row>
    <row r="3141" spans="1:4" ht="16.5" thickBot="1" x14ac:dyDescent="0.3">
      <c r="A3141" s="286"/>
      <c r="B3141" s="62"/>
      <c r="C3141" s="62"/>
      <c r="D3141" s="61"/>
    </row>
    <row r="3142" spans="1:4" ht="16.5" thickBot="1" x14ac:dyDescent="0.3">
      <c r="A3142" s="57"/>
      <c r="B3142" s="36"/>
      <c r="C3142" s="36"/>
      <c r="D3142" s="36"/>
    </row>
    <row r="3143" spans="1:4" ht="15.75" thickBot="1" x14ac:dyDescent="0.3">
      <c r="A3143" s="287"/>
      <c r="B3143" s="288"/>
      <c r="C3143" s="288"/>
      <c r="D3143" s="289"/>
    </row>
    <row r="3144" spans="1:4" ht="18.75" x14ac:dyDescent="0.25">
      <c r="A3144" s="5"/>
      <c r="B3144" s="6"/>
      <c r="C3144" s="7"/>
      <c r="D3144" s="8"/>
    </row>
    <row r="3145" spans="1:4" ht="19.5" thickBot="1" x14ac:dyDescent="0.3">
      <c r="A3145" s="9"/>
      <c r="B3145" s="10"/>
      <c r="C3145" s="10"/>
      <c r="D3145" s="11"/>
    </row>
    <row r="3146" spans="1:4" ht="21.75" thickBot="1" x14ac:dyDescent="0.3">
      <c r="A3146" s="43"/>
      <c r="B3146" s="290"/>
      <c r="C3146" s="291"/>
      <c r="D3146" s="43"/>
    </row>
    <row r="3147" spans="1:4" ht="21.75" thickBot="1" x14ac:dyDescent="0.3">
      <c r="A3147" s="38"/>
      <c r="B3147" s="44"/>
      <c r="C3147" s="45"/>
      <c r="D3147" s="44"/>
    </row>
    <row r="3148" spans="1:4" ht="19.5" thickBot="1" x14ac:dyDescent="0.3">
      <c r="A3148" s="19"/>
      <c r="B3148" s="20"/>
      <c r="C3148" s="63"/>
      <c r="D3148" s="14"/>
    </row>
    <row r="3149" spans="1:4" ht="19.5" thickBot="1" x14ac:dyDescent="0.3">
      <c r="A3149" s="19"/>
      <c r="B3149" s="20"/>
      <c r="C3149" s="48"/>
      <c r="D3149" s="46"/>
    </row>
    <row r="3150" spans="1:4" ht="15.75" thickBot="1" x14ac:dyDescent="0.3">
      <c r="A3150" s="32"/>
      <c r="B3150" s="33"/>
      <c r="C3150" s="32"/>
      <c r="D3150" s="34"/>
    </row>
    <row r="3151" spans="1:4" ht="15.75" thickBot="1" x14ac:dyDescent="0.3">
      <c r="A3151" s="58"/>
      <c r="B3151" s="58"/>
      <c r="C3151" s="58"/>
      <c r="D3151" s="35"/>
    </row>
    <row r="3152" spans="1:4" ht="15.75" x14ac:dyDescent="0.25">
      <c r="A3152" s="285"/>
      <c r="B3152" s="59"/>
      <c r="C3152" s="59"/>
      <c r="D3152" s="60"/>
    </row>
    <row r="3153" spans="1:4" ht="16.5" thickBot="1" x14ac:dyDescent="0.3">
      <c r="A3153" s="286"/>
      <c r="B3153" s="62"/>
      <c r="C3153" s="62"/>
      <c r="D3153" s="61"/>
    </row>
    <row r="3154" spans="1:4" ht="15.75" x14ac:dyDescent="0.25">
      <c r="A3154" s="285"/>
      <c r="B3154" s="59"/>
      <c r="C3154" s="59"/>
      <c r="D3154" s="60"/>
    </row>
    <row r="3155" spans="1:4" ht="16.5" thickBot="1" x14ac:dyDescent="0.3">
      <c r="A3155" s="286"/>
      <c r="B3155" s="62"/>
      <c r="C3155" s="62"/>
      <c r="D3155" s="61"/>
    </row>
    <row r="3156" spans="1:4" ht="16.5" thickBot="1" x14ac:dyDescent="0.3">
      <c r="A3156" s="57"/>
      <c r="B3156" s="36"/>
      <c r="C3156" s="36"/>
      <c r="D3156" s="36"/>
    </row>
    <row r="3157" spans="1:4" ht="15.75" thickBot="1" x14ac:dyDescent="0.3">
      <c r="A3157" s="287"/>
      <c r="B3157" s="288"/>
      <c r="C3157" s="288"/>
      <c r="D3157" s="289"/>
    </row>
    <row r="3158" spans="1:4" ht="18.75" x14ac:dyDescent="0.25">
      <c r="A3158" s="5"/>
      <c r="B3158" s="6"/>
      <c r="C3158" s="7"/>
      <c r="D3158" s="8"/>
    </row>
    <row r="3159" spans="1:4" ht="19.5" thickBot="1" x14ac:dyDescent="0.3">
      <c r="A3159" s="9"/>
      <c r="B3159" s="10"/>
      <c r="C3159" s="10"/>
      <c r="D3159" s="11"/>
    </row>
    <row r="3160" spans="1:4" ht="21.75" thickBot="1" x14ac:dyDescent="0.3">
      <c r="A3160" s="43"/>
      <c r="B3160" s="290"/>
      <c r="C3160" s="291"/>
      <c r="D3160" s="43"/>
    </row>
    <row r="3161" spans="1:4" ht="21.75" thickBot="1" x14ac:dyDescent="0.3">
      <c r="A3161" s="38"/>
      <c r="B3161" s="44"/>
      <c r="C3161" s="45"/>
      <c r="D3161" s="44"/>
    </row>
    <row r="3162" spans="1:4" ht="19.5" thickBot="1" x14ac:dyDescent="0.3">
      <c r="A3162" s="19"/>
      <c r="B3162" s="20"/>
      <c r="C3162" s="63"/>
      <c r="D3162" s="14"/>
    </row>
    <row r="3163" spans="1:4" ht="19.5" thickBot="1" x14ac:dyDescent="0.3">
      <c r="A3163" s="19"/>
      <c r="B3163" s="20"/>
      <c r="C3163" s="63"/>
      <c r="D3163" s="14"/>
    </row>
    <row r="3164" spans="1:4" ht="19.5" thickBot="1" x14ac:dyDescent="0.3">
      <c r="A3164" s="19"/>
      <c r="B3164" s="20"/>
      <c r="C3164" s="48"/>
      <c r="D3164" s="46"/>
    </row>
    <row r="3165" spans="1:4" ht="15.75" thickBot="1" x14ac:dyDescent="0.3">
      <c r="A3165" s="32"/>
      <c r="B3165" s="33"/>
      <c r="C3165" s="32"/>
      <c r="D3165" s="34"/>
    </row>
    <row r="3166" spans="1:4" ht="15.75" thickBot="1" x14ac:dyDescent="0.3">
      <c r="A3166" s="58"/>
      <c r="B3166" s="58"/>
      <c r="C3166" s="58"/>
      <c r="D3166" s="35"/>
    </row>
    <row r="3167" spans="1:4" ht="15.75" x14ac:dyDescent="0.25">
      <c r="A3167" s="285"/>
      <c r="B3167" s="59"/>
      <c r="C3167" s="59"/>
      <c r="D3167" s="60"/>
    </row>
    <row r="3168" spans="1:4" ht="16.5" thickBot="1" x14ac:dyDescent="0.3">
      <c r="A3168" s="286"/>
      <c r="B3168" s="62"/>
      <c r="C3168" s="62"/>
      <c r="D3168" s="61"/>
    </row>
    <row r="3169" spans="1:4" ht="15.75" x14ac:dyDescent="0.25">
      <c r="A3169" s="285"/>
      <c r="B3169" s="59"/>
      <c r="C3169" s="59"/>
      <c r="D3169" s="60"/>
    </row>
    <row r="3170" spans="1:4" ht="16.5" thickBot="1" x14ac:dyDescent="0.3">
      <c r="A3170" s="286"/>
      <c r="B3170" s="62"/>
      <c r="C3170" s="62"/>
      <c r="D3170" s="61"/>
    </row>
    <row r="3171" spans="1:4" ht="16.5" thickBot="1" x14ac:dyDescent="0.3">
      <c r="A3171" s="57"/>
      <c r="B3171" s="36"/>
      <c r="C3171" s="36"/>
      <c r="D3171" s="36"/>
    </row>
    <row r="3172" spans="1:4" ht="15.75" thickBot="1" x14ac:dyDescent="0.3">
      <c r="A3172" s="287"/>
      <c r="B3172" s="288"/>
      <c r="C3172" s="288"/>
      <c r="D3172" s="289"/>
    </row>
    <row r="3173" spans="1:4" ht="18.75" x14ac:dyDescent="0.25">
      <c r="A3173" s="5"/>
      <c r="B3173" s="6"/>
      <c r="C3173" s="7"/>
      <c r="D3173" s="8"/>
    </row>
    <row r="3174" spans="1:4" ht="19.5" thickBot="1" x14ac:dyDescent="0.3">
      <c r="A3174" s="9"/>
      <c r="B3174" s="10"/>
      <c r="C3174" s="10"/>
      <c r="D3174" s="11"/>
    </row>
    <row r="3175" spans="1:4" ht="21.75" thickBot="1" x14ac:dyDescent="0.3">
      <c r="A3175" s="43"/>
      <c r="B3175" s="290"/>
      <c r="C3175" s="291"/>
      <c r="D3175" s="43"/>
    </row>
    <row r="3176" spans="1:4" ht="21.75" thickBot="1" x14ac:dyDescent="0.3">
      <c r="A3176" s="38"/>
      <c r="B3176" s="44"/>
      <c r="C3176" s="45"/>
      <c r="D3176" s="44"/>
    </row>
    <row r="3177" spans="1:4" ht="19.5" thickBot="1" x14ac:dyDescent="0.3">
      <c r="A3177" s="19"/>
      <c r="B3177" s="20"/>
      <c r="C3177" s="63"/>
      <c r="D3177" s="14"/>
    </row>
    <row r="3178" spans="1:4" ht="19.5" thickBot="1" x14ac:dyDescent="0.3">
      <c r="A3178" s="19"/>
      <c r="B3178" s="20"/>
      <c r="C3178" s="48"/>
      <c r="D3178" s="46"/>
    </row>
    <row r="3179" spans="1:4" ht="15.75" thickBot="1" x14ac:dyDescent="0.3">
      <c r="A3179" s="32"/>
      <c r="B3179" s="33"/>
      <c r="C3179" s="32"/>
      <c r="D3179" s="34"/>
    </row>
    <row r="3180" spans="1:4" ht="15.75" thickBot="1" x14ac:dyDescent="0.3">
      <c r="A3180" s="58"/>
      <c r="B3180" s="58"/>
      <c r="C3180" s="58"/>
      <c r="D3180" s="35"/>
    </row>
    <row r="3181" spans="1:4" ht="15.75" x14ac:dyDescent="0.25">
      <c r="A3181" s="285"/>
      <c r="B3181" s="59"/>
      <c r="C3181" s="59"/>
      <c r="D3181" s="60"/>
    </row>
    <row r="3182" spans="1:4" ht="16.5" thickBot="1" x14ac:dyDescent="0.3">
      <c r="A3182" s="286"/>
      <c r="B3182" s="62"/>
      <c r="C3182" s="62"/>
      <c r="D3182" s="61"/>
    </row>
    <row r="3183" spans="1:4" ht="15.75" x14ac:dyDescent="0.25">
      <c r="A3183" s="285"/>
      <c r="B3183" s="59"/>
      <c r="C3183" s="59"/>
      <c r="D3183" s="60"/>
    </row>
    <row r="3184" spans="1:4" ht="16.5" thickBot="1" x14ac:dyDescent="0.3">
      <c r="A3184" s="286"/>
      <c r="B3184" s="62"/>
      <c r="C3184" s="62"/>
      <c r="D3184" s="61"/>
    </row>
    <row r="3185" spans="1:4" ht="16.5" thickBot="1" x14ac:dyDescent="0.3">
      <c r="A3185" s="57"/>
      <c r="B3185" s="36"/>
      <c r="C3185" s="36"/>
      <c r="D3185" s="36"/>
    </row>
    <row r="3186" spans="1:4" ht="15.75" thickBot="1" x14ac:dyDescent="0.3">
      <c r="A3186" s="287"/>
      <c r="B3186" s="288"/>
      <c r="C3186" s="288"/>
      <c r="D3186" s="289"/>
    </row>
    <row r="3187" spans="1:4" ht="18.75" x14ac:dyDescent="0.25">
      <c r="A3187" s="5"/>
      <c r="B3187" s="6"/>
      <c r="C3187" s="7"/>
      <c r="D3187" s="8"/>
    </row>
    <row r="3188" spans="1:4" ht="19.5" thickBot="1" x14ac:dyDescent="0.3">
      <c r="A3188" s="9"/>
      <c r="B3188" s="10"/>
      <c r="C3188" s="10"/>
      <c r="D3188" s="11"/>
    </row>
    <row r="3189" spans="1:4" ht="21.75" thickBot="1" x14ac:dyDescent="0.3">
      <c r="A3189" s="43"/>
      <c r="B3189" s="290"/>
      <c r="C3189" s="291"/>
      <c r="D3189" s="43"/>
    </row>
    <row r="3190" spans="1:4" ht="21.75" thickBot="1" x14ac:dyDescent="0.3">
      <c r="A3190" s="38"/>
      <c r="B3190" s="44"/>
      <c r="C3190" s="45"/>
      <c r="D3190" s="44"/>
    </row>
    <row r="3191" spans="1:4" ht="19.5" thickBot="1" x14ac:dyDescent="0.3">
      <c r="A3191" s="19"/>
      <c r="B3191" s="20"/>
      <c r="C3191" s="63"/>
      <c r="D3191" s="14"/>
    </row>
    <row r="3192" spans="1:4" ht="19.5" thickBot="1" x14ac:dyDescent="0.3">
      <c r="A3192" s="19"/>
      <c r="B3192" s="20"/>
      <c r="C3192" s="63"/>
      <c r="D3192" s="14"/>
    </row>
    <row r="3193" spans="1:4" ht="19.5" thickBot="1" x14ac:dyDescent="0.3">
      <c r="A3193" s="19"/>
      <c r="B3193" s="20"/>
      <c r="C3193" s="48"/>
      <c r="D3193" s="46"/>
    </row>
    <row r="3194" spans="1:4" ht="15.75" thickBot="1" x14ac:dyDescent="0.3">
      <c r="A3194" s="32"/>
      <c r="B3194" s="33"/>
      <c r="C3194" s="32"/>
      <c r="D3194" s="34"/>
    </row>
    <row r="3195" spans="1:4" ht="15.75" thickBot="1" x14ac:dyDescent="0.3">
      <c r="A3195" s="58"/>
      <c r="B3195" s="58"/>
      <c r="C3195" s="58"/>
      <c r="D3195" s="35"/>
    </row>
    <row r="3196" spans="1:4" ht="15.75" x14ac:dyDescent="0.25">
      <c r="A3196" s="285"/>
      <c r="B3196" s="59"/>
      <c r="C3196" s="59"/>
      <c r="D3196" s="60"/>
    </row>
    <row r="3197" spans="1:4" ht="16.5" thickBot="1" x14ac:dyDescent="0.3">
      <c r="A3197" s="286"/>
      <c r="B3197" s="62"/>
      <c r="C3197" s="62"/>
      <c r="D3197" s="61"/>
    </row>
    <row r="3198" spans="1:4" ht="15.75" x14ac:dyDescent="0.25">
      <c r="A3198" s="285"/>
      <c r="B3198" s="59"/>
      <c r="C3198" s="59"/>
      <c r="D3198" s="60"/>
    </row>
    <row r="3199" spans="1:4" ht="16.5" thickBot="1" x14ac:dyDescent="0.3">
      <c r="A3199" s="286"/>
      <c r="B3199" s="62"/>
      <c r="C3199" s="62"/>
      <c r="D3199" s="61"/>
    </row>
    <row r="3200" spans="1:4" ht="16.5" thickBot="1" x14ac:dyDescent="0.3">
      <c r="A3200" s="57"/>
      <c r="B3200" s="36"/>
      <c r="C3200" s="36"/>
      <c r="D3200" s="36"/>
    </row>
    <row r="3201" spans="1:4" ht="15.75" thickBot="1" x14ac:dyDescent="0.3">
      <c r="A3201" s="287"/>
      <c r="B3201" s="288"/>
      <c r="C3201" s="288"/>
      <c r="D3201" s="289"/>
    </row>
    <row r="3202" spans="1:4" ht="18.75" x14ac:dyDescent="0.25">
      <c r="A3202" s="5"/>
      <c r="B3202" s="6"/>
      <c r="C3202" s="7"/>
      <c r="D3202" s="8"/>
    </row>
    <row r="3203" spans="1:4" ht="19.5" thickBot="1" x14ac:dyDescent="0.3">
      <c r="A3203" s="9"/>
      <c r="B3203" s="10"/>
      <c r="C3203" s="10"/>
      <c r="D3203" s="11"/>
    </row>
    <row r="3204" spans="1:4" ht="21.75" thickBot="1" x14ac:dyDescent="0.3">
      <c r="A3204" s="43"/>
      <c r="B3204" s="290"/>
      <c r="C3204" s="291"/>
      <c r="D3204" s="43"/>
    </row>
    <row r="3205" spans="1:4" ht="21.75" thickBot="1" x14ac:dyDescent="0.3">
      <c r="A3205" s="38"/>
      <c r="B3205" s="44"/>
      <c r="C3205" s="45"/>
      <c r="D3205" s="44"/>
    </row>
    <row r="3206" spans="1:4" ht="19.5" thickBot="1" x14ac:dyDescent="0.3">
      <c r="A3206" s="19"/>
      <c r="B3206" s="20"/>
      <c r="C3206" s="63"/>
      <c r="D3206" s="14"/>
    </row>
    <row r="3207" spans="1:4" ht="19.5" thickBot="1" x14ac:dyDescent="0.3">
      <c r="A3207" s="19"/>
      <c r="B3207" s="20"/>
      <c r="C3207" s="48"/>
      <c r="D3207" s="46"/>
    </row>
    <row r="3208" spans="1:4" ht="15.75" thickBot="1" x14ac:dyDescent="0.3">
      <c r="A3208" s="32"/>
      <c r="B3208" s="33"/>
      <c r="C3208" s="32"/>
      <c r="D3208" s="34"/>
    </row>
    <row r="3209" spans="1:4" ht="15.75" thickBot="1" x14ac:dyDescent="0.3">
      <c r="A3209" s="58"/>
      <c r="B3209" s="58"/>
      <c r="C3209" s="58"/>
      <c r="D3209" s="35"/>
    </row>
    <row r="3210" spans="1:4" ht="15.75" x14ac:dyDescent="0.25">
      <c r="A3210" s="285"/>
      <c r="B3210" s="59"/>
      <c r="C3210" s="59"/>
      <c r="D3210" s="60"/>
    </row>
    <row r="3211" spans="1:4" ht="16.5" thickBot="1" x14ac:dyDescent="0.3">
      <c r="A3211" s="286"/>
      <c r="B3211" s="62"/>
      <c r="C3211" s="62"/>
      <c r="D3211" s="61"/>
    </row>
    <row r="3212" spans="1:4" ht="15.75" x14ac:dyDescent="0.25">
      <c r="A3212" s="285"/>
      <c r="B3212" s="59"/>
      <c r="C3212" s="59"/>
      <c r="D3212" s="60"/>
    </row>
    <row r="3213" spans="1:4" ht="16.5" thickBot="1" x14ac:dyDescent="0.3">
      <c r="A3213" s="286"/>
      <c r="B3213" s="62"/>
      <c r="C3213" s="62"/>
      <c r="D3213" s="61"/>
    </row>
    <row r="3214" spans="1:4" ht="16.5" thickBot="1" x14ac:dyDescent="0.3">
      <c r="A3214" s="57"/>
      <c r="B3214" s="36"/>
      <c r="C3214" s="36"/>
      <c r="D3214" s="36"/>
    </row>
    <row r="3215" spans="1:4" ht="15.75" thickBot="1" x14ac:dyDescent="0.3">
      <c r="A3215" s="287"/>
      <c r="B3215" s="288"/>
      <c r="C3215" s="288"/>
      <c r="D3215" s="289"/>
    </row>
    <row r="3216" spans="1:4" ht="18.75" x14ac:dyDescent="0.25">
      <c r="A3216" s="5"/>
      <c r="B3216" s="6"/>
      <c r="C3216" s="7"/>
      <c r="D3216" s="8"/>
    </row>
    <row r="3217" spans="1:4" ht="19.5" thickBot="1" x14ac:dyDescent="0.3">
      <c r="A3217" s="9"/>
      <c r="B3217" s="10"/>
      <c r="C3217" s="10"/>
      <c r="D3217" s="11"/>
    </row>
    <row r="3218" spans="1:4" ht="21.75" thickBot="1" x14ac:dyDescent="0.3">
      <c r="A3218" s="43"/>
      <c r="B3218" s="290"/>
      <c r="C3218" s="291"/>
      <c r="D3218" s="43"/>
    </row>
    <row r="3219" spans="1:4" ht="21.75" thickBot="1" x14ac:dyDescent="0.3">
      <c r="A3219" s="38"/>
      <c r="B3219" s="44"/>
      <c r="C3219" s="45"/>
      <c r="D3219" s="44"/>
    </row>
    <row r="3220" spans="1:4" ht="19.5" thickBot="1" x14ac:dyDescent="0.3">
      <c r="A3220" s="19"/>
      <c r="B3220" s="20"/>
      <c r="C3220" s="63"/>
      <c r="D3220" s="14"/>
    </row>
    <row r="3221" spans="1:4" ht="19.5" thickBot="1" x14ac:dyDescent="0.3">
      <c r="A3221" s="19"/>
      <c r="B3221" s="20"/>
      <c r="C3221" s="63"/>
      <c r="D3221" s="14"/>
    </row>
    <row r="3222" spans="1:4" ht="19.5" thickBot="1" x14ac:dyDescent="0.3">
      <c r="A3222" s="19"/>
      <c r="B3222" s="20"/>
      <c r="C3222" s="48"/>
      <c r="D3222" s="46"/>
    </row>
    <row r="3223" spans="1:4" ht="15.75" thickBot="1" x14ac:dyDescent="0.3">
      <c r="A3223" s="32"/>
      <c r="B3223" s="33"/>
      <c r="C3223" s="32"/>
      <c r="D3223" s="34"/>
    </row>
    <row r="3224" spans="1:4" ht="15.75" thickBot="1" x14ac:dyDescent="0.3">
      <c r="A3224" s="58"/>
      <c r="B3224" s="58"/>
      <c r="C3224" s="58"/>
      <c r="D3224" s="35"/>
    </row>
    <row r="3225" spans="1:4" ht="15.75" x14ac:dyDescent="0.25">
      <c r="A3225" s="285"/>
      <c r="B3225" s="59"/>
      <c r="C3225" s="59"/>
      <c r="D3225" s="60"/>
    </row>
    <row r="3226" spans="1:4" ht="16.5" thickBot="1" x14ac:dyDescent="0.3">
      <c r="A3226" s="286"/>
      <c r="B3226" s="62"/>
      <c r="C3226" s="62"/>
      <c r="D3226" s="61"/>
    </row>
    <row r="3227" spans="1:4" ht="15.75" x14ac:dyDescent="0.25">
      <c r="A3227" s="285"/>
      <c r="B3227" s="59"/>
      <c r="C3227" s="59"/>
      <c r="D3227" s="60"/>
    </row>
    <row r="3228" spans="1:4" ht="16.5" thickBot="1" x14ac:dyDescent="0.3">
      <c r="A3228" s="286"/>
      <c r="B3228" s="62"/>
      <c r="C3228" s="62"/>
      <c r="D3228" s="61"/>
    </row>
    <row r="3229" spans="1:4" ht="16.5" thickBot="1" x14ac:dyDescent="0.3">
      <c r="A3229" s="57"/>
      <c r="B3229" s="36"/>
      <c r="C3229" s="36"/>
      <c r="D3229" s="36"/>
    </row>
    <row r="3230" spans="1:4" ht="15.75" thickBot="1" x14ac:dyDescent="0.3">
      <c r="A3230" s="287"/>
      <c r="B3230" s="288"/>
      <c r="C3230" s="288"/>
      <c r="D3230" s="289"/>
    </row>
    <row r="3231" spans="1:4" ht="18.75" x14ac:dyDescent="0.25">
      <c r="A3231" s="5"/>
      <c r="B3231" s="6"/>
      <c r="C3231" s="7"/>
      <c r="D3231" s="8"/>
    </row>
    <row r="3232" spans="1:4" ht="19.5" thickBot="1" x14ac:dyDescent="0.3">
      <c r="A3232" s="9"/>
      <c r="B3232" s="10"/>
      <c r="C3232" s="10"/>
      <c r="D3232" s="11"/>
    </row>
    <row r="3233" spans="1:4" ht="21.75" thickBot="1" x14ac:dyDescent="0.3">
      <c r="A3233" s="43"/>
      <c r="B3233" s="290"/>
      <c r="C3233" s="291"/>
      <c r="D3233" s="43"/>
    </row>
    <row r="3234" spans="1:4" ht="21.75" thickBot="1" x14ac:dyDescent="0.3">
      <c r="A3234" s="38"/>
      <c r="B3234" s="44"/>
      <c r="C3234" s="45"/>
      <c r="D3234" s="44"/>
    </row>
    <row r="3235" spans="1:4" ht="19.5" thickBot="1" x14ac:dyDescent="0.3">
      <c r="A3235" s="19"/>
      <c r="B3235" s="20"/>
      <c r="C3235" s="63"/>
      <c r="D3235" s="14"/>
    </row>
    <row r="3236" spans="1:4" ht="19.5" thickBot="1" x14ac:dyDescent="0.3">
      <c r="A3236" s="19"/>
      <c r="B3236" s="20"/>
      <c r="C3236" s="48"/>
      <c r="D3236" s="46"/>
    </row>
    <row r="3237" spans="1:4" ht="15.75" thickBot="1" x14ac:dyDescent="0.3">
      <c r="A3237" s="32"/>
      <c r="B3237" s="33"/>
      <c r="C3237" s="32"/>
      <c r="D3237" s="34"/>
    </row>
    <row r="3238" spans="1:4" ht="15.75" thickBot="1" x14ac:dyDescent="0.3">
      <c r="A3238" s="58"/>
      <c r="B3238" s="58"/>
      <c r="C3238" s="58"/>
      <c r="D3238" s="35"/>
    </row>
    <row r="3239" spans="1:4" ht="15.75" x14ac:dyDescent="0.25">
      <c r="A3239" s="285"/>
      <c r="B3239" s="59"/>
      <c r="C3239" s="59"/>
      <c r="D3239" s="60"/>
    </row>
    <row r="3240" spans="1:4" ht="16.5" thickBot="1" x14ac:dyDescent="0.3">
      <c r="A3240" s="286"/>
      <c r="B3240" s="62"/>
      <c r="C3240" s="62"/>
      <c r="D3240" s="61"/>
    </row>
    <row r="3241" spans="1:4" ht="15.75" x14ac:dyDescent="0.25">
      <c r="A3241" s="285"/>
      <c r="B3241" s="59"/>
      <c r="C3241" s="59"/>
      <c r="D3241" s="60"/>
    </row>
    <row r="3242" spans="1:4" ht="16.5" thickBot="1" x14ac:dyDescent="0.3">
      <c r="A3242" s="286"/>
      <c r="B3242" s="62"/>
      <c r="C3242" s="62"/>
      <c r="D3242" s="61"/>
    </row>
    <row r="3243" spans="1:4" ht="16.5" thickBot="1" x14ac:dyDescent="0.3">
      <c r="A3243" s="57"/>
      <c r="B3243" s="36"/>
      <c r="C3243" s="36"/>
      <c r="D3243" s="36"/>
    </row>
    <row r="3244" spans="1:4" ht="15.75" thickBot="1" x14ac:dyDescent="0.3">
      <c r="A3244" s="287"/>
      <c r="B3244" s="288"/>
      <c r="C3244" s="288"/>
      <c r="D3244" s="289"/>
    </row>
    <row r="3245" spans="1:4" ht="18.75" x14ac:dyDescent="0.25">
      <c r="A3245" s="5"/>
      <c r="B3245" s="6"/>
      <c r="C3245" s="7"/>
      <c r="D3245" s="8"/>
    </row>
    <row r="3246" spans="1:4" ht="19.5" thickBot="1" x14ac:dyDescent="0.3">
      <c r="A3246" s="9"/>
      <c r="B3246" s="10"/>
      <c r="C3246" s="10"/>
      <c r="D3246" s="11"/>
    </row>
    <row r="3247" spans="1:4" ht="21.75" thickBot="1" x14ac:dyDescent="0.3">
      <c r="A3247" s="43"/>
      <c r="B3247" s="290"/>
      <c r="C3247" s="291"/>
      <c r="D3247" s="43"/>
    </row>
    <row r="3248" spans="1:4" ht="21.75" thickBot="1" x14ac:dyDescent="0.3">
      <c r="A3248" s="38"/>
      <c r="B3248" s="44"/>
      <c r="C3248" s="45"/>
      <c r="D3248" s="44"/>
    </row>
    <row r="3249" spans="1:4" ht="19.5" thickBot="1" x14ac:dyDescent="0.3">
      <c r="A3249" s="19"/>
      <c r="B3249" s="20"/>
      <c r="C3249" s="63"/>
      <c r="D3249" s="14"/>
    </row>
    <row r="3250" spans="1:4" ht="19.5" thickBot="1" x14ac:dyDescent="0.3">
      <c r="A3250" s="19"/>
      <c r="B3250" s="20"/>
      <c r="C3250" s="63"/>
      <c r="D3250" s="14"/>
    </row>
    <row r="3251" spans="1:4" ht="19.5" thickBot="1" x14ac:dyDescent="0.3">
      <c r="A3251" s="19"/>
      <c r="B3251" s="20"/>
      <c r="C3251" s="48"/>
      <c r="D3251" s="46"/>
    </row>
    <row r="3252" spans="1:4" ht="15.75" thickBot="1" x14ac:dyDescent="0.3">
      <c r="A3252" s="32"/>
      <c r="B3252" s="33"/>
      <c r="C3252" s="32"/>
      <c r="D3252" s="34"/>
    </row>
    <row r="3253" spans="1:4" ht="15.75" thickBot="1" x14ac:dyDescent="0.3">
      <c r="A3253" s="58"/>
      <c r="B3253" s="58"/>
      <c r="C3253" s="58"/>
      <c r="D3253" s="35"/>
    </row>
    <row r="3254" spans="1:4" ht="15.75" x14ac:dyDescent="0.25">
      <c r="A3254" s="285"/>
      <c r="B3254" s="59"/>
      <c r="C3254" s="59"/>
      <c r="D3254" s="60"/>
    </row>
    <row r="3255" spans="1:4" ht="16.5" thickBot="1" x14ac:dyDescent="0.3">
      <c r="A3255" s="286"/>
      <c r="B3255" s="62"/>
      <c r="C3255" s="62"/>
      <c r="D3255" s="61"/>
    </row>
    <row r="3256" spans="1:4" ht="15.75" x14ac:dyDescent="0.25">
      <c r="A3256" s="285"/>
      <c r="B3256" s="59"/>
      <c r="C3256" s="59"/>
      <c r="D3256" s="60"/>
    </row>
    <row r="3257" spans="1:4" ht="16.5" thickBot="1" x14ac:dyDescent="0.3">
      <c r="A3257" s="286"/>
      <c r="B3257" s="62"/>
      <c r="C3257" s="62"/>
      <c r="D3257" s="61"/>
    </row>
    <row r="3258" spans="1:4" ht="16.5" thickBot="1" x14ac:dyDescent="0.3">
      <c r="A3258" s="57"/>
      <c r="B3258" s="36"/>
      <c r="C3258" s="36"/>
      <c r="D3258" s="36"/>
    </row>
    <row r="3259" spans="1:4" ht="15.75" thickBot="1" x14ac:dyDescent="0.3">
      <c r="A3259" s="287"/>
      <c r="B3259" s="288"/>
      <c r="C3259" s="288"/>
      <c r="D3259" s="289"/>
    </row>
    <row r="3260" spans="1:4" ht="18.75" x14ac:dyDescent="0.25">
      <c r="A3260" s="5"/>
      <c r="B3260" s="6"/>
      <c r="C3260" s="7"/>
      <c r="D3260" s="8"/>
    </row>
    <row r="3261" spans="1:4" ht="19.5" thickBot="1" x14ac:dyDescent="0.3">
      <c r="A3261" s="9"/>
      <c r="B3261" s="10"/>
      <c r="C3261" s="10"/>
      <c r="D3261" s="11"/>
    </row>
    <row r="3262" spans="1:4" ht="21.75" thickBot="1" x14ac:dyDescent="0.3">
      <c r="A3262" s="43"/>
      <c r="B3262" s="290"/>
      <c r="C3262" s="291"/>
      <c r="D3262" s="43"/>
    </row>
    <row r="3263" spans="1:4" ht="21.75" thickBot="1" x14ac:dyDescent="0.3">
      <c r="A3263" s="38"/>
      <c r="B3263" s="44"/>
      <c r="C3263" s="45"/>
      <c r="D3263" s="44"/>
    </row>
    <row r="3264" spans="1:4" ht="19.5" thickBot="1" x14ac:dyDescent="0.3">
      <c r="A3264" s="19"/>
      <c r="B3264" s="20"/>
      <c r="C3264" s="63"/>
      <c r="D3264" s="14"/>
    </row>
    <row r="3265" spans="1:4" ht="19.5" thickBot="1" x14ac:dyDescent="0.3">
      <c r="A3265" s="19"/>
      <c r="B3265" s="20"/>
      <c r="C3265" s="48"/>
      <c r="D3265" s="46"/>
    </row>
    <row r="3266" spans="1:4" ht="15.75" thickBot="1" x14ac:dyDescent="0.3">
      <c r="A3266" s="32"/>
      <c r="B3266" s="33"/>
      <c r="C3266" s="32"/>
      <c r="D3266" s="34"/>
    </row>
    <row r="3267" spans="1:4" ht="15.75" thickBot="1" x14ac:dyDescent="0.3">
      <c r="A3267" s="58"/>
      <c r="B3267" s="58"/>
      <c r="C3267" s="58"/>
      <c r="D3267" s="35"/>
    </row>
    <row r="3268" spans="1:4" ht="15.75" x14ac:dyDescent="0.25">
      <c r="A3268" s="285"/>
      <c r="B3268" s="59"/>
      <c r="C3268" s="59"/>
      <c r="D3268" s="60"/>
    </row>
    <row r="3269" spans="1:4" ht="16.5" thickBot="1" x14ac:dyDescent="0.3">
      <c r="A3269" s="286"/>
      <c r="B3269" s="62"/>
      <c r="C3269" s="62"/>
      <c r="D3269" s="61"/>
    </row>
    <row r="3270" spans="1:4" ht="15.75" x14ac:dyDescent="0.25">
      <c r="A3270" s="285"/>
      <c r="B3270" s="59"/>
      <c r="C3270" s="59"/>
      <c r="D3270" s="60"/>
    </row>
    <row r="3271" spans="1:4" ht="16.5" thickBot="1" x14ac:dyDescent="0.3">
      <c r="A3271" s="286"/>
      <c r="B3271" s="62"/>
      <c r="C3271" s="62"/>
      <c r="D3271" s="61"/>
    </row>
    <row r="3272" spans="1:4" ht="16.5" thickBot="1" x14ac:dyDescent="0.3">
      <c r="A3272" s="57"/>
      <c r="B3272" s="36"/>
      <c r="C3272" s="36"/>
      <c r="D3272" s="36"/>
    </row>
    <row r="3273" spans="1:4" ht="15.75" thickBot="1" x14ac:dyDescent="0.3">
      <c r="A3273" s="287"/>
      <c r="B3273" s="288"/>
      <c r="C3273" s="288"/>
      <c r="D3273" s="289"/>
    </row>
    <row r="3274" spans="1:4" ht="18.75" x14ac:dyDescent="0.25">
      <c r="A3274" s="5"/>
      <c r="B3274" s="6"/>
      <c r="C3274" s="7"/>
      <c r="D3274" s="8"/>
    </row>
    <row r="3275" spans="1:4" ht="19.5" thickBot="1" x14ac:dyDescent="0.3">
      <c r="A3275" s="9"/>
      <c r="B3275" s="10"/>
      <c r="C3275" s="10"/>
      <c r="D3275" s="11"/>
    </row>
    <row r="3276" spans="1:4" ht="21.75" thickBot="1" x14ac:dyDescent="0.3">
      <c r="A3276" s="43"/>
      <c r="B3276" s="290"/>
      <c r="C3276" s="291"/>
      <c r="D3276" s="43"/>
    </row>
    <row r="3277" spans="1:4" ht="21.75" thickBot="1" x14ac:dyDescent="0.3">
      <c r="A3277" s="38"/>
      <c r="B3277" s="44"/>
      <c r="C3277" s="45"/>
      <c r="D3277" s="44"/>
    </row>
    <row r="3278" spans="1:4" ht="19.5" thickBot="1" x14ac:dyDescent="0.3">
      <c r="A3278" s="19"/>
      <c r="B3278" s="20"/>
      <c r="C3278" s="63"/>
      <c r="D3278" s="14"/>
    </row>
    <row r="3279" spans="1:4" ht="19.5" thickBot="1" x14ac:dyDescent="0.3">
      <c r="A3279" s="19"/>
      <c r="B3279" s="20"/>
      <c r="C3279" s="63"/>
      <c r="D3279" s="14"/>
    </row>
    <row r="3280" spans="1:4" ht="19.5" thickBot="1" x14ac:dyDescent="0.3">
      <c r="A3280" s="19"/>
      <c r="B3280" s="20"/>
      <c r="C3280" s="48"/>
      <c r="D3280" s="46"/>
    </row>
    <row r="3281" spans="1:4" ht="15.75" thickBot="1" x14ac:dyDescent="0.3">
      <c r="A3281" s="32"/>
      <c r="B3281" s="33"/>
      <c r="C3281" s="32"/>
      <c r="D3281" s="34"/>
    </row>
    <row r="3282" spans="1:4" ht="15.75" thickBot="1" x14ac:dyDescent="0.3">
      <c r="A3282" s="58"/>
      <c r="B3282" s="58"/>
      <c r="C3282" s="58"/>
      <c r="D3282" s="35"/>
    </row>
    <row r="3283" spans="1:4" ht="15.75" x14ac:dyDescent="0.25">
      <c r="A3283" s="285"/>
      <c r="B3283" s="59"/>
      <c r="C3283" s="59"/>
      <c r="D3283" s="60"/>
    </row>
    <row r="3284" spans="1:4" ht="16.5" thickBot="1" x14ac:dyDescent="0.3">
      <c r="A3284" s="286"/>
      <c r="B3284" s="62"/>
      <c r="C3284" s="62"/>
      <c r="D3284" s="61"/>
    </row>
    <row r="3285" spans="1:4" ht="15.75" x14ac:dyDescent="0.25">
      <c r="A3285" s="285"/>
      <c r="B3285" s="59"/>
      <c r="C3285" s="59"/>
      <c r="D3285" s="60"/>
    </row>
    <row r="3286" spans="1:4" ht="16.5" thickBot="1" x14ac:dyDescent="0.3">
      <c r="A3286" s="286"/>
      <c r="B3286" s="62"/>
      <c r="C3286" s="62"/>
      <c r="D3286" s="61"/>
    </row>
    <row r="3287" spans="1:4" ht="16.5" thickBot="1" x14ac:dyDescent="0.3">
      <c r="A3287" s="57"/>
      <c r="B3287" s="36"/>
      <c r="C3287" s="36"/>
      <c r="D3287" s="36"/>
    </row>
    <row r="3288" spans="1:4" ht="15.75" thickBot="1" x14ac:dyDescent="0.3">
      <c r="A3288" s="287"/>
      <c r="B3288" s="288"/>
      <c r="C3288" s="288"/>
      <c r="D3288" s="289"/>
    </row>
    <row r="3289" spans="1:4" ht="18.75" x14ac:dyDescent="0.25">
      <c r="A3289" s="5"/>
      <c r="B3289" s="6"/>
      <c r="C3289" s="7"/>
      <c r="D3289" s="8"/>
    </row>
    <row r="3290" spans="1:4" ht="19.5" thickBot="1" x14ac:dyDescent="0.3">
      <c r="A3290" s="9"/>
      <c r="B3290" s="10"/>
      <c r="C3290" s="10"/>
      <c r="D3290" s="11"/>
    </row>
    <row r="3291" spans="1:4" ht="21.75" thickBot="1" x14ac:dyDescent="0.3">
      <c r="A3291" s="43"/>
      <c r="B3291" s="290"/>
      <c r="C3291" s="291"/>
      <c r="D3291" s="43"/>
    </row>
    <row r="3292" spans="1:4" ht="21.75" thickBot="1" x14ac:dyDescent="0.3">
      <c r="A3292" s="38"/>
      <c r="B3292" s="44"/>
      <c r="C3292" s="45"/>
      <c r="D3292" s="44"/>
    </row>
    <row r="3293" spans="1:4" ht="19.5" thickBot="1" x14ac:dyDescent="0.3">
      <c r="A3293" s="19"/>
      <c r="B3293" s="20"/>
      <c r="C3293" s="63"/>
      <c r="D3293" s="14"/>
    </row>
    <row r="3294" spans="1:4" ht="19.5" thickBot="1" x14ac:dyDescent="0.3">
      <c r="A3294" s="19"/>
      <c r="B3294" s="20"/>
      <c r="C3294" s="48"/>
      <c r="D3294" s="46"/>
    </row>
    <row r="3295" spans="1:4" ht="15.75" thickBot="1" x14ac:dyDescent="0.3">
      <c r="A3295" s="32"/>
      <c r="B3295" s="33"/>
      <c r="C3295" s="32"/>
      <c r="D3295" s="34"/>
    </row>
    <row r="3296" spans="1:4" ht="15.75" thickBot="1" x14ac:dyDescent="0.3">
      <c r="A3296" s="58"/>
      <c r="B3296" s="58"/>
      <c r="C3296" s="58"/>
      <c r="D3296" s="35"/>
    </row>
    <row r="3297" spans="1:4" ht="15.75" x14ac:dyDescent="0.25">
      <c r="A3297" s="285"/>
      <c r="B3297" s="59"/>
      <c r="C3297" s="59"/>
      <c r="D3297" s="60"/>
    </row>
    <row r="3298" spans="1:4" ht="16.5" thickBot="1" x14ac:dyDescent="0.3">
      <c r="A3298" s="286"/>
      <c r="B3298" s="62"/>
      <c r="C3298" s="62"/>
      <c r="D3298" s="61"/>
    </row>
    <row r="3299" spans="1:4" ht="15.75" x14ac:dyDescent="0.25">
      <c r="A3299" s="285"/>
      <c r="B3299" s="59"/>
      <c r="C3299" s="59"/>
      <c r="D3299" s="60"/>
    </row>
    <row r="3300" spans="1:4" ht="16.5" thickBot="1" x14ac:dyDescent="0.3">
      <c r="A3300" s="286"/>
      <c r="B3300" s="62"/>
      <c r="C3300" s="62"/>
      <c r="D3300" s="61"/>
    </row>
    <row r="3301" spans="1:4" ht="16.5" thickBot="1" x14ac:dyDescent="0.3">
      <c r="A3301" s="57"/>
      <c r="B3301" s="36"/>
      <c r="C3301" s="36"/>
      <c r="D3301" s="36"/>
    </row>
    <row r="3302" spans="1:4" ht="15.75" thickBot="1" x14ac:dyDescent="0.3">
      <c r="A3302" s="287"/>
      <c r="B3302" s="288"/>
      <c r="C3302" s="288"/>
      <c r="D3302" s="289"/>
    </row>
    <row r="3303" spans="1:4" ht="18.75" x14ac:dyDescent="0.25">
      <c r="A3303" s="5"/>
      <c r="B3303" s="6"/>
      <c r="C3303" s="7"/>
      <c r="D3303" s="8"/>
    </row>
    <row r="3304" spans="1:4" ht="19.5" thickBot="1" x14ac:dyDescent="0.3">
      <c r="A3304" s="9"/>
      <c r="B3304" s="10"/>
      <c r="C3304" s="10"/>
      <c r="D3304" s="11"/>
    </row>
    <row r="3305" spans="1:4" ht="21.75" thickBot="1" x14ac:dyDescent="0.3">
      <c r="A3305" s="43"/>
      <c r="B3305" s="290"/>
      <c r="C3305" s="291"/>
      <c r="D3305" s="43"/>
    </row>
    <row r="3306" spans="1:4" ht="21.75" thickBot="1" x14ac:dyDescent="0.3">
      <c r="A3306" s="38"/>
      <c r="B3306" s="44"/>
      <c r="C3306" s="45"/>
      <c r="D3306" s="44"/>
    </row>
    <row r="3307" spans="1:4" ht="19.5" thickBot="1" x14ac:dyDescent="0.3">
      <c r="A3307" s="19"/>
      <c r="B3307" s="20"/>
      <c r="C3307" s="63"/>
      <c r="D3307" s="14"/>
    </row>
    <row r="3308" spans="1:4" ht="19.5" thickBot="1" x14ac:dyDescent="0.3">
      <c r="A3308" s="19"/>
      <c r="B3308" s="20"/>
      <c r="C3308" s="63"/>
      <c r="D3308" s="14"/>
    </row>
    <row r="3309" spans="1:4" ht="19.5" thickBot="1" x14ac:dyDescent="0.3">
      <c r="A3309" s="19"/>
      <c r="B3309" s="20"/>
      <c r="C3309" s="48"/>
      <c r="D3309" s="46"/>
    </row>
    <row r="3310" spans="1:4" ht="15.75" thickBot="1" x14ac:dyDescent="0.3">
      <c r="A3310" s="32"/>
      <c r="B3310" s="33"/>
      <c r="C3310" s="32"/>
      <c r="D3310" s="34"/>
    </row>
    <row r="3311" spans="1:4" ht="15.75" thickBot="1" x14ac:dyDescent="0.3">
      <c r="A3311" s="58"/>
      <c r="B3311" s="58"/>
      <c r="C3311" s="58"/>
      <c r="D3311" s="35"/>
    </row>
    <row r="3312" spans="1:4" ht="15.75" x14ac:dyDescent="0.25">
      <c r="A3312" s="285"/>
      <c r="B3312" s="59"/>
      <c r="C3312" s="59"/>
      <c r="D3312" s="60"/>
    </row>
    <row r="3313" spans="1:4" ht="16.5" thickBot="1" x14ac:dyDescent="0.3">
      <c r="A3313" s="286"/>
      <c r="B3313" s="62"/>
      <c r="C3313" s="62"/>
      <c r="D3313" s="61"/>
    </row>
    <row r="3314" spans="1:4" ht="15.75" x14ac:dyDescent="0.25">
      <c r="A3314" s="285"/>
      <c r="B3314" s="59"/>
      <c r="C3314" s="59"/>
      <c r="D3314" s="60"/>
    </row>
    <row r="3315" spans="1:4" ht="16.5" thickBot="1" x14ac:dyDescent="0.3">
      <c r="A3315" s="286"/>
      <c r="B3315" s="62"/>
      <c r="C3315" s="62"/>
      <c r="D3315" s="61"/>
    </row>
    <row r="3316" spans="1:4" ht="16.5" thickBot="1" x14ac:dyDescent="0.3">
      <c r="A3316" s="57"/>
      <c r="B3316" s="36"/>
      <c r="C3316" s="36"/>
      <c r="D3316" s="36"/>
    </row>
    <row r="3317" spans="1:4" ht="15.75" thickBot="1" x14ac:dyDescent="0.3">
      <c r="A3317" s="287"/>
      <c r="B3317" s="288"/>
      <c r="C3317" s="288"/>
      <c r="D3317" s="289"/>
    </row>
    <row r="3318" spans="1:4" ht="18.75" x14ac:dyDescent="0.25">
      <c r="A3318" s="5"/>
      <c r="B3318" s="6"/>
      <c r="C3318" s="7"/>
      <c r="D3318" s="8"/>
    </row>
    <row r="3319" spans="1:4" ht="19.5" thickBot="1" x14ac:dyDescent="0.3">
      <c r="A3319" s="9"/>
      <c r="B3319" s="10"/>
      <c r="C3319" s="10"/>
      <c r="D3319" s="11"/>
    </row>
    <row r="3320" spans="1:4" ht="21.75" thickBot="1" x14ac:dyDescent="0.3">
      <c r="A3320" s="43"/>
      <c r="B3320" s="290"/>
      <c r="C3320" s="291"/>
      <c r="D3320" s="43"/>
    </row>
    <row r="3321" spans="1:4" ht="21.75" thickBot="1" x14ac:dyDescent="0.3">
      <c r="A3321" s="38"/>
      <c r="B3321" s="44"/>
      <c r="C3321" s="45"/>
      <c r="D3321" s="44"/>
    </row>
    <row r="3322" spans="1:4" ht="19.5" thickBot="1" x14ac:dyDescent="0.3">
      <c r="A3322" s="19"/>
      <c r="B3322" s="20"/>
      <c r="C3322" s="63"/>
      <c r="D3322" s="14"/>
    </row>
    <row r="3323" spans="1:4" ht="19.5" thickBot="1" x14ac:dyDescent="0.3">
      <c r="A3323" s="19"/>
      <c r="B3323" s="20"/>
      <c r="C3323" s="48"/>
      <c r="D3323" s="46"/>
    </row>
    <row r="3324" spans="1:4" ht="15.75" thickBot="1" x14ac:dyDescent="0.3">
      <c r="A3324" s="32"/>
      <c r="B3324" s="33"/>
      <c r="C3324" s="32"/>
      <c r="D3324" s="34"/>
    </row>
    <row r="3325" spans="1:4" ht="15.75" thickBot="1" x14ac:dyDescent="0.3">
      <c r="A3325" s="58"/>
      <c r="B3325" s="58"/>
      <c r="C3325" s="58"/>
      <c r="D3325" s="35"/>
    </row>
    <row r="3326" spans="1:4" ht="15.75" x14ac:dyDescent="0.25">
      <c r="A3326" s="285"/>
      <c r="B3326" s="59"/>
      <c r="C3326" s="59"/>
      <c r="D3326" s="60"/>
    </row>
    <row r="3327" spans="1:4" ht="16.5" thickBot="1" x14ac:dyDescent="0.3">
      <c r="A3327" s="286"/>
      <c r="B3327" s="62"/>
      <c r="C3327" s="62"/>
      <c r="D3327" s="61"/>
    </row>
    <row r="3328" spans="1:4" ht="15.75" x14ac:dyDescent="0.25">
      <c r="A3328" s="285"/>
      <c r="B3328" s="59"/>
      <c r="C3328" s="59"/>
      <c r="D3328" s="60"/>
    </row>
    <row r="3329" spans="1:4" ht="16.5" thickBot="1" x14ac:dyDescent="0.3">
      <c r="A3329" s="286"/>
      <c r="B3329" s="62"/>
      <c r="C3329" s="62"/>
      <c r="D3329" s="61"/>
    </row>
    <row r="3330" spans="1:4" ht="16.5" thickBot="1" x14ac:dyDescent="0.3">
      <c r="A3330" s="57"/>
      <c r="B3330" s="36"/>
      <c r="C3330" s="36"/>
      <c r="D3330" s="36"/>
    </row>
    <row r="3331" spans="1:4" ht="15.75" thickBot="1" x14ac:dyDescent="0.3">
      <c r="A3331" s="287"/>
      <c r="B3331" s="288"/>
      <c r="C3331" s="288"/>
      <c r="D3331" s="289"/>
    </row>
    <row r="3332" spans="1:4" ht="18.75" x14ac:dyDescent="0.25">
      <c r="A3332" s="5"/>
      <c r="B3332" s="6"/>
      <c r="C3332" s="7"/>
      <c r="D3332" s="8"/>
    </row>
    <row r="3333" spans="1:4" ht="19.5" thickBot="1" x14ac:dyDescent="0.3">
      <c r="A3333" s="9"/>
      <c r="B3333" s="10"/>
      <c r="C3333" s="10"/>
      <c r="D3333" s="11"/>
    </row>
    <row r="3334" spans="1:4" ht="21.75" thickBot="1" x14ac:dyDescent="0.3">
      <c r="A3334" s="43"/>
      <c r="B3334" s="290"/>
      <c r="C3334" s="291"/>
      <c r="D3334" s="43"/>
    </row>
    <row r="3335" spans="1:4" ht="21.75" thickBot="1" x14ac:dyDescent="0.3">
      <c r="A3335" s="38"/>
      <c r="B3335" s="44"/>
      <c r="C3335" s="45"/>
      <c r="D3335" s="44"/>
    </row>
    <row r="3336" spans="1:4" ht="19.5" thickBot="1" x14ac:dyDescent="0.3">
      <c r="A3336" s="19"/>
      <c r="B3336" s="20"/>
      <c r="C3336" s="63"/>
      <c r="D3336" s="14"/>
    </row>
    <row r="3337" spans="1:4" ht="19.5" thickBot="1" x14ac:dyDescent="0.3">
      <c r="A3337" s="19"/>
      <c r="B3337" s="20"/>
      <c r="C3337" s="63"/>
      <c r="D3337" s="14"/>
    </row>
    <row r="3338" spans="1:4" ht="19.5" thickBot="1" x14ac:dyDescent="0.3">
      <c r="A3338" s="19"/>
      <c r="B3338" s="20"/>
      <c r="C3338" s="48"/>
      <c r="D3338" s="46"/>
    </row>
    <row r="3339" spans="1:4" ht="15.75" thickBot="1" x14ac:dyDescent="0.3">
      <c r="A3339" s="32"/>
      <c r="B3339" s="33"/>
      <c r="C3339" s="32"/>
      <c r="D3339" s="34"/>
    </row>
    <row r="3340" spans="1:4" ht="15.75" thickBot="1" x14ac:dyDescent="0.3">
      <c r="A3340" s="58"/>
      <c r="B3340" s="58"/>
      <c r="C3340" s="58"/>
      <c r="D3340" s="35"/>
    </row>
    <row r="3341" spans="1:4" ht="15.75" x14ac:dyDescent="0.25">
      <c r="A3341" s="285"/>
      <c r="B3341" s="59"/>
      <c r="C3341" s="59"/>
      <c r="D3341" s="60"/>
    </row>
    <row r="3342" spans="1:4" ht="16.5" thickBot="1" x14ac:dyDescent="0.3">
      <c r="A3342" s="286"/>
      <c r="B3342" s="62"/>
      <c r="C3342" s="62"/>
      <c r="D3342" s="61"/>
    </row>
    <row r="3343" spans="1:4" ht="15.75" x14ac:dyDescent="0.25">
      <c r="A3343" s="285"/>
      <c r="B3343" s="59"/>
      <c r="C3343" s="59"/>
      <c r="D3343" s="60"/>
    </row>
    <row r="3344" spans="1:4" ht="16.5" thickBot="1" x14ac:dyDescent="0.3">
      <c r="A3344" s="286"/>
      <c r="B3344" s="62"/>
      <c r="C3344" s="62"/>
      <c r="D3344" s="61"/>
    </row>
    <row r="3345" spans="1:4" ht="16.5" thickBot="1" x14ac:dyDescent="0.3">
      <c r="A3345" s="57"/>
      <c r="B3345" s="36"/>
      <c r="C3345" s="36"/>
      <c r="D3345" s="36"/>
    </row>
    <row r="3346" spans="1:4" ht="15.75" thickBot="1" x14ac:dyDescent="0.3">
      <c r="A3346" s="287"/>
      <c r="B3346" s="288"/>
      <c r="C3346" s="288"/>
      <c r="D3346" s="289"/>
    </row>
    <row r="3347" spans="1:4" ht="18.75" x14ac:dyDescent="0.25">
      <c r="A3347" s="5"/>
      <c r="B3347" s="6"/>
      <c r="C3347" s="7"/>
      <c r="D3347" s="8"/>
    </row>
    <row r="3348" spans="1:4" ht="19.5" thickBot="1" x14ac:dyDescent="0.3">
      <c r="A3348" s="9"/>
      <c r="B3348" s="10"/>
      <c r="C3348" s="10"/>
      <c r="D3348" s="11"/>
    </row>
    <row r="3349" spans="1:4" ht="21.75" thickBot="1" x14ac:dyDescent="0.3">
      <c r="A3349" s="43"/>
      <c r="B3349" s="290"/>
      <c r="C3349" s="291"/>
      <c r="D3349" s="43"/>
    </row>
    <row r="3350" spans="1:4" ht="21.75" thickBot="1" x14ac:dyDescent="0.3">
      <c r="A3350" s="38"/>
      <c r="B3350" s="44"/>
      <c r="C3350" s="45"/>
      <c r="D3350" s="44"/>
    </row>
    <row r="3351" spans="1:4" ht="19.5" thickBot="1" x14ac:dyDescent="0.3">
      <c r="A3351" s="19"/>
      <c r="B3351" s="20"/>
      <c r="C3351" s="63"/>
      <c r="D3351" s="14"/>
    </row>
    <row r="3352" spans="1:4" ht="19.5" thickBot="1" x14ac:dyDescent="0.3">
      <c r="A3352" s="19"/>
      <c r="B3352" s="20"/>
      <c r="C3352" s="48"/>
      <c r="D3352" s="46"/>
    </row>
    <row r="3353" spans="1:4" ht="15.75" thickBot="1" x14ac:dyDescent="0.3">
      <c r="A3353" s="32"/>
      <c r="B3353" s="33"/>
      <c r="C3353" s="32"/>
      <c r="D3353" s="34"/>
    </row>
    <row r="3354" spans="1:4" ht="15.75" thickBot="1" x14ac:dyDescent="0.3">
      <c r="A3354" s="58"/>
      <c r="B3354" s="58"/>
      <c r="C3354" s="58"/>
      <c r="D3354" s="35"/>
    </row>
    <row r="3355" spans="1:4" ht="15.75" x14ac:dyDescent="0.25">
      <c r="A3355" s="285"/>
      <c r="B3355" s="59"/>
      <c r="C3355" s="59"/>
      <c r="D3355" s="60"/>
    </row>
    <row r="3356" spans="1:4" ht="16.5" thickBot="1" x14ac:dyDescent="0.3">
      <c r="A3356" s="286"/>
      <c r="B3356" s="62"/>
      <c r="C3356" s="62"/>
      <c r="D3356" s="61"/>
    </row>
    <row r="3357" spans="1:4" ht="15.75" x14ac:dyDescent="0.25">
      <c r="A3357" s="285"/>
      <c r="B3357" s="59"/>
      <c r="C3357" s="59"/>
      <c r="D3357" s="60"/>
    </row>
    <row r="3358" spans="1:4" ht="16.5" thickBot="1" x14ac:dyDescent="0.3">
      <c r="A3358" s="286"/>
      <c r="B3358" s="62"/>
      <c r="C3358" s="62"/>
      <c r="D3358" s="61"/>
    </row>
    <row r="3359" spans="1:4" ht="16.5" thickBot="1" x14ac:dyDescent="0.3">
      <c r="A3359" s="57"/>
      <c r="B3359" s="36"/>
      <c r="C3359" s="36"/>
      <c r="D3359" s="36"/>
    </row>
    <row r="3360" spans="1:4" ht="15.75" thickBot="1" x14ac:dyDescent="0.3">
      <c r="A3360" s="287"/>
      <c r="B3360" s="288"/>
      <c r="C3360" s="288"/>
      <c r="D3360" s="289"/>
    </row>
    <row r="3361" spans="1:4" ht="18.75" x14ac:dyDescent="0.25">
      <c r="A3361" s="5"/>
      <c r="B3361" s="6"/>
      <c r="C3361" s="7"/>
      <c r="D3361" s="8"/>
    </row>
    <row r="3362" spans="1:4" ht="19.5" thickBot="1" x14ac:dyDescent="0.3">
      <c r="A3362" s="9"/>
      <c r="B3362" s="10"/>
      <c r="C3362" s="10"/>
      <c r="D3362" s="11"/>
    </row>
    <row r="3363" spans="1:4" ht="21.75" thickBot="1" x14ac:dyDescent="0.3">
      <c r="A3363" s="43"/>
      <c r="B3363" s="290"/>
      <c r="C3363" s="291"/>
      <c r="D3363" s="43"/>
    </row>
    <row r="3364" spans="1:4" ht="21.75" thickBot="1" x14ac:dyDescent="0.3">
      <c r="A3364" s="38"/>
      <c r="B3364" s="44"/>
      <c r="C3364" s="45"/>
      <c r="D3364" s="44"/>
    </row>
    <row r="3365" spans="1:4" ht="19.5" thickBot="1" x14ac:dyDescent="0.3">
      <c r="A3365" s="19"/>
      <c r="B3365" s="20"/>
      <c r="C3365" s="63"/>
      <c r="D3365" s="14"/>
    </row>
    <row r="3366" spans="1:4" ht="19.5" thickBot="1" x14ac:dyDescent="0.3">
      <c r="A3366" s="19"/>
      <c r="B3366" s="20"/>
      <c r="C3366" s="63"/>
      <c r="D3366" s="14"/>
    </row>
    <row r="3367" spans="1:4" ht="19.5" thickBot="1" x14ac:dyDescent="0.3">
      <c r="A3367" s="19"/>
      <c r="B3367" s="20"/>
      <c r="C3367" s="48"/>
      <c r="D3367" s="46"/>
    </row>
    <row r="3368" spans="1:4" ht="15.75" thickBot="1" x14ac:dyDescent="0.3">
      <c r="A3368" s="32"/>
      <c r="B3368" s="33"/>
      <c r="C3368" s="32"/>
      <c r="D3368" s="34"/>
    </row>
    <row r="3369" spans="1:4" ht="15.75" thickBot="1" x14ac:dyDescent="0.3">
      <c r="A3369" s="58"/>
      <c r="B3369" s="58"/>
      <c r="C3369" s="58"/>
      <c r="D3369" s="35"/>
    </row>
    <row r="3370" spans="1:4" ht="15.75" x14ac:dyDescent="0.25">
      <c r="A3370" s="285"/>
      <c r="B3370" s="59"/>
      <c r="C3370" s="59"/>
      <c r="D3370" s="60"/>
    </row>
    <row r="3371" spans="1:4" ht="16.5" thickBot="1" x14ac:dyDescent="0.3">
      <c r="A3371" s="286"/>
      <c r="B3371" s="62"/>
      <c r="C3371" s="62"/>
      <c r="D3371" s="61"/>
    </row>
    <row r="3372" spans="1:4" ht="15.75" x14ac:dyDescent="0.25">
      <c r="A3372" s="285"/>
      <c r="B3372" s="59"/>
      <c r="C3372" s="59"/>
      <c r="D3372" s="60"/>
    </row>
    <row r="3373" spans="1:4" ht="16.5" thickBot="1" x14ac:dyDescent="0.3">
      <c r="A3373" s="286"/>
      <c r="B3373" s="62"/>
      <c r="C3373" s="62"/>
      <c r="D3373" s="61"/>
    </row>
    <row r="3374" spans="1:4" ht="16.5" thickBot="1" x14ac:dyDescent="0.3">
      <c r="A3374" s="57"/>
      <c r="B3374" s="36"/>
      <c r="C3374" s="36"/>
      <c r="D3374" s="36"/>
    </row>
    <row r="3375" spans="1:4" ht="15.75" thickBot="1" x14ac:dyDescent="0.3">
      <c r="A3375" s="287"/>
      <c r="B3375" s="288"/>
      <c r="C3375" s="288"/>
      <c r="D3375" s="289"/>
    </row>
    <row r="3376" spans="1:4" ht="18.75" x14ac:dyDescent="0.25">
      <c r="A3376" s="5"/>
      <c r="B3376" s="6"/>
      <c r="C3376" s="7"/>
      <c r="D3376" s="8"/>
    </row>
    <row r="3377" spans="1:4" ht="19.5" thickBot="1" x14ac:dyDescent="0.3">
      <c r="A3377" s="9"/>
      <c r="B3377" s="10"/>
      <c r="C3377" s="10"/>
      <c r="D3377" s="11"/>
    </row>
    <row r="3378" spans="1:4" ht="21.75" thickBot="1" x14ac:dyDescent="0.3">
      <c r="A3378" s="43"/>
      <c r="B3378" s="290"/>
      <c r="C3378" s="291"/>
      <c r="D3378" s="43"/>
    </row>
    <row r="3379" spans="1:4" ht="21.75" thickBot="1" x14ac:dyDescent="0.3">
      <c r="A3379" s="38"/>
      <c r="B3379" s="44"/>
      <c r="C3379" s="45"/>
      <c r="D3379" s="44"/>
    </row>
    <row r="3380" spans="1:4" ht="19.5" thickBot="1" x14ac:dyDescent="0.3">
      <c r="A3380" s="19"/>
      <c r="B3380" s="20"/>
      <c r="C3380" s="63"/>
      <c r="D3380" s="14"/>
    </row>
    <row r="3381" spans="1:4" ht="19.5" thickBot="1" x14ac:dyDescent="0.3">
      <c r="A3381" s="19"/>
      <c r="B3381" s="20"/>
      <c r="C3381" s="48"/>
      <c r="D3381" s="46"/>
    </row>
    <row r="3382" spans="1:4" ht="15.75" thickBot="1" x14ac:dyDescent="0.3">
      <c r="A3382" s="32"/>
      <c r="B3382" s="33"/>
      <c r="C3382" s="32"/>
      <c r="D3382" s="34"/>
    </row>
    <row r="3383" spans="1:4" ht="15.75" thickBot="1" x14ac:dyDescent="0.3">
      <c r="A3383" s="58"/>
      <c r="B3383" s="58"/>
      <c r="C3383" s="58"/>
      <c r="D3383" s="35"/>
    </row>
    <row r="3384" spans="1:4" ht="15.75" x14ac:dyDescent="0.25">
      <c r="A3384" s="285"/>
      <c r="B3384" s="59"/>
      <c r="C3384" s="59"/>
      <c r="D3384" s="60"/>
    </row>
    <row r="3385" spans="1:4" ht="16.5" thickBot="1" x14ac:dyDescent="0.3">
      <c r="A3385" s="286"/>
      <c r="B3385" s="62"/>
      <c r="C3385" s="62"/>
      <c r="D3385" s="61"/>
    </row>
    <row r="3386" spans="1:4" ht="15.75" x14ac:dyDescent="0.25">
      <c r="A3386" s="285"/>
      <c r="B3386" s="59"/>
      <c r="C3386" s="59"/>
      <c r="D3386" s="60"/>
    </row>
    <row r="3387" spans="1:4" ht="16.5" thickBot="1" x14ac:dyDescent="0.3">
      <c r="A3387" s="286"/>
      <c r="B3387" s="62"/>
      <c r="C3387" s="62"/>
      <c r="D3387" s="61"/>
    </row>
    <row r="3388" spans="1:4" ht="16.5" thickBot="1" x14ac:dyDescent="0.3">
      <c r="A3388" s="57"/>
      <c r="B3388" s="36"/>
      <c r="C3388" s="36"/>
      <c r="D3388" s="36"/>
    </row>
    <row r="3389" spans="1:4" ht="15.75" thickBot="1" x14ac:dyDescent="0.3">
      <c r="A3389" s="287"/>
      <c r="B3389" s="288"/>
      <c r="C3389" s="288"/>
      <c r="D3389" s="289"/>
    </row>
    <row r="3390" spans="1:4" ht="18.75" x14ac:dyDescent="0.25">
      <c r="A3390" s="5"/>
      <c r="B3390" s="6"/>
      <c r="C3390" s="7"/>
      <c r="D3390" s="8"/>
    </row>
    <row r="3391" spans="1:4" ht="19.5" thickBot="1" x14ac:dyDescent="0.3">
      <c r="A3391" s="9"/>
      <c r="B3391" s="10"/>
      <c r="C3391" s="10"/>
      <c r="D3391" s="11"/>
    </row>
    <row r="3392" spans="1:4" ht="21.75" thickBot="1" x14ac:dyDescent="0.3">
      <c r="A3392" s="43"/>
      <c r="B3392" s="290"/>
      <c r="C3392" s="291"/>
      <c r="D3392" s="43"/>
    </row>
    <row r="3393" spans="1:4" ht="21.75" thickBot="1" x14ac:dyDescent="0.3">
      <c r="A3393" s="38"/>
      <c r="B3393" s="44"/>
      <c r="C3393" s="45"/>
      <c r="D3393" s="44"/>
    </row>
    <row r="3394" spans="1:4" ht="19.5" thickBot="1" x14ac:dyDescent="0.3">
      <c r="A3394" s="19"/>
      <c r="B3394" s="20"/>
      <c r="C3394" s="63"/>
      <c r="D3394" s="14"/>
    </row>
    <row r="3395" spans="1:4" ht="19.5" thickBot="1" x14ac:dyDescent="0.3">
      <c r="A3395" s="19"/>
      <c r="B3395" s="20"/>
      <c r="C3395" s="63"/>
      <c r="D3395" s="14"/>
    </row>
    <row r="3396" spans="1:4" ht="19.5" thickBot="1" x14ac:dyDescent="0.3">
      <c r="A3396" s="19"/>
      <c r="B3396" s="20"/>
      <c r="C3396" s="48"/>
      <c r="D3396" s="46"/>
    </row>
    <row r="3397" spans="1:4" ht="15.75" thickBot="1" x14ac:dyDescent="0.3">
      <c r="A3397" s="32"/>
      <c r="B3397" s="33"/>
      <c r="C3397" s="32"/>
      <c r="D3397" s="34"/>
    </row>
    <row r="3398" spans="1:4" ht="15.75" thickBot="1" x14ac:dyDescent="0.3">
      <c r="A3398" s="58"/>
      <c r="B3398" s="58"/>
      <c r="C3398" s="58"/>
      <c r="D3398" s="35"/>
    </row>
    <row r="3399" spans="1:4" ht="15.75" x14ac:dyDescent="0.25">
      <c r="A3399" s="285"/>
      <c r="B3399" s="59"/>
      <c r="C3399" s="59"/>
      <c r="D3399" s="60"/>
    </row>
    <row r="3400" spans="1:4" ht="16.5" thickBot="1" x14ac:dyDescent="0.3">
      <c r="A3400" s="286"/>
      <c r="B3400" s="62"/>
      <c r="C3400" s="62"/>
      <c r="D3400" s="61"/>
    </row>
    <row r="3401" spans="1:4" ht="15.75" x14ac:dyDescent="0.25">
      <c r="A3401" s="285"/>
      <c r="B3401" s="59"/>
      <c r="C3401" s="59"/>
      <c r="D3401" s="60"/>
    </row>
    <row r="3402" spans="1:4" ht="16.5" thickBot="1" x14ac:dyDescent="0.3">
      <c r="A3402" s="286"/>
      <c r="B3402" s="62"/>
      <c r="C3402" s="62"/>
      <c r="D3402" s="61"/>
    </row>
    <row r="3403" spans="1:4" ht="16.5" thickBot="1" x14ac:dyDescent="0.3">
      <c r="A3403" s="57"/>
      <c r="B3403" s="36"/>
      <c r="C3403" s="36"/>
      <c r="D3403" s="36"/>
    </row>
    <row r="3404" spans="1:4" ht="15.75" thickBot="1" x14ac:dyDescent="0.3">
      <c r="A3404" s="287"/>
      <c r="B3404" s="288"/>
      <c r="C3404" s="288"/>
      <c r="D3404" s="289"/>
    </row>
    <row r="3405" spans="1:4" ht="18.75" x14ac:dyDescent="0.25">
      <c r="A3405" s="5"/>
      <c r="B3405" s="6"/>
      <c r="C3405" s="7"/>
      <c r="D3405" s="8"/>
    </row>
    <row r="3406" spans="1:4" ht="19.5" thickBot="1" x14ac:dyDescent="0.3">
      <c r="A3406" s="9"/>
      <c r="B3406" s="10"/>
      <c r="C3406" s="10"/>
      <c r="D3406" s="11"/>
    </row>
    <row r="3407" spans="1:4" ht="21.75" thickBot="1" x14ac:dyDescent="0.3">
      <c r="A3407" s="43"/>
      <c r="B3407" s="290"/>
      <c r="C3407" s="291"/>
      <c r="D3407" s="43"/>
    </row>
    <row r="3408" spans="1:4" ht="21.75" thickBot="1" x14ac:dyDescent="0.3">
      <c r="A3408" s="38"/>
      <c r="B3408" s="44"/>
      <c r="C3408" s="45"/>
      <c r="D3408" s="44"/>
    </row>
    <row r="3409" spans="1:4" ht="19.5" thickBot="1" x14ac:dyDescent="0.3">
      <c r="A3409" s="19"/>
      <c r="B3409" s="20"/>
      <c r="C3409" s="63"/>
      <c r="D3409" s="14"/>
    </row>
    <row r="3410" spans="1:4" ht="19.5" thickBot="1" x14ac:dyDescent="0.3">
      <c r="A3410" s="19"/>
      <c r="B3410" s="20"/>
      <c r="C3410" s="48"/>
      <c r="D3410" s="46"/>
    </row>
    <row r="3411" spans="1:4" ht="15.75" thickBot="1" x14ac:dyDescent="0.3">
      <c r="A3411" s="32"/>
      <c r="B3411" s="33"/>
      <c r="C3411" s="32"/>
      <c r="D3411" s="34"/>
    </row>
    <row r="3412" spans="1:4" ht="15.75" thickBot="1" x14ac:dyDescent="0.3">
      <c r="A3412" s="58"/>
      <c r="B3412" s="58"/>
      <c r="C3412" s="58"/>
      <c r="D3412" s="35"/>
    </row>
    <row r="3413" spans="1:4" ht="15.75" x14ac:dyDescent="0.25">
      <c r="A3413" s="285"/>
      <c r="B3413" s="59"/>
      <c r="C3413" s="59"/>
      <c r="D3413" s="60"/>
    </row>
    <row r="3414" spans="1:4" ht="16.5" thickBot="1" x14ac:dyDescent="0.3">
      <c r="A3414" s="286"/>
      <c r="B3414" s="62"/>
      <c r="C3414" s="62"/>
      <c r="D3414" s="61"/>
    </row>
    <row r="3415" spans="1:4" ht="15.75" x14ac:dyDescent="0.25">
      <c r="A3415" s="285"/>
      <c r="B3415" s="59"/>
      <c r="C3415" s="59"/>
      <c r="D3415" s="60"/>
    </row>
    <row r="3416" spans="1:4" ht="16.5" thickBot="1" x14ac:dyDescent="0.3">
      <c r="A3416" s="286"/>
      <c r="B3416" s="62"/>
      <c r="C3416" s="62"/>
      <c r="D3416" s="61"/>
    </row>
    <row r="3417" spans="1:4" ht="16.5" thickBot="1" x14ac:dyDescent="0.3">
      <c r="A3417" s="57"/>
      <c r="B3417" s="36"/>
      <c r="C3417" s="36"/>
      <c r="D3417" s="36"/>
    </row>
    <row r="3418" spans="1:4" ht="15.75" thickBot="1" x14ac:dyDescent="0.3">
      <c r="A3418" s="287"/>
      <c r="B3418" s="288"/>
      <c r="C3418" s="288"/>
      <c r="D3418" s="289"/>
    </row>
    <row r="3419" spans="1:4" ht="18.75" x14ac:dyDescent="0.25">
      <c r="A3419" s="5"/>
      <c r="B3419" s="6"/>
      <c r="C3419" s="7"/>
      <c r="D3419" s="8"/>
    </row>
    <row r="3420" spans="1:4" ht="19.5" thickBot="1" x14ac:dyDescent="0.3">
      <c r="A3420" s="9"/>
      <c r="B3420" s="10"/>
      <c r="C3420" s="10"/>
      <c r="D3420" s="11"/>
    </row>
    <row r="3421" spans="1:4" ht="21.75" thickBot="1" x14ac:dyDescent="0.3">
      <c r="A3421" s="43"/>
      <c r="B3421" s="290"/>
      <c r="C3421" s="291"/>
      <c r="D3421" s="43"/>
    </row>
    <row r="3422" spans="1:4" ht="21.75" thickBot="1" x14ac:dyDescent="0.3">
      <c r="A3422" s="38"/>
      <c r="B3422" s="44"/>
      <c r="C3422" s="45"/>
      <c r="D3422" s="44"/>
    </row>
    <row r="3423" spans="1:4" ht="19.5" thickBot="1" x14ac:dyDescent="0.3">
      <c r="A3423" s="19"/>
      <c r="B3423" s="20"/>
      <c r="C3423" s="63"/>
      <c r="D3423" s="14"/>
    </row>
    <row r="3424" spans="1:4" ht="19.5" thickBot="1" x14ac:dyDescent="0.3">
      <c r="A3424" s="19"/>
      <c r="B3424" s="20"/>
      <c r="C3424" s="63"/>
      <c r="D3424" s="14"/>
    </row>
    <row r="3425" spans="1:4" ht="19.5" thickBot="1" x14ac:dyDescent="0.3">
      <c r="A3425" s="19"/>
      <c r="B3425" s="20"/>
      <c r="C3425" s="48"/>
      <c r="D3425" s="46"/>
    </row>
    <row r="3426" spans="1:4" ht="15.75" thickBot="1" x14ac:dyDescent="0.3">
      <c r="A3426" s="32"/>
      <c r="B3426" s="33"/>
      <c r="C3426" s="32"/>
      <c r="D3426" s="34"/>
    </row>
    <row r="3427" spans="1:4" ht="15.75" thickBot="1" x14ac:dyDescent="0.3">
      <c r="A3427" s="58"/>
      <c r="B3427" s="58"/>
      <c r="C3427" s="58"/>
      <c r="D3427" s="35"/>
    </row>
    <row r="3428" spans="1:4" ht="15.75" x14ac:dyDescent="0.25">
      <c r="A3428" s="285"/>
      <c r="B3428" s="59"/>
      <c r="C3428" s="59"/>
      <c r="D3428" s="60"/>
    </row>
    <row r="3429" spans="1:4" ht="16.5" thickBot="1" x14ac:dyDescent="0.3">
      <c r="A3429" s="286"/>
      <c r="B3429" s="62"/>
      <c r="C3429" s="62"/>
      <c r="D3429" s="61"/>
    </row>
    <row r="3430" spans="1:4" ht="15.75" x14ac:dyDescent="0.25">
      <c r="A3430" s="285"/>
      <c r="B3430" s="59"/>
      <c r="C3430" s="59"/>
      <c r="D3430" s="60"/>
    </row>
    <row r="3431" spans="1:4" ht="16.5" thickBot="1" x14ac:dyDescent="0.3">
      <c r="A3431" s="286"/>
      <c r="B3431" s="62"/>
      <c r="C3431" s="62"/>
      <c r="D3431" s="61"/>
    </row>
    <row r="3432" spans="1:4" ht="16.5" thickBot="1" x14ac:dyDescent="0.3">
      <c r="A3432" s="57"/>
      <c r="B3432" s="36"/>
      <c r="C3432" s="36"/>
      <c r="D3432" s="36"/>
    </row>
    <row r="3433" spans="1:4" ht="15.75" thickBot="1" x14ac:dyDescent="0.3">
      <c r="A3433" s="287"/>
      <c r="B3433" s="288"/>
      <c r="C3433" s="288"/>
      <c r="D3433" s="289"/>
    </row>
    <row r="3434" spans="1:4" ht="18.75" x14ac:dyDescent="0.25">
      <c r="A3434" s="5"/>
      <c r="B3434" s="6"/>
      <c r="C3434" s="7"/>
      <c r="D3434" s="8"/>
    </row>
    <row r="3435" spans="1:4" ht="19.5" thickBot="1" x14ac:dyDescent="0.3">
      <c r="A3435" s="9"/>
      <c r="B3435" s="10"/>
      <c r="C3435" s="10"/>
      <c r="D3435" s="11"/>
    </row>
    <row r="3436" spans="1:4" ht="21.75" thickBot="1" x14ac:dyDescent="0.3">
      <c r="A3436" s="43"/>
      <c r="B3436" s="290"/>
      <c r="C3436" s="291"/>
      <c r="D3436" s="43"/>
    </row>
    <row r="3437" spans="1:4" ht="21.75" thickBot="1" x14ac:dyDescent="0.3">
      <c r="A3437" s="38"/>
      <c r="B3437" s="44"/>
      <c r="C3437" s="45"/>
      <c r="D3437" s="44"/>
    </row>
    <row r="3438" spans="1:4" ht="19.5" thickBot="1" x14ac:dyDescent="0.3">
      <c r="A3438" s="19"/>
      <c r="B3438" s="20"/>
      <c r="C3438" s="63"/>
      <c r="D3438" s="14"/>
    </row>
    <row r="3439" spans="1:4" ht="19.5" thickBot="1" x14ac:dyDescent="0.3">
      <c r="A3439" s="19"/>
      <c r="B3439" s="20"/>
      <c r="C3439" s="48"/>
      <c r="D3439" s="46"/>
    </row>
    <row r="3440" spans="1:4" ht="15.75" thickBot="1" x14ac:dyDescent="0.3">
      <c r="A3440" s="32"/>
      <c r="B3440" s="33"/>
      <c r="C3440" s="32"/>
      <c r="D3440" s="34"/>
    </row>
    <row r="3441" spans="1:4" ht="15.75" thickBot="1" x14ac:dyDescent="0.3">
      <c r="A3441" s="58"/>
      <c r="B3441" s="58"/>
      <c r="C3441" s="58"/>
      <c r="D3441" s="35"/>
    </row>
    <row r="3442" spans="1:4" ht="15.75" x14ac:dyDescent="0.25">
      <c r="A3442" s="285"/>
      <c r="B3442" s="59"/>
      <c r="C3442" s="59"/>
      <c r="D3442" s="60"/>
    </row>
    <row r="3443" spans="1:4" ht="16.5" thickBot="1" x14ac:dyDescent="0.3">
      <c r="A3443" s="286"/>
      <c r="B3443" s="62"/>
      <c r="C3443" s="62"/>
      <c r="D3443" s="61"/>
    </row>
    <row r="3444" spans="1:4" ht="15.75" x14ac:dyDescent="0.25">
      <c r="A3444" s="285"/>
      <c r="B3444" s="59"/>
      <c r="C3444" s="59"/>
      <c r="D3444" s="60"/>
    </row>
    <row r="3445" spans="1:4" ht="16.5" thickBot="1" x14ac:dyDescent="0.3">
      <c r="A3445" s="286"/>
      <c r="B3445" s="62"/>
      <c r="C3445" s="62"/>
      <c r="D3445" s="61"/>
    </row>
    <row r="3446" spans="1:4" ht="16.5" thickBot="1" x14ac:dyDescent="0.3">
      <c r="A3446" s="57"/>
      <c r="B3446" s="36"/>
      <c r="C3446" s="36"/>
      <c r="D3446" s="36"/>
    </row>
    <row r="3447" spans="1:4" ht="15.75" thickBot="1" x14ac:dyDescent="0.3">
      <c r="A3447" s="287"/>
      <c r="B3447" s="288"/>
      <c r="C3447" s="288"/>
      <c r="D3447" s="289"/>
    </row>
    <row r="3448" spans="1:4" ht="18.75" x14ac:dyDescent="0.25">
      <c r="A3448" s="5"/>
      <c r="B3448" s="6"/>
      <c r="C3448" s="7"/>
      <c r="D3448" s="8"/>
    </row>
    <row r="3449" spans="1:4" ht="19.5" thickBot="1" x14ac:dyDescent="0.3">
      <c r="A3449" s="9"/>
      <c r="B3449" s="10"/>
      <c r="C3449" s="10"/>
      <c r="D3449" s="11"/>
    </row>
    <row r="3450" spans="1:4" ht="21.75" thickBot="1" x14ac:dyDescent="0.3">
      <c r="A3450" s="43"/>
      <c r="B3450" s="290"/>
      <c r="C3450" s="291"/>
      <c r="D3450" s="43"/>
    </row>
    <row r="3451" spans="1:4" ht="21.75" thickBot="1" x14ac:dyDescent="0.3">
      <c r="A3451" s="38"/>
      <c r="B3451" s="44"/>
      <c r="C3451" s="45"/>
      <c r="D3451" s="44"/>
    </row>
    <row r="3452" spans="1:4" ht="19.5" thickBot="1" x14ac:dyDescent="0.3">
      <c r="A3452" s="19"/>
      <c r="B3452" s="20"/>
      <c r="C3452" s="63"/>
      <c r="D3452" s="14"/>
    </row>
    <row r="3453" spans="1:4" ht="19.5" thickBot="1" x14ac:dyDescent="0.3">
      <c r="A3453" s="19"/>
      <c r="B3453" s="20"/>
      <c r="C3453" s="63"/>
      <c r="D3453" s="14"/>
    </row>
    <row r="3454" spans="1:4" ht="19.5" thickBot="1" x14ac:dyDescent="0.3">
      <c r="A3454" s="19"/>
      <c r="B3454" s="20"/>
      <c r="C3454" s="48"/>
      <c r="D3454" s="46"/>
    </row>
    <row r="3455" spans="1:4" ht="15.75" thickBot="1" x14ac:dyDescent="0.3">
      <c r="A3455" s="32"/>
      <c r="B3455" s="33"/>
      <c r="C3455" s="32"/>
      <c r="D3455" s="34"/>
    </row>
    <row r="3456" spans="1:4" ht="15.75" thickBot="1" x14ac:dyDescent="0.3">
      <c r="A3456" s="58"/>
      <c r="B3456" s="58"/>
      <c r="C3456" s="58"/>
      <c r="D3456" s="35"/>
    </row>
    <row r="3457" spans="1:4" ht="15.75" x14ac:dyDescent="0.25">
      <c r="A3457" s="285"/>
      <c r="B3457" s="59"/>
      <c r="C3457" s="59"/>
      <c r="D3457" s="60"/>
    </row>
    <row r="3458" spans="1:4" ht="16.5" thickBot="1" x14ac:dyDescent="0.3">
      <c r="A3458" s="286"/>
      <c r="B3458" s="62"/>
      <c r="C3458" s="62"/>
      <c r="D3458" s="61"/>
    </row>
    <row r="3459" spans="1:4" ht="15.75" x14ac:dyDescent="0.25">
      <c r="A3459" s="285"/>
      <c r="B3459" s="59"/>
      <c r="C3459" s="59"/>
      <c r="D3459" s="60"/>
    </row>
    <row r="3460" spans="1:4" ht="16.5" thickBot="1" x14ac:dyDescent="0.3">
      <c r="A3460" s="286"/>
      <c r="B3460" s="62"/>
      <c r="C3460" s="62"/>
      <c r="D3460" s="61"/>
    </row>
    <row r="3461" spans="1:4" ht="16.5" thickBot="1" x14ac:dyDescent="0.3">
      <c r="A3461" s="57"/>
      <c r="B3461" s="36"/>
      <c r="C3461" s="36"/>
      <c r="D3461" s="36"/>
    </row>
    <row r="3462" spans="1:4" ht="15.75" thickBot="1" x14ac:dyDescent="0.3">
      <c r="A3462" s="287"/>
      <c r="B3462" s="288"/>
      <c r="C3462" s="288"/>
      <c r="D3462" s="289"/>
    </row>
    <row r="3463" spans="1:4" ht="18.75" x14ac:dyDescent="0.25">
      <c r="A3463" s="5"/>
      <c r="B3463" s="6"/>
      <c r="C3463" s="7"/>
      <c r="D3463" s="8"/>
    </row>
    <row r="3464" spans="1:4" ht="19.5" thickBot="1" x14ac:dyDescent="0.3">
      <c r="A3464" s="9"/>
      <c r="B3464" s="10"/>
      <c r="C3464" s="10"/>
      <c r="D3464" s="11"/>
    </row>
    <row r="3465" spans="1:4" ht="21.75" thickBot="1" x14ac:dyDescent="0.3">
      <c r="A3465" s="43"/>
      <c r="B3465" s="290"/>
      <c r="C3465" s="291"/>
      <c r="D3465" s="43"/>
    </row>
    <row r="3466" spans="1:4" ht="21.75" thickBot="1" x14ac:dyDescent="0.3">
      <c r="A3466" s="38"/>
      <c r="B3466" s="44"/>
      <c r="C3466" s="45"/>
      <c r="D3466" s="44"/>
    </row>
    <row r="3467" spans="1:4" ht="19.5" thickBot="1" x14ac:dyDescent="0.3">
      <c r="A3467" s="19"/>
      <c r="B3467" s="20"/>
      <c r="C3467" s="63"/>
      <c r="D3467" s="14"/>
    </row>
    <row r="3468" spans="1:4" ht="19.5" thickBot="1" x14ac:dyDescent="0.3">
      <c r="A3468" s="19"/>
      <c r="B3468" s="20"/>
      <c r="C3468" s="48"/>
      <c r="D3468" s="46"/>
    </row>
    <row r="3469" spans="1:4" ht="15.75" thickBot="1" x14ac:dyDescent="0.3">
      <c r="A3469" s="32"/>
      <c r="B3469" s="33"/>
      <c r="C3469" s="32"/>
      <c r="D3469" s="34"/>
    </row>
    <row r="3470" spans="1:4" ht="15.75" thickBot="1" x14ac:dyDescent="0.3">
      <c r="A3470" s="58"/>
      <c r="B3470" s="58"/>
      <c r="C3470" s="58"/>
      <c r="D3470" s="35"/>
    </row>
    <row r="3471" spans="1:4" ht="15.75" x14ac:dyDescent="0.25">
      <c r="A3471" s="285"/>
      <c r="B3471" s="59"/>
      <c r="C3471" s="59"/>
      <c r="D3471" s="60"/>
    </row>
    <row r="3472" spans="1:4" ht="16.5" thickBot="1" x14ac:dyDescent="0.3">
      <c r="A3472" s="286"/>
      <c r="B3472" s="62"/>
      <c r="C3472" s="62"/>
      <c r="D3472" s="61"/>
    </row>
    <row r="3473" spans="1:4" ht="15.75" x14ac:dyDescent="0.25">
      <c r="A3473" s="285"/>
      <c r="B3473" s="59"/>
      <c r="C3473" s="59"/>
      <c r="D3473" s="60"/>
    </row>
    <row r="3474" spans="1:4" ht="16.5" thickBot="1" x14ac:dyDescent="0.3">
      <c r="A3474" s="286"/>
      <c r="B3474" s="62"/>
      <c r="C3474" s="62"/>
      <c r="D3474" s="61"/>
    </row>
    <row r="3475" spans="1:4" ht="16.5" thickBot="1" x14ac:dyDescent="0.3">
      <c r="A3475" s="57"/>
      <c r="B3475" s="36"/>
      <c r="C3475" s="36"/>
      <c r="D3475" s="36"/>
    </row>
    <row r="3476" spans="1:4" ht="15.75" thickBot="1" x14ac:dyDescent="0.3">
      <c r="A3476" s="287"/>
      <c r="B3476" s="288"/>
      <c r="C3476" s="288"/>
      <c r="D3476" s="289"/>
    </row>
    <row r="3477" spans="1:4" ht="18.75" x14ac:dyDescent="0.25">
      <c r="A3477" s="5"/>
      <c r="B3477" s="6"/>
      <c r="C3477" s="7"/>
      <c r="D3477" s="8"/>
    </row>
    <row r="3478" spans="1:4" ht="19.5" thickBot="1" x14ac:dyDescent="0.3">
      <c r="A3478" s="9"/>
      <c r="B3478" s="10"/>
      <c r="C3478" s="10"/>
      <c r="D3478" s="11"/>
    </row>
    <row r="3479" spans="1:4" ht="21.75" thickBot="1" x14ac:dyDescent="0.3">
      <c r="A3479" s="43"/>
      <c r="B3479" s="290"/>
      <c r="C3479" s="291"/>
      <c r="D3479" s="43"/>
    </row>
    <row r="3480" spans="1:4" ht="21.75" thickBot="1" x14ac:dyDescent="0.3">
      <c r="A3480" s="38"/>
      <c r="B3480" s="44"/>
      <c r="C3480" s="45"/>
      <c r="D3480" s="44"/>
    </row>
    <row r="3481" spans="1:4" ht="19.5" thickBot="1" x14ac:dyDescent="0.3">
      <c r="A3481" s="19"/>
      <c r="B3481" s="20"/>
      <c r="C3481" s="63"/>
      <c r="D3481" s="14"/>
    </row>
    <row r="3482" spans="1:4" ht="19.5" thickBot="1" x14ac:dyDescent="0.3">
      <c r="A3482" s="19"/>
      <c r="B3482" s="20"/>
      <c r="C3482" s="63"/>
      <c r="D3482" s="14"/>
    </row>
    <row r="3483" spans="1:4" ht="19.5" thickBot="1" x14ac:dyDescent="0.3">
      <c r="A3483" s="19"/>
      <c r="B3483" s="20"/>
      <c r="C3483" s="48"/>
      <c r="D3483" s="46"/>
    </row>
    <row r="3484" spans="1:4" ht="15.75" thickBot="1" x14ac:dyDescent="0.3">
      <c r="A3484" s="32"/>
      <c r="B3484" s="33"/>
      <c r="C3484" s="32"/>
      <c r="D3484" s="34"/>
    </row>
    <row r="3485" spans="1:4" ht="15.75" thickBot="1" x14ac:dyDescent="0.3">
      <c r="A3485" s="58"/>
      <c r="B3485" s="58"/>
      <c r="C3485" s="58"/>
      <c r="D3485" s="35"/>
    </row>
    <row r="3486" spans="1:4" ht="15.75" x14ac:dyDescent="0.25">
      <c r="A3486" s="285"/>
      <c r="B3486" s="59"/>
      <c r="C3486" s="59"/>
      <c r="D3486" s="60"/>
    </row>
    <row r="3487" spans="1:4" ht="16.5" thickBot="1" x14ac:dyDescent="0.3">
      <c r="A3487" s="286"/>
      <c r="B3487" s="62"/>
      <c r="C3487" s="62"/>
      <c r="D3487" s="61"/>
    </row>
    <row r="3488" spans="1:4" ht="15.75" x14ac:dyDescent="0.25">
      <c r="A3488" s="285"/>
      <c r="B3488" s="59"/>
      <c r="C3488" s="59"/>
      <c r="D3488" s="60"/>
    </row>
    <row r="3489" spans="1:4" ht="16.5" thickBot="1" x14ac:dyDescent="0.3">
      <c r="A3489" s="286"/>
      <c r="B3489" s="62"/>
      <c r="C3489" s="62"/>
      <c r="D3489" s="61"/>
    </row>
    <row r="3490" spans="1:4" ht="16.5" thickBot="1" x14ac:dyDescent="0.3">
      <c r="A3490" s="57"/>
      <c r="B3490" s="36"/>
      <c r="C3490" s="36"/>
      <c r="D3490" s="36"/>
    </row>
    <row r="3491" spans="1:4" ht="15.75" thickBot="1" x14ac:dyDescent="0.3">
      <c r="A3491" s="287"/>
      <c r="B3491" s="288"/>
      <c r="C3491" s="288"/>
      <c r="D3491" s="289"/>
    </row>
    <row r="3492" spans="1:4" ht="18.75" x14ac:dyDescent="0.25">
      <c r="A3492" s="5"/>
      <c r="B3492" s="6"/>
      <c r="C3492" s="7"/>
      <c r="D3492" s="8"/>
    </row>
    <row r="3493" spans="1:4" ht="19.5" thickBot="1" x14ac:dyDescent="0.3">
      <c r="A3493" s="9"/>
      <c r="B3493" s="10"/>
      <c r="C3493" s="10"/>
      <c r="D3493" s="11"/>
    </row>
    <row r="3494" spans="1:4" ht="21.75" thickBot="1" x14ac:dyDescent="0.3">
      <c r="A3494" s="43"/>
      <c r="B3494" s="290"/>
      <c r="C3494" s="291"/>
      <c r="D3494" s="43"/>
    </row>
    <row r="3495" spans="1:4" ht="21.75" thickBot="1" x14ac:dyDescent="0.3">
      <c r="A3495" s="38"/>
      <c r="B3495" s="44"/>
      <c r="C3495" s="45"/>
      <c r="D3495" s="44"/>
    </row>
    <row r="3496" spans="1:4" ht="19.5" thickBot="1" x14ac:dyDescent="0.3">
      <c r="A3496" s="19"/>
      <c r="B3496" s="20"/>
      <c r="C3496" s="63"/>
      <c r="D3496" s="14"/>
    </row>
    <row r="3497" spans="1:4" ht="19.5" thickBot="1" x14ac:dyDescent="0.3">
      <c r="A3497" s="19"/>
      <c r="B3497" s="20"/>
      <c r="C3497" s="48"/>
      <c r="D3497" s="46"/>
    </row>
    <row r="3498" spans="1:4" ht="15.75" thickBot="1" x14ac:dyDescent="0.3">
      <c r="A3498" s="32"/>
      <c r="B3498" s="33"/>
      <c r="C3498" s="32"/>
      <c r="D3498" s="34"/>
    </row>
    <row r="3499" spans="1:4" ht="15.75" thickBot="1" x14ac:dyDescent="0.3">
      <c r="A3499" s="58"/>
      <c r="B3499" s="58"/>
      <c r="C3499" s="58"/>
      <c r="D3499" s="35"/>
    </row>
    <row r="3500" spans="1:4" ht="15.75" x14ac:dyDescent="0.25">
      <c r="A3500" s="285"/>
      <c r="B3500" s="59"/>
      <c r="C3500" s="59"/>
      <c r="D3500" s="60"/>
    </row>
    <row r="3501" spans="1:4" ht="16.5" thickBot="1" x14ac:dyDescent="0.3">
      <c r="A3501" s="286"/>
      <c r="B3501" s="62"/>
      <c r="C3501" s="62"/>
      <c r="D3501" s="61"/>
    </row>
    <row r="3502" spans="1:4" ht="15.75" x14ac:dyDescent="0.25">
      <c r="A3502" s="285"/>
      <c r="B3502" s="59"/>
      <c r="C3502" s="59"/>
      <c r="D3502" s="60"/>
    </row>
    <row r="3503" spans="1:4" ht="16.5" thickBot="1" x14ac:dyDescent="0.3">
      <c r="A3503" s="286"/>
      <c r="B3503" s="62"/>
      <c r="C3503" s="62"/>
      <c r="D3503" s="61"/>
    </row>
    <row r="3504" spans="1:4" ht="16.5" thickBot="1" x14ac:dyDescent="0.3">
      <c r="A3504" s="57"/>
      <c r="B3504" s="36"/>
      <c r="C3504" s="36"/>
      <c r="D3504" s="36"/>
    </row>
    <row r="3505" spans="1:4" ht="15.75" thickBot="1" x14ac:dyDescent="0.3">
      <c r="A3505" s="287"/>
      <c r="B3505" s="288"/>
      <c r="C3505" s="288"/>
      <c r="D3505" s="289"/>
    </row>
    <row r="3506" spans="1:4" ht="18.75" x14ac:dyDescent="0.25">
      <c r="A3506" s="5"/>
      <c r="B3506" s="6"/>
      <c r="C3506" s="7"/>
      <c r="D3506" s="8"/>
    </row>
    <row r="3507" spans="1:4" ht="19.5" thickBot="1" x14ac:dyDescent="0.3">
      <c r="A3507" s="9"/>
      <c r="B3507" s="10"/>
      <c r="C3507" s="10"/>
      <c r="D3507" s="11"/>
    </row>
    <row r="3508" spans="1:4" ht="21.75" thickBot="1" x14ac:dyDescent="0.3">
      <c r="A3508" s="43"/>
      <c r="B3508" s="290"/>
      <c r="C3508" s="291"/>
      <c r="D3508" s="43"/>
    </row>
    <row r="3509" spans="1:4" ht="21.75" thickBot="1" x14ac:dyDescent="0.3">
      <c r="A3509" s="38"/>
      <c r="B3509" s="44"/>
      <c r="C3509" s="45"/>
      <c r="D3509" s="44"/>
    </row>
    <row r="3510" spans="1:4" ht="19.5" thickBot="1" x14ac:dyDescent="0.3">
      <c r="A3510" s="19"/>
      <c r="B3510" s="20"/>
      <c r="C3510" s="63"/>
      <c r="D3510" s="14"/>
    </row>
    <row r="3511" spans="1:4" ht="19.5" thickBot="1" x14ac:dyDescent="0.3">
      <c r="A3511" s="19"/>
      <c r="B3511" s="20"/>
      <c r="C3511" s="63"/>
      <c r="D3511" s="14"/>
    </row>
    <row r="3512" spans="1:4" ht="19.5" thickBot="1" x14ac:dyDescent="0.3">
      <c r="A3512" s="19"/>
      <c r="B3512" s="20"/>
      <c r="C3512" s="48"/>
      <c r="D3512" s="46"/>
    </row>
    <row r="3513" spans="1:4" ht="15.75" thickBot="1" x14ac:dyDescent="0.3">
      <c r="A3513" s="32"/>
      <c r="B3513" s="33"/>
      <c r="C3513" s="32"/>
      <c r="D3513" s="34"/>
    </row>
    <row r="3514" spans="1:4" ht="15.75" thickBot="1" x14ac:dyDescent="0.3">
      <c r="A3514" s="58"/>
      <c r="B3514" s="58"/>
      <c r="C3514" s="58"/>
      <c r="D3514" s="35"/>
    </row>
    <row r="3515" spans="1:4" ht="15.75" x14ac:dyDescent="0.25">
      <c r="A3515" s="285"/>
      <c r="B3515" s="59"/>
      <c r="C3515" s="59"/>
      <c r="D3515" s="60"/>
    </row>
    <row r="3516" spans="1:4" ht="16.5" thickBot="1" x14ac:dyDescent="0.3">
      <c r="A3516" s="286"/>
      <c r="B3516" s="62"/>
      <c r="C3516" s="62"/>
      <c r="D3516" s="61"/>
    </row>
    <row r="3517" spans="1:4" ht="15.75" x14ac:dyDescent="0.25">
      <c r="A3517" s="285"/>
      <c r="B3517" s="59"/>
      <c r="C3517" s="59"/>
      <c r="D3517" s="60"/>
    </row>
    <row r="3518" spans="1:4" ht="16.5" thickBot="1" x14ac:dyDescent="0.3">
      <c r="A3518" s="286"/>
      <c r="B3518" s="62"/>
      <c r="C3518" s="62"/>
      <c r="D3518" s="61"/>
    </row>
    <row r="3519" spans="1:4" ht="16.5" thickBot="1" x14ac:dyDescent="0.3">
      <c r="A3519" s="57"/>
      <c r="B3519" s="36"/>
      <c r="C3519" s="36"/>
      <c r="D3519" s="36"/>
    </row>
    <row r="3520" spans="1:4" ht="15.75" thickBot="1" x14ac:dyDescent="0.3">
      <c r="A3520" s="287"/>
      <c r="B3520" s="288"/>
      <c r="C3520" s="288"/>
      <c r="D3520" s="289"/>
    </row>
    <row r="3521" spans="1:4" ht="18.75" x14ac:dyDescent="0.25">
      <c r="A3521" s="5"/>
      <c r="B3521" s="6"/>
      <c r="C3521" s="7"/>
      <c r="D3521" s="8"/>
    </row>
    <row r="3522" spans="1:4" ht="19.5" thickBot="1" x14ac:dyDescent="0.3">
      <c r="A3522" s="9"/>
      <c r="B3522" s="10"/>
      <c r="C3522" s="10"/>
      <c r="D3522" s="11"/>
    </row>
    <row r="3523" spans="1:4" ht="21.75" thickBot="1" x14ac:dyDescent="0.3">
      <c r="A3523" s="43"/>
      <c r="B3523" s="290"/>
      <c r="C3523" s="291"/>
      <c r="D3523" s="43"/>
    </row>
    <row r="3524" spans="1:4" ht="21.75" thickBot="1" x14ac:dyDescent="0.3">
      <c r="A3524" s="38"/>
      <c r="B3524" s="44"/>
      <c r="C3524" s="45"/>
      <c r="D3524" s="44"/>
    </row>
    <row r="3525" spans="1:4" ht="19.5" thickBot="1" x14ac:dyDescent="0.3">
      <c r="A3525" s="19"/>
      <c r="B3525" s="20"/>
      <c r="C3525" s="63"/>
      <c r="D3525" s="14"/>
    </row>
    <row r="3526" spans="1:4" ht="19.5" thickBot="1" x14ac:dyDescent="0.3">
      <c r="A3526" s="19"/>
      <c r="B3526" s="20"/>
      <c r="C3526" s="48"/>
      <c r="D3526" s="46"/>
    </row>
    <row r="3527" spans="1:4" ht="15.75" thickBot="1" x14ac:dyDescent="0.3">
      <c r="A3527" s="32"/>
      <c r="B3527" s="33"/>
      <c r="C3527" s="32"/>
      <c r="D3527" s="34"/>
    </row>
    <row r="3528" spans="1:4" ht="15.75" thickBot="1" x14ac:dyDescent="0.3">
      <c r="A3528" s="58"/>
      <c r="B3528" s="58"/>
      <c r="C3528" s="58"/>
      <c r="D3528" s="35"/>
    </row>
    <row r="3529" spans="1:4" ht="15.75" x14ac:dyDescent="0.25">
      <c r="A3529" s="285"/>
      <c r="B3529" s="59"/>
      <c r="C3529" s="59"/>
      <c r="D3529" s="60"/>
    </row>
    <row r="3530" spans="1:4" ht="16.5" thickBot="1" x14ac:dyDescent="0.3">
      <c r="A3530" s="286"/>
      <c r="B3530" s="62"/>
      <c r="C3530" s="62"/>
      <c r="D3530" s="61"/>
    </row>
    <row r="3531" spans="1:4" ht="15.75" x14ac:dyDescent="0.25">
      <c r="A3531" s="285"/>
      <c r="B3531" s="59"/>
      <c r="C3531" s="59"/>
      <c r="D3531" s="60"/>
    </row>
    <row r="3532" spans="1:4" ht="16.5" thickBot="1" x14ac:dyDescent="0.3">
      <c r="A3532" s="286"/>
      <c r="B3532" s="62"/>
      <c r="C3532" s="62"/>
      <c r="D3532" s="61"/>
    </row>
    <row r="3533" spans="1:4" ht="16.5" thickBot="1" x14ac:dyDescent="0.3">
      <c r="A3533" s="57"/>
      <c r="B3533" s="36"/>
      <c r="C3533" s="36"/>
      <c r="D3533" s="36"/>
    </row>
    <row r="3534" spans="1:4" ht="15.75" thickBot="1" x14ac:dyDescent="0.3">
      <c r="A3534" s="287"/>
      <c r="B3534" s="288"/>
      <c r="C3534" s="288"/>
      <c r="D3534" s="289"/>
    </row>
    <row r="3535" spans="1:4" ht="18.75" x14ac:dyDescent="0.25">
      <c r="A3535" s="5"/>
      <c r="B3535" s="6"/>
      <c r="C3535" s="7"/>
      <c r="D3535" s="8"/>
    </row>
    <row r="3536" spans="1:4" ht="19.5" thickBot="1" x14ac:dyDescent="0.3">
      <c r="A3536" s="9"/>
      <c r="B3536" s="10"/>
      <c r="C3536" s="10"/>
      <c r="D3536" s="11"/>
    </row>
    <row r="3537" spans="1:4" ht="21.75" thickBot="1" x14ac:dyDescent="0.3">
      <c r="A3537" s="43"/>
      <c r="B3537" s="290"/>
      <c r="C3537" s="291"/>
      <c r="D3537" s="43"/>
    </row>
    <row r="3538" spans="1:4" ht="21.75" thickBot="1" x14ac:dyDescent="0.3">
      <c r="A3538" s="38"/>
      <c r="B3538" s="44"/>
      <c r="C3538" s="45"/>
      <c r="D3538" s="44"/>
    </row>
    <row r="3539" spans="1:4" ht="19.5" thickBot="1" x14ac:dyDescent="0.3">
      <c r="A3539" s="19"/>
      <c r="B3539" s="20"/>
      <c r="C3539" s="63"/>
      <c r="D3539" s="14"/>
    </row>
    <row r="3540" spans="1:4" ht="19.5" thickBot="1" x14ac:dyDescent="0.3">
      <c r="A3540" s="19"/>
      <c r="B3540" s="20"/>
      <c r="C3540" s="63"/>
      <c r="D3540" s="14"/>
    </row>
    <row r="3541" spans="1:4" ht="19.5" thickBot="1" x14ac:dyDescent="0.3">
      <c r="A3541" s="19"/>
      <c r="B3541" s="20"/>
      <c r="C3541" s="48"/>
      <c r="D3541" s="46"/>
    </row>
    <row r="3542" spans="1:4" ht="15.75" thickBot="1" x14ac:dyDescent="0.3">
      <c r="A3542" s="32"/>
      <c r="B3542" s="33"/>
      <c r="C3542" s="32"/>
      <c r="D3542" s="34"/>
    </row>
    <row r="3543" spans="1:4" ht="15.75" thickBot="1" x14ac:dyDescent="0.3">
      <c r="A3543" s="58"/>
      <c r="B3543" s="58"/>
      <c r="C3543" s="58"/>
      <c r="D3543" s="35"/>
    </row>
    <row r="3544" spans="1:4" ht="15.75" x14ac:dyDescent="0.25">
      <c r="A3544" s="285"/>
      <c r="B3544" s="59"/>
      <c r="C3544" s="59"/>
      <c r="D3544" s="60"/>
    </row>
    <row r="3545" spans="1:4" ht="16.5" thickBot="1" x14ac:dyDescent="0.3">
      <c r="A3545" s="286"/>
      <c r="B3545" s="62"/>
      <c r="C3545" s="62"/>
      <c r="D3545" s="61"/>
    </row>
    <row r="3546" spans="1:4" ht="15.75" x14ac:dyDescent="0.25">
      <c r="A3546" s="285"/>
      <c r="B3546" s="59"/>
      <c r="C3546" s="59"/>
      <c r="D3546" s="60"/>
    </row>
    <row r="3547" spans="1:4" ht="16.5" thickBot="1" x14ac:dyDescent="0.3">
      <c r="A3547" s="286"/>
      <c r="B3547" s="62"/>
      <c r="C3547" s="62"/>
      <c r="D3547" s="61"/>
    </row>
    <row r="3548" spans="1:4" ht="16.5" thickBot="1" x14ac:dyDescent="0.3">
      <c r="A3548" s="57"/>
      <c r="B3548" s="36"/>
      <c r="C3548" s="36"/>
      <c r="D3548" s="36"/>
    </row>
    <row r="3549" spans="1:4" ht="15.75" thickBot="1" x14ac:dyDescent="0.3">
      <c r="A3549" s="287"/>
      <c r="B3549" s="288"/>
      <c r="C3549" s="288"/>
      <c r="D3549" s="289"/>
    </row>
    <row r="3550" spans="1:4" ht="18.75" x14ac:dyDescent="0.25">
      <c r="A3550" s="5"/>
      <c r="B3550" s="6"/>
      <c r="C3550" s="7"/>
      <c r="D3550" s="8"/>
    </row>
    <row r="3551" spans="1:4" ht="19.5" thickBot="1" x14ac:dyDescent="0.3">
      <c r="A3551" s="9"/>
      <c r="B3551" s="10"/>
      <c r="C3551" s="10"/>
      <c r="D3551" s="11"/>
    </row>
    <row r="3552" spans="1:4" ht="21.75" thickBot="1" x14ac:dyDescent="0.3">
      <c r="A3552" s="43"/>
      <c r="B3552" s="290"/>
      <c r="C3552" s="291"/>
      <c r="D3552" s="43"/>
    </row>
    <row r="3553" spans="1:4" ht="21.75" thickBot="1" x14ac:dyDescent="0.3">
      <c r="A3553" s="38"/>
      <c r="B3553" s="44"/>
      <c r="C3553" s="45"/>
      <c r="D3553" s="44"/>
    </row>
    <row r="3554" spans="1:4" ht="19.5" thickBot="1" x14ac:dyDescent="0.3">
      <c r="A3554" s="19"/>
      <c r="B3554" s="20"/>
      <c r="C3554" s="63"/>
      <c r="D3554" s="14"/>
    </row>
    <row r="3555" spans="1:4" ht="19.5" thickBot="1" x14ac:dyDescent="0.3">
      <c r="A3555" s="19"/>
      <c r="B3555" s="20"/>
      <c r="C3555" s="48"/>
      <c r="D3555" s="46"/>
    </row>
    <row r="3556" spans="1:4" ht="15.75" thickBot="1" x14ac:dyDescent="0.3">
      <c r="A3556" s="32"/>
      <c r="B3556" s="33"/>
      <c r="C3556" s="32"/>
      <c r="D3556" s="34"/>
    </row>
    <row r="3557" spans="1:4" ht="15.75" thickBot="1" x14ac:dyDescent="0.3">
      <c r="A3557" s="58"/>
      <c r="B3557" s="58"/>
      <c r="C3557" s="58"/>
      <c r="D3557" s="35"/>
    </row>
    <row r="3558" spans="1:4" ht="15.75" x14ac:dyDescent="0.25">
      <c r="A3558" s="285"/>
      <c r="B3558" s="59"/>
      <c r="C3558" s="59"/>
      <c r="D3558" s="60"/>
    </row>
    <row r="3559" spans="1:4" ht="16.5" thickBot="1" x14ac:dyDescent="0.3">
      <c r="A3559" s="286"/>
      <c r="B3559" s="62"/>
      <c r="C3559" s="62"/>
      <c r="D3559" s="61"/>
    </row>
    <row r="3560" spans="1:4" ht="15.75" x14ac:dyDescent="0.25">
      <c r="A3560" s="285"/>
      <c r="B3560" s="59"/>
      <c r="C3560" s="59"/>
      <c r="D3560" s="60"/>
    </row>
    <row r="3561" spans="1:4" ht="16.5" thickBot="1" x14ac:dyDescent="0.3">
      <c r="A3561" s="286"/>
      <c r="B3561" s="62"/>
      <c r="C3561" s="62"/>
      <c r="D3561" s="61"/>
    </row>
    <row r="3562" spans="1:4" ht="16.5" thickBot="1" x14ac:dyDescent="0.3">
      <c r="A3562" s="57"/>
      <c r="B3562" s="36"/>
      <c r="C3562" s="36"/>
      <c r="D3562" s="36"/>
    </row>
    <row r="3563" spans="1:4" ht="15.75" thickBot="1" x14ac:dyDescent="0.3">
      <c r="A3563" s="287"/>
      <c r="B3563" s="288"/>
      <c r="C3563" s="288"/>
      <c r="D3563" s="289"/>
    </row>
    <row r="3564" spans="1:4" ht="18.75" x14ac:dyDescent="0.25">
      <c r="A3564" s="5"/>
      <c r="B3564" s="6"/>
      <c r="C3564" s="7"/>
      <c r="D3564" s="8"/>
    </row>
    <row r="3565" spans="1:4" ht="19.5" thickBot="1" x14ac:dyDescent="0.3">
      <c r="A3565" s="9"/>
      <c r="B3565" s="10"/>
      <c r="C3565" s="10"/>
      <c r="D3565" s="11"/>
    </row>
    <row r="3566" spans="1:4" ht="21.75" thickBot="1" x14ac:dyDescent="0.3">
      <c r="A3566" s="43"/>
      <c r="B3566" s="290"/>
      <c r="C3566" s="291"/>
      <c r="D3566" s="43"/>
    </row>
    <row r="3567" spans="1:4" ht="21.75" thickBot="1" x14ac:dyDescent="0.3">
      <c r="A3567" s="38"/>
      <c r="B3567" s="44"/>
      <c r="C3567" s="45"/>
      <c r="D3567" s="44"/>
    </row>
    <row r="3568" spans="1:4" ht="19.5" thickBot="1" x14ac:dyDescent="0.3">
      <c r="A3568" s="19"/>
      <c r="B3568" s="20"/>
      <c r="C3568" s="63"/>
      <c r="D3568" s="14"/>
    </row>
    <row r="3569" spans="1:4" ht="19.5" thickBot="1" x14ac:dyDescent="0.3">
      <c r="A3569" s="19"/>
      <c r="B3569" s="20"/>
      <c r="C3569" s="63"/>
      <c r="D3569" s="14"/>
    </row>
    <row r="3570" spans="1:4" ht="19.5" thickBot="1" x14ac:dyDescent="0.3">
      <c r="A3570" s="19"/>
      <c r="B3570" s="20"/>
      <c r="C3570" s="48"/>
      <c r="D3570" s="46"/>
    </row>
    <row r="3571" spans="1:4" ht="15.75" thickBot="1" x14ac:dyDescent="0.3">
      <c r="A3571" s="32"/>
      <c r="B3571" s="33"/>
      <c r="C3571" s="32"/>
      <c r="D3571" s="34"/>
    </row>
    <row r="3572" spans="1:4" ht="15.75" thickBot="1" x14ac:dyDescent="0.3">
      <c r="A3572" s="58"/>
      <c r="B3572" s="58"/>
      <c r="C3572" s="58"/>
      <c r="D3572" s="35"/>
    </row>
    <row r="3573" spans="1:4" ht="15.75" x14ac:dyDescent="0.25">
      <c r="A3573" s="285"/>
      <c r="B3573" s="59"/>
      <c r="C3573" s="59"/>
      <c r="D3573" s="60"/>
    </row>
    <row r="3574" spans="1:4" ht="16.5" thickBot="1" x14ac:dyDescent="0.3">
      <c r="A3574" s="286"/>
      <c r="B3574" s="62"/>
      <c r="C3574" s="62"/>
      <c r="D3574" s="61"/>
    </row>
    <row r="3575" spans="1:4" ht="15.75" x14ac:dyDescent="0.25">
      <c r="A3575" s="285"/>
      <c r="B3575" s="59"/>
      <c r="C3575" s="59"/>
      <c r="D3575" s="60"/>
    </row>
    <row r="3576" spans="1:4" ht="16.5" thickBot="1" x14ac:dyDescent="0.3">
      <c r="A3576" s="286"/>
      <c r="B3576" s="62"/>
      <c r="C3576" s="62"/>
      <c r="D3576" s="61"/>
    </row>
    <row r="3577" spans="1:4" ht="16.5" thickBot="1" x14ac:dyDescent="0.3">
      <c r="A3577" s="57"/>
      <c r="B3577" s="36"/>
      <c r="C3577" s="36"/>
      <c r="D3577" s="36"/>
    </row>
    <row r="3578" spans="1:4" ht="15.75" thickBot="1" x14ac:dyDescent="0.3">
      <c r="A3578" s="287"/>
      <c r="B3578" s="288"/>
      <c r="C3578" s="288"/>
      <c r="D3578" s="289"/>
    </row>
    <row r="3579" spans="1:4" ht="18.75" x14ac:dyDescent="0.25">
      <c r="A3579" s="5"/>
      <c r="B3579" s="6"/>
      <c r="C3579" s="7"/>
      <c r="D3579" s="8"/>
    </row>
    <row r="3580" spans="1:4" ht="19.5" thickBot="1" x14ac:dyDescent="0.3">
      <c r="A3580" s="9"/>
      <c r="B3580" s="10"/>
      <c r="C3580" s="10"/>
      <c r="D3580" s="11"/>
    </row>
    <row r="3581" spans="1:4" ht="21.75" thickBot="1" x14ac:dyDescent="0.3">
      <c r="A3581" s="43"/>
      <c r="B3581" s="290"/>
      <c r="C3581" s="291"/>
      <c r="D3581" s="43"/>
    </row>
    <row r="3582" spans="1:4" ht="21.75" thickBot="1" x14ac:dyDescent="0.3">
      <c r="A3582" s="38"/>
      <c r="B3582" s="44"/>
      <c r="C3582" s="45"/>
      <c r="D3582" s="44"/>
    </row>
    <row r="3583" spans="1:4" ht="19.5" thickBot="1" x14ac:dyDescent="0.3">
      <c r="A3583" s="19"/>
      <c r="B3583" s="20"/>
      <c r="C3583" s="63"/>
      <c r="D3583" s="14"/>
    </row>
    <row r="3584" spans="1:4" ht="19.5" thickBot="1" x14ac:dyDescent="0.3">
      <c r="A3584" s="19"/>
      <c r="B3584" s="20"/>
      <c r="C3584" s="48"/>
      <c r="D3584" s="46"/>
    </row>
    <row r="3585" spans="1:4" ht="15.75" thickBot="1" x14ac:dyDescent="0.3">
      <c r="A3585" s="32"/>
      <c r="B3585" s="33"/>
      <c r="C3585" s="32"/>
      <c r="D3585" s="34"/>
    </row>
    <row r="3586" spans="1:4" ht="15.75" thickBot="1" x14ac:dyDescent="0.3">
      <c r="A3586" s="58"/>
      <c r="B3586" s="58"/>
      <c r="C3586" s="58"/>
      <c r="D3586" s="35"/>
    </row>
    <row r="3587" spans="1:4" ht="15.75" x14ac:dyDescent="0.25">
      <c r="A3587" s="285"/>
      <c r="B3587" s="59"/>
      <c r="C3587" s="59"/>
      <c r="D3587" s="60"/>
    </row>
    <row r="3588" spans="1:4" ht="16.5" thickBot="1" x14ac:dyDescent="0.3">
      <c r="A3588" s="286"/>
      <c r="B3588" s="62"/>
      <c r="C3588" s="62"/>
      <c r="D3588" s="61"/>
    </row>
    <row r="3589" spans="1:4" ht="15.75" x14ac:dyDescent="0.25">
      <c r="A3589" s="285"/>
      <c r="B3589" s="59"/>
      <c r="C3589" s="59"/>
      <c r="D3589" s="60"/>
    </row>
    <row r="3590" spans="1:4" ht="16.5" thickBot="1" x14ac:dyDescent="0.3">
      <c r="A3590" s="286"/>
      <c r="B3590" s="62"/>
      <c r="C3590" s="62"/>
      <c r="D3590" s="61"/>
    </row>
    <row r="3591" spans="1:4" ht="16.5" thickBot="1" x14ac:dyDescent="0.3">
      <c r="A3591" s="57"/>
      <c r="B3591" s="36"/>
      <c r="C3591" s="36"/>
      <c r="D3591" s="36"/>
    </row>
    <row r="3592" spans="1:4" ht="15.75" thickBot="1" x14ac:dyDescent="0.3">
      <c r="A3592" s="287"/>
      <c r="B3592" s="288"/>
      <c r="C3592" s="288"/>
      <c r="D3592" s="289"/>
    </row>
    <row r="3593" spans="1:4" ht="18.75" x14ac:dyDescent="0.25">
      <c r="A3593" s="5"/>
      <c r="B3593" s="6"/>
      <c r="C3593" s="7"/>
      <c r="D3593" s="8"/>
    </row>
    <row r="3594" spans="1:4" ht="19.5" thickBot="1" x14ac:dyDescent="0.3">
      <c r="A3594" s="9"/>
      <c r="B3594" s="10"/>
      <c r="C3594" s="10"/>
      <c r="D3594" s="11"/>
    </row>
    <row r="3595" spans="1:4" ht="21.75" thickBot="1" x14ac:dyDescent="0.3">
      <c r="A3595" s="43"/>
      <c r="B3595" s="290"/>
      <c r="C3595" s="291"/>
      <c r="D3595" s="43"/>
    </row>
    <row r="3596" spans="1:4" ht="21.75" thickBot="1" x14ac:dyDescent="0.3">
      <c r="A3596" s="38"/>
      <c r="B3596" s="44"/>
      <c r="C3596" s="45"/>
      <c r="D3596" s="44"/>
    </row>
    <row r="3597" spans="1:4" ht="19.5" thickBot="1" x14ac:dyDescent="0.3">
      <c r="A3597" s="19"/>
      <c r="B3597" s="20"/>
      <c r="C3597" s="63"/>
      <c r="D3597" s="14"/>
    </row>
    <row r="3598" spans="1:4" ht="19.5" thickBot="1" x14ac:dyDescent="0.3">
      <c r="A3598" s="19"/>
      <c r="B3598" s="20"/>
      <c r="C3598" s="63"/>
      <c r="D3598" s="14"/>
    </row>
    <row r="3599" spans="1:4" ht="19.5" thickBot="1" x14ac:dyDescent="0.3">
      <c r="A3599" s="19"/>
      <c r="B3599" s="20"/>
      <c r="C3599" s="48"/>
      <c r="D3599" s="46"/>
    </row>
    <row r="3600" spans="1:4" ht="15.75" thickBot="1" x14ac:dyDescent="0.3">
      <c r="A3600" s="32"/>
      <c r="B3600" s="33"/>
      <c r="C3600" s="32"/>
      <c r="D3600" s="34"/>
    </row>
    <row r="3601" spans="1:4" ht="15.75" thickBot="1" x14ac:dyDescent="0.3">
      <c r="A3601" s="58"/>
      <c r="B3601" s="58"/>
      <c r="C3601" s="58"/>
      <c r="D3601" s="35"/>
    </row>
    <row r="3602" spans="1:4" ht="15.75" x14ac:dyDescent="0.25">
      <c r="A3602" s="285"/>
      <c r="B3602" s="59"/>
      <c r="C3602" s="59"/>
      <c r="D3602" s="60"/>
    </row>
    <row r="3603" spans="1:4" ht="16.5" thickBot="1" x14ac:dyDescent="0.3">
      <c r="A3603" s="286"/>
      <c r="B3603" s="62"/>
      <c r="C3603" s="62"/>
      <c r="D3603" s="61"/>
    </row>
    <row r="3604" spans="1:4" ht="15.75" x14ac:dyDescent="0.25">
      <c r="A3604" s="285"/>
      <c r="B3604" s="59"/>
      <c r="C3604" s="59"/>
      <c r="D3604" s="60"/>
    </row>
    <row r="3605" spans="1:4" ht="16.5" thickBot="1" x14ac:dyDescent="0.3">
      <c r="A3605" s="286"/>
      <c r="B3605" s="62"/>
      <c r="C3605" s="62"/>
      <c r="D3605" s="61"/>
    </row>
    <row r="3606" spans="1:4" ht="16.5" thickBot="1" x14ac:dyDescent="0.3">
      <c r="A3606" s="57"/>
      <c r="B3606" s="36"/>
      <c r="C3606" s="36"/>
      <c r="D3606" s="36"/>
    </row>
    <row r="3607" spans="1:4" ht="15.75" thickBot="1" x14ac:dyDescent="0.3">
      <c r="A3607" s="287"/>
      <c r="B3607" s="288"/>
      <c r="C3607" s="288"/>
      <c r="D3607" s="289"/>
    </row>
    <row r="3608" spans="1:4" ht="18.75" x14ac:dyDescent="0.25">
      <c r="A3608" s="5"/>
      <c r="B3608" s="6"/>
      <c r="C3608" s="7"/>
      <c r="D3608" s="8"/>
    </row>
    <row r="3609" spans="1:4" ht="19.5" thickBot="1" x14ac:dyDescent="0.3">
      <c r="A3609" s="9"/>
      <c r="B3609" s="10"/>
      <c r="C3609" s="10"/>
      <c r="D3609" s="11"/>
    </row>
    <row r="3610" spans="1:4" ht="21.75" thickBot="1" x14ac:dyDescent="0.3">
      <c r="A3610" s="43"/>
      <c r="B3610" s="290"/>
      <c r="C3610" s="291"/>
      <c r="D3610" s="43"/>
    </row>
    <row r="3611" spans="1:4" ht="21.75" thickBot="1" x14ac:dyDescent="0.3">
      <c r="A3611" s="38"/>
      <c r="B3611" s="44"/>
      <c r="C3611" s="45"/>
      <c r="D3611" s="44"/>
    </row>
    <row r="3612" spans="1:4" ht="19.5" thickBot="1" x14ac:dyDescent="0.3">
      <c r="A3612" s="19"/>
      <c r="B3612" s="20"/>
      <c r="C3612" s="63"/>
      <c r="D3612" s="14"/>
    </row>
    <row r="3613" spans="1:4" ht="19.5" thickBot="1" x14ac:dyDescent="0.3">
      <c r="A3613" s="19"/>
      <c r="B3613" s="20"/>
      <c r="C3613" s="48"/>
      <c r="D3613" s="46"/>
    </row>
    <row r="3614" spans="1:4" ht="15.75" thickBot="1" x14ac:dyDescent="0.3">
      <c r="A3614" s="32"/>
      <c r="B3614" s="33"/>
      <c r="C3614" s="32"/>
      <c r="D3614" s="34"/>
    </row>
    <row r="3615" spans="1:4" ht="15.75" thickBot="1" x14ac:dyDescent="0.3">
      <c r="A3615" s="58"/>
      <c r="B3615" s="58"/>
      <c r="C3615" s="58"/>
      <c r="D3615" s="35"/>
    </row>
    <row r="3616" spans="1:4" ht="15.75" x14ac:dyDescent="0.25">
      <c r="A3616" s="285"/>
      <c r="B3616" s="59"/>
      <c r="C3616" s="59"/>
      <c r="D3616" s="60"/>
    </row>
    <row r="3617" spans="1:4" ht="16.5" thickBot="1" x14ac:dyDescent="0.3">
      <c r="A3617" s="286"/>
      <c r="B3617" s="62"/>
      <c r="C3617" s="62"/>
      <c r="D3617" s="61"/>
    </row>
    <row r="3618" spans="1:4" ht="15.75" x14ac:dyDescent="0.25">
      <c r="A3618" s="285"/>
      <c r="B3618" s="59"/>
      <c r="C3618" s="59"/>
      <c r="D3618" s="60"/>
    </row>
    <row r="3619" spans="1:4" ht="16.5" thickBot="1" x14ac:dyDescent="0.3">
      <c r="A3619" s="286"/>
      <c r="B3619" s="62"/>
      <c r="C3619" s="62"/>
      <c r="D3619" s="61"/>
    </row>
    <row r="3620" spans="1:4" ht="16.5" thickBot="1" x14ac:dyDescent="0.3">
      <c r="A3620" s="57"/>
      <c r="B3620" s="36"/>
      <c r="C3620" s="36"/>
      <c r="D3620" s="36"/>
    </row>
    <row r="3621" spans="1:4" ht="15.75" thickBot="1" x14ac:dyDescent="0.3">
      <c r="A3621" s="287"/>
      <c r="B3621" s="288"/>
      <c r="C3621" s="288"/>
      <c r="D3621" s="289"/>
    </row>
    <row r="3622" spans="1:4" ht="18.75" x14ac:dyDescent="0.25">
      <c r="A3622" s="5"/>
      <c r="B3622" s="6"/>
      <c r="C3622" s="7"/>
      <c r="D3622" s="8"/>
    </row>
    <row r="3623" spans="1:4" ht="19.5" thickBot="1" x14ac:dyDescent="0.3">
      <c r="A3623" s="9"/>
      <c r="B3623" s="10"/>
      <c r="C3623" s="10"/>
      <c r="D3623" s="11"/>
    </row>
    <row r="3624" spans="1:4" ht="21.75" thickBot="1" x14ac:dyDescent="0.3">
      <c r="A3624" s="43"/>
      <c r="B3624" s="290"/>
      <c r="C3624" s="291"/>
      <c r="D3624" s="43"/>
    </row>
    <row r="3625" spans="1:4" ht="21.75" thickBot="1" x14ac:dyDescent="0.3">
      <c r="A3625" s="38"/>
      <c r="B3625" s="44"/>
      <c r="C3625" s="45"/>
      <c r="D3625" s="44"/>
    </row>
    <row r="3626" spans="1:4" ht="19.5" thickBot="1" x14ac:dyDescent="0.3">
      <c r="A3626" s="19"/>
      <c r="B3626" s="20"/>
      <c r="C3626" s="63"/>
      <c r="D3626" s="14"/>
    </row>
    <row r="3627" spans="1:4" ht="19.5" thickBot="1" x14ac:dyDescent="0.3">
      <c r="A3627" s="19"/>
      <c r="B3627" s="20"/>
      <c r="C3627" s="63"/>
      <c r="D3627" s="14"/>
    </row>
    <row r="3628" spans="1:4" ht="19.5" thickBot="1" x14ac:dyDescent="0.3">
      <c r="A3628" s="19"/>
      <c r="B3628" s="20"/>
      <c r="C3628" s="48"/>
      <c r="D3628" s="46"/>
    </row>
    <row r="3629" spans="1:4" ht="15.75" thickBot="1" x14ac:dyDescent="0.3">
      <c r="A3629" s="32"/>
      <c r="B3629" s="33"/>
      <c r="C3629" s="32"/>
      <c r="D3629" s="34"/>
    </row>
    <row r="3630" spans="1:4" ht="15.75" thickBot="1" x14ac:dyDescent="0.3">
      <c r="A3630" s="58"/>
      <c r="B3630" s="58"/>
      <c r="C3630" s="58"/>
      <c r="D3630" s="35"/>
    </row>
    <row r="3631" spans="1:4" ht="15.75" x14ac:dyDescent="0.25">
      <c r="A3631" s="285"/>
      <c r="B3631" s="59"/>
      <c r="C3631" s="59"/>
      <c r="D3631" s="60"/>
    </row>
    <row r="3632" spans="1:4" ht="16.5" thickBot="1" x14ac:dyDescent="0.3">
      <c r="A3632" s="286"/>
      <c r="B3632" s="62"/>
      <c r="C3632" s="62"/>
      <c r="D3632" s="61"/>
    </row>
    <row r="3633" spans="1:4" ht="15.75" x14ac:dyDescent="0.25">
      <c r="A3633" s="285"/>
      <c r="B3633" s="59"/>
      <c r="C3633" s="59"/>
      <c r="D3633" s="60"/>
    </row>
    <row r="3634" spans="1:4" ht="16.5" thickBot="1" x14ac:dyDescent="0.3">
      <c r="A3634" s="286"/>
      <c r="B3634" s="62"/>
      <c r="C3634" s="62"/>
      <c r="D3634" s="61"/>
    </row>
    <row r="3635" spans="1:4" ht="16.5" thickBot="1" x14ac:dyDescent="0.3">
      <c r="A3635" s="57"/>
      <c r="B3635" s="36"/>
      <c r="C3635" s="36"/>
      <c r="D3635" s="36"/>
    </row>
    <row r="3636" spans="1:4" ht="15.75" thickBot="1" x14ac:dyDescent="0.3">
      <c r="A3636" s="287"/>
      <c r="B3636" s="288"/>
      <c r="C3636" s="288"/>
      <c r="D3636" s="289"/>
    </row>
    <row r="3637" spans="1:4" ht="18.75" x14ac:dyDescent="0.25">
      <c r="A3637" s="5"/>
      <c r="B3637" s="6"/>
      <c r="C3637" s="7"/>
      <c r="D3637" s="8"/>
    </row>
    <row r="3638" spans="1:4" ht="19.5" thickBot="1" x14ac:dyDescent="0.3">
      <c r="A3638" s="9"/>
      <c r="B3638" s="10"/>
      <c r="C3638" s="10"/>
      <c r="D3638" s="11"/>
    </row>
    <row r="3639" spans="1:4" ht="21.75" thickBot="1" x14ac:dyDescent="0.3">
      <c r="A3639" s="43"/>
      <c r="B3639" s="290"/>
      <c r="C3639" s="291"/>
      <c r="D3639" s="43"/>
    </row>
    <row r="3640" spans="1:4" ht="21.75" thickBot="1" x14ac:dyDescent="0.3">
      <c r="A3640" s="38"/>
      <c r="B3640" s="44"/>
      <c r="C3640" s="45"/>
      <c r="D3640" s="44"/>
    </row>
    <row r="3641" spans="1:4" ht="19.5" thickBot="1" x14ac:dyDescent="0.3">
      <c r="A3641" s="19"/>
      <c r="B3641" s="20"/>
      <c r="C3641" s="63"/>
      <c r="D3641" s="14"/>
    </row>
    <row r="3642" spans="1:4" ht="19.5" thickBot="1" x14ac:dyDescent="0.3">
      <c r="A3642" s="19"/>
      <c r="B3642" s="20"/>
      <c r="C3642" s="48"/>
      <c r="D3642" s="46"/>
    </row>
    <row r="3643" spans="1:4" ht="15.75" thickBot="1" x14ac:dyDescent="0.3">
      <c r="A3643" s="32"/>
      <c r="B3643" s="33"/>
      <c r="C3643" s="32"/>
      <c r="D3643" s="34"/>
    </row>
    <row r="3644" spans="1:4" ht="15.75" thickBot="1" x14ac:dyDescent="0.3">
      <c r="A3644" s="58"/>
      <c r="B3644" s="58"/>
      <c r="C3644" s="58"/>
      <c r="D3644" s="35"/>
    </row>
    <row r="3645" spans="1:4" ht="15.75" x14ac:dyDescent="0.25">
      <c r="A3645" s="285"/>
      <c r="B3645" s="59"/>
      <c r="C3645" s="59"/>
      <c r="D3645" s="60"/>
    </row>
    <row r="3646" spans="1:4" ht="16.5" thickBot="1" x14ac:dyDescent="0.3">
      <c r="A3646" s="286"/>
      <c r="B3646" s="62"/>
      <c r="C3646" s="62"/>
      <c r="D3646" s="61"/>
    </row>
    <row r="3647" spans="1:4" ht="15.75" x14ac:dyDescent="0.25">
      <c r="A3647" s="285"/>
      <c r="B3647" s="59"/>
      <c r="C3647" s="59"/>
      <c r="D3647" s="60"/>
    </row>
    <row r="3648" spans="1:4" ht="16.5" thickBot="1" x14ac:dyDescent="0.3">
      <c r="A3648" s="286"/>
      <c r="B3648" s="62"/>
      <c r="C3648" s="62"/>
      <c r="D3648" s="61"/>
    </row>
    <row r="3649" spans="1:4" ht="16.5" thickBot="1" x14ac:dyDescent="0.3">
      <c r="A3649" s="57"/>
      <c r="B3649" s="36"/>
      <c r="C3649" s="36"/>
      <c r="D3649" s="36"/>
    </row>
    <row r="3650" spans="1:4" ht="15.75" thickBot="1" x14ac:dyDescent="0.3">
      <c r="A3650" s="287"/>
      <c r="B3650" s="288"/>
      <c r="C3650" s="288"/>
      <c r="D3650" s="289"/>
    </row>
    <row r="3651" spans="1:4" ht="18.75" x14ac:dyDescent="0.25">
      <c r="A3651" s="5"/>
      <c r="B3651" s="6"/>
      <c r="C3651" s="7"/>
      <c r="D3651" s="8"/>
    </row>
    <row r="3652" spans="1:4" ht="19.5" thickBot="1" x14ac:dyDescent="0.3">
      <c r="A3652" s="9"/>
      <c r="B3652" s="10"/>
      <c r="C3652" s="10"/>
      <c r="D3652" s="11"/>
    </row>
    <row r="3653" spans="1:4" ht="21.75" thickBot="1" x14ac:dyDescent="0.3">
      <c r="A3653" s="43"/>
      <c r="B3653" s="290"/>
      <c r="C3653" s="291"/>
      <c r="D3653" s="43"/>
    </row>
    <row r="3654" spans="1:4" ht="21.75" thickBot="1" x14ac:dyDescent="0.3">
      <c r="A3654" s="38"/>
      <c r="B3654" s="44"/>
      <c r="C3654" s="45"/>
      <c r="D3654" s="44"/>
    </row>
    <row r="3655" spans="1:4" ht="19.5" thickBot="1" x14ac:dyDescent="0.3">
      <c r="A3655" s="19"/>
      <c r="B3655" s="20"/>
      <c r="C3655" s="63"/>
      <c r="D3655" s="14"/>
    </row>
    <row r="3656" spans="1:4" ht="19.5" thickBot="1" x14ac:dyDescent="0.3">
      <c r="A3656" s="19"/>
      <c r="B3656" s="20"/>
      <c r="C3656" s="63"/>
      <c r="D3656" s="14"/>
    </row>
    <row r="3657" spans="1:4" ht="19.5" thickBot="1" x14ac:dyDescent="0.3">
      <c r="A3657" s="19"/>
      <c r="B3657" s="20"/>
      <c r="C3657" s="48"/>
      <c r="D3657" s="46"/>
    </row>
    <row r="3658" spans="1:4" ht="15.75" thickBot="1" x14ac:dyDescent="0.3">
      <c r="A3658" s="32"/>
      <c r="B3658" s="33"/>
      <c r="C3658" s="32"/>
      <c r="D3658" s="34"/>
    </row>
    <row r="3659" spans="1:4" ht="15.75" thickBot="1" x14ac:dyDescent="0.3">
      <c r="A3659" s="58"/>
      <c r="B3659" s="58"/>
      <c r="C3659" s="58"/>
      <c r="D3659" s="35"/>
    </row>
    <row r="3660" spans="1:4" ht="15.75" x14ac:dyDescent="0.25">
      <c r="A3660" s="285"/>
      <c r="B3660" s="59"/>
      <c r="C3660" s="59"/>
      <c r="D3660" s="60"/>
    </row>
    <row r="3661" spans="1:4" ht="16.5" thickBot="1" x14ac:dyDescent="0.3">
      <c r="A3661" s="286"/>
      <c r="B3661" s="62"/>
      <c r="C3661" s="62"/>
      <c r="D3661" s="61"/>
    </row>
    <row r="3662" spans="1:4" ht="15.75" x14ac:dyDescent="0.25">
      <c r="A3662" s="285"/>
      <c r="B3662" s="59"/>
      <c r="C3662" s="59"/>
      <c r="D3662" s="60"/>
    </row>
    <row r="3663" spans="1:4" ht="16.5" thickBot="1" x14ac:dyDescent="0.3">
      <c r="A3663" s="286"/>
      <c r="B3663" s="62"/>
      <c r="C3663" s="62"/>
      <c r="D3663" s="61"/>
    </row>
    <row r="3664" spans="1:4" ht="16.5" thickBot="1" x14ac:dyDescent="0.3">
      <c r="A3664" s="57"/>
      <c r="B3664" s="36"/>
      <c r="C3664" s="36"/>
      <c r="D3664" s="36"/>
    </row>
    <row r="3665" spans="1:4" ht="15.75" thickBot="1" x14ac:dyDescent="0.3">
      <c r="A3665" s="287"/>
      <c r="B3665" s="288"/>
      <c r="C3665" s="288"/>
      <c r="D3665" s="289"/>
    </row>
    <row r="3666" spans="1:4" ht="18.75" x14ac:dyDescent="0.25">
      <c r="A3666" s="5"/>
      <c r="B3666" s="6"/>
      <c r="C3666" s="7"/>
      <c r="D3666" s="8"/>
    </row>
    <row r="3667" spans="1:4" ht="19.5" thickBot="1" x14ac:dyDescent="0.3">
      <c r="A3667" s="9"/>
      <c r="B3667" s="10"/>
      <c r="C3667" s="10"/>
      <c r="D3667" s="11"/>
    </row>
    <row r="3668" spans="1:4" ht="21.75" thickBot="1" x14ac:dyDescent="0.3">
      <c r="A3668" s="43"/>
      <c r="B3668" s="290"/>
      <c r="C3668" s="291"/>
      <c r="D3668" s="43"/>
    </row>
    <row r="3669" spans="1:4" ht="21.75" thickBot="1" x14ac:dyDescent="0.3">
      <c r="A3669" s="38"/>
      <c r="B3669" s="44"/>
      <c r="C3669" s="45"/>
      <c r="D3669" s="44"/>
    </row>
    <row r="3670" spans="1:4" ht="19.5" thickBot="1" x14ac:dyDescent="0.3">
      <c r="A3670" s="19"/>
      <c r="B3670" s="20"/>
      <c r="C3670" s="63"/>
      <c r="D3670" s="14"/>
    </row>
    <row r="3671" spans="1:4" ht="19.5" thickBot="1" x14ac:dyDescent="0.3">
      <c r="A3671" s="19"/>
      <c r="B3671" s="20"/>
      <c r="C3671" s="48"/>
      <c r="D3671" s="46"/>
    </row>
    <row r="3672" spans="1:4" ht="15.75" thickBot="1" x14ac:dyDescent="0.3">
      <c r="A3672" s="32"/>
      <c r="B3672" s="33"/>
      <c r="C3672" s="32"/>
      <c r="D3672" s="34"/>
    </row>
    <row r="3673" spans="1:4" ht="15.75" thickBot="1" x14ac:dyDescent="0.3">
      <c r="A3673" s="58"/>
      <c r="B3673" s="58"/>
      <c r="C3673" s="58"/>
      <c r="D3673" s="35"/>
    </row>
    <row r="3674" spans="1:4" ht="15.75" x14ac:dyDescent="0.25">
      <c r="A3674" s="285"/>
      <c r="B3674" s="59"/>
      <c r="C3674" s="59"/>
      <c r="D3674" s="60"/>
    </row>
    <row r="3675" spans="1:4" ht="16.5" thickBot="1" x14ac:dyDescent="0.3">
      <c r="A3675" s="286"/>
      <c r="B3675" s="62"/>
      <c r="C3675" s="62"/>
      <c r="D3675" s="61"/>
    </row>
    <row r="3676" spans="1:4" ht="15.75" x14ac:dyDescent="0.25">
      <c r="A3676" s="285"/>
      <c r="B3676" s="59"/>
      <c r="C3676" s="59"/>
      <c r="D3676" s="60"/>
    </row>
    <row r="3677" spans="1:4" ht="16.5" thickBot="1" x14ac:dyDescent="0.3">
      <c r="A3677" s="286"/>
      <c r="B3677" s="62"/>
      <c r="C3677" s="62"/>
      <c r="D3677" s="61"/>
    </row>
    <row r="3678" spans="1:4" ht="16.5" thickBot="1" x14ac:dyDescent="0.3">
      <c r="A3678" s="57"/>
      <c r="B3678" s="36"/>
      <c r="C3678" s="36"/>
      <c r="D3678" s="36"/>
    </row>
    <row r="3679" spans="1:4" ht="15.75" thickBot="1" x14ac:dyDescent="0.3">
      <c r="A3679" s="287"/>
      <c r="B3679" s="288"/>
      <c r="C3679" s="288"/>
      <c r="D3679" s="289"/>
    </row>
    <row r="3680" spans="1:4" ht="18.75" x14ac:dyDescent="0.25">
      <c r="A3680" s="5"/>
      <c r="B3680" s="6"/>
      <c r="C3680" s="7"/>
      <c r="D3680" s="8"/>
    </row>
    <row r="3681" spans="1:4" ht="19.5" thickBot="1" x14ac:dyDescent="0.3">
      <c r="A3681" s="9"/>
      <c r="B3681" s="10"/>
      <c r="C3681" s="10"/>
      <c r="D3681" s="11"/>
    </row>
    <row r="3682" spans="1:4" ht="21.75" thickBot="1" x14ac:dyDescent="0.3">
      <c r="A3682" s="43"/>
      <c r="B3682" s="290"/>
      <c r="C3682" s="291"/>
      <c r="D3682" s="43"/>
    </row>
    <row r="3683" spans="1:4" ht="21.75" thickBot="1" x14ac:dyDescent="0.3">
      <c r="A3683" s="38"/>
      <c r="B3683" s="44"/>
      <c r="C3683" s="45"/>
      <c r="D3683" s="44"/>
    </row>
    <row r="3684" spans="1:4" ht="19.5" thickBot="1" x14ac:dyDescent="0.3">
      <c r="A3684" s="19"/>
      <c r="B3684" s="20"/>
      <c r="C3684" s="63"/>
      <c r="D3684" s="14"/>
    </row>
    <row r="3685" spans="1:4" ht="19.5" thickBot="1" x14ac:dyDescent="0.3">
      <c r="A3685" s="19"/>
      <c r="B3685" s="20"/>
      <c r="C3685" s="63"/>
      <c r="D3685" s="14"/>
    </row>
    <row r="3686" spans="1:4" ht="19.5" thickBot="1" x14ac:dyDescent="0.3">
      <c r="A3686" s="19"/>
      <c r="B3686" s="20"/>
      <c r="C3686" s="48"/>
      <c r="D3686" s="46"/>
    </row>
    <row r="3687" spans="1:4" ht="15.75" thickBot="1" x14ac:dyDescent="0.3">
      <c r="A3687" s="32"/>
      <c r="B3687" s="33"/>
      <c r="C3687" s="32"/>
      <c r="D3687" s="34"/>
    </row>
    <row r="3688" spans="1:4" ht="15.75" thickBot="1" x14ac:dyDescent="0.3">
      <c r="A3688" s="58"/>
      <c r="B3688" s="58"/>
      <c r="C3688" s="58"/>
      <c r="D3688" s="35"/>
    </row>
    <row r="3689" spans="1:4" ht="15.75" x14ac:dyDescent="0.25">
      <c r="A3689" s="285"/>
      <c r="B3689" s="59"/>
      <c r="C3689" s="59"/>
      <c r="D3689" s="60"/>
    </row>
    <row r="3690" spans="1:4" ht="16.5" thickBot="1" x14ac:dyDescent="0.3">
      <c r="A3690" s="286"/>
      <c r="B3690" s="62"/>
      <c r="C3690" s="62"/>
      <c r="D3690" s="61"/>
    </row>
    <row r="3691" spans="1:4" ht="15.75" x14ac:dyDescent="0.25">
      <c r="A3691" s="285"/>
      <c r="B3691" s="59"/>
      <c r="C3691" s="59"/>
      <c r="D3691" s="60"/>
    </row>
    <row r="3692" spans="1:4" ht="16.5" thickBot="1" x14ac:dyDescent="0.3">
      <c r="A3692" s="286"/>
      <c r="B3692" s="62"/>
      <c r="C3692" s="62"/>
      <c r="D3692" s="61"/>
    </row>
    <row r="3693" spans="1:4" ht="16.5" thickBot="1" x14ac:dyDescent="0.3">
      <c r="A3693" s="57"/>
      <c r="B3693" s="36"/>
      <c r="C3693" s="36"/>
      <c r="D3693" s="36"/>
    </row>
    <row r="3694" spans="1:4" ht="15.75" thickBot="1" x14ac:dyDescent="0.3">
      <c r="A3694" s="287"/>
      <c r="B3694" s="288"/>
      <c r="C3694" s="288"/>
      <c r="D3694" s="289"/>
    </row>
    <row r="3695" spans="1:4" ht="18.75" x14ac:dyDescent="0.25">
      <c r="A3695" s="5"/>
      <c r="B3695" s="6"/>
      <c r="C3695" s="7"/>
      <c r="D3695" s="8"/>
    </row>
    <row r="3696" spans="1:4" ht="19.5" thickBot="1" x14ac:dyDescent="0.3">
      <c r="A3696" s="9"/>
      <c r="B3696" s="10"/>
      <c r="C3696" s="10"/>
      <c r="D3696" s="11"/>
    </row>
    <row r="3697" spans="1:4" ht="21.75" thickBot="1" x14ac:dyDescent="0.3">
      <c r="A3697" s="43"/>
      <c r="B3697" s="290"/>
      <c r="C3697" s="291"/>
      <c r="D3697" s="43"/>
    </row>
    <row r="3698" spans="1:4" ht="21.75" thickBot="1" x14ac:dyDescent="0.3">
      <c r="A3698" s="38"/>
      <c r="B3698" s="44"/>
      <c r="C3698" s="45"/>
      <c r="D3698" s="44"/>
    </row>
    <row r="3699" spans="1:4" ht="19.5" thickBot="1" x14ac:dyDescent="0.3">
      <c r="A3699" s="19"/>
      <c r="B3699" s="20"/>
      <c r="C3699" s="63"/>
      <c r="D3699" s="14"/>
    </row>
    <row r="3700" spans="1:4" ht="19.5" thickBot="1" x14ac:dyDescent="0.3">
      <c r="A3700" s="19"/>
      <c r="B3700" s="20"/>
      <c r="C3700" s="48"/>
      <c r="D3700" s="46"/>
    </row>
    <row r="3701" spans="1:4" ht="15.75" thickBot="1" x14ac:dyDescent="0.3">
      <c r="A3701" s="32"/>
      <c r="B3701" s="33"/>
      <c r="C3701" s="32"/>
      <c r="D3701" s="34"/>
    </row>
    <row r="3702" spans="1:4" ht="15.75" thickBot="1" x14ac:dyDescent="0.3">
      <c r="A3702" s="58"/>
      <c r="B3702" s="58"/>
      <c r="C3702" s="58"/>
      <c r="D3702" s="35"/>
    </row>
    <row r="3703" spans="1:4" ht="15.75" x14ac:dyDescent="0.25">
      <c r="A3703" s="285"/>
      <c r="B3703" s="59"/>
      <c r="C3703" s="59"/>
      <c r="D3703" s="60"/>
    </row>
    <row r="3704" spans="1:4" ht="16.5" thickBot="1" x14ac:dyDescent="0.3">
      <c r="A3704" s="286"/>
      <c r="B3704" s="62"/>
      <c r="C3704" s="62"/>
      <c r="D3704" s="61"/>
    </row>
    <row r="3705" spans="1:4" ht="15.75" x14ac:dyDescent="0.25">
      <c r="A3705" s="285"/>
      <c r="B3705" s="59"/>
      <c r="C3705" s="59"/>
      <c r="D3705" s="60"/>
    </row>
    <row r="3706" spans="1:4" ht="16.5" thickBot="1" x14ac:dyDescent="0.3">
      <c r="A3706" s="286"/>
      <c r="B3706" s="62"/>
      <c r="C3706" s="62"/>
      <c r="D3706" s="61"/>
    </row>
    <row r="3707" spans="1:4" ht="16.5" thickBot="1" x14ac:dyDescent="0.3">
      <c r="A3707" s="57"/>
      <c r="B3707" s="36"/>
      <c r="C3707" s="36"/>
      <c r="D3707" s="36"/>
    </row>
    <row r="3708" spans="1:4" ht="15.75" thickBot="1" x14ac:dyDescent="0.3">
      <c r="A3708" s="287"/>
      <c r="B3708" s="288"/>
      <c r="C3708" s="288"/>
      <c r="D3708" s="289"/>
    </row>
    <row r="3709" spans="1:4" ht="18.75" x14ac:dyDescent="0.25">
      <c r="A3709" s="5"/>
      <c r="B3709" s="6"/>
      <c r="C3709" s="7"/>
      <c r="D3709" s="8"/>
    </row>
    <row r="3710" spans="1:4" ht="19.5" thickBot="1" x14ac:dyDescent="0.3">
      <c r="A3710" s="9"/>
      <c r="B3710" s="10"/>
      <c r="C3710" s="10"/>
      <c r="D3710" s="11"/>
    </row>
    <row r="3711" spans="1:4" ht="21.75" thickBot="1" x14ac:dyDescent="0.3">
      <c r="A3711" s="43"/>
      <c r="B3711" s="290"/>
      <c r="C3711" s="291"/>
      <c r="D3711" s="43"/>
    </row>
    <row r="3712" spans="1:4" ht="21.75" thickBot="1" x14ac:dyDescent="0.3">
      <c r="A3712" s="38"/>
      <c r="B3712" s="44"/>
      <c r="C3712" s="45"/>
      <c r="D3712" s="44"/>
    </row>
    <row r="3713" spans="1:4" ht="19.5" thickBot="1" x14ac:dyDescent="0.3">
      <c r="A3713" s="19"/>
      <c r="B3713" s="20"/>
      <c r="C3713" s="63"/>
      <c r="D3713" s="14"/>
    </row>
    <row r="3714" spans="1:4" ht="19.5" thickBot="1" x14ac:dyDescent="0.3">
      <c r="A3714" s="19"/>
      <c r="B3714" s="20"/>
      <c r="C3714" s="63"/>
      <c r="D3714" s="14"/>
    </row>
    <row r="3715" spans="1:4" ht="19.5" thickBot="1" x14ac:dyDescent="0.3">
      <c r="A3715" s="19"/>
      <c r="B3715" s="20"/>
      <c r="C3715" s="48"/>
      <c r="D3715" s="46"/>
    </row>
    <row r="3716" spans="1:4" ht="15.75" thickBot="1" x14ac:dyDescent="0.3">
      <c r="A3716" s="32"/>
      <c r="B3716" s="33"/>
      <c r="C3716" s="32"/>
      <c r="D3716" s="34"/>
    </row>
    <row r="3717" spans="1:4" ht="15.75" thickBot="1" x14ac:dyDescent="0.3">
      <c r="A3717" s="58"/>
      <c r="B3717" s="58"/>
      <c r="C3717" s="58"/>
      <c r="D3717" s="35"/>
    </row>
    <row r="3718" spans="1:4" ht="15.75" x14ac:dyDescent="0.25">
      <c r="A3718" s="285"/>
      <c r="B3718" s="59"/>
      <c r="C3718" s="59"/>
      <c r="D3718" s="60"/>
    </row>
    <row r="3719" spans="1:4" ht="16.5" thickBot="1" x14ac:dyDescent="0.3">
      <c r="A3719" s="286"/>
      <c r="B3719" s="62"/>
      <c r="C3719" s="62"/>
      <c r="D3719" s="61"/>
    </row>
    <row r="3720" spans="1:4" ht="15.75" x14ac:dyDescent="0.25">
      <c r="A3720" s="285"/>
      <c r="B3720" s="59"/>
      <c r="C3720" s="59"/>
      <c r="D3720" s="60"/>
    </row>
    <row r="3721" spans="1:4" ht="16.5" thickBot="1" x14ac:dyDescent="0.3">
      <c r="A3721" s="286"/>
      <c r="B3721" s="62"/>
      <c r="C3721" s="62"/>
      <c r="D3721" s="61"/>
    </row>
    <row r="3722" spans="1:4" ht="16.5" thickBot="1" x14ac:dyDescent="0.3">
      <c r="A3722" s="57"/>
      <c r="B3722" s="36"/>
      <c r="C3722" s="36"/>
      <c r="D3722" s="36"/>
    </row>
    <row r="3723" spans="1:4" ht="15.75" thickBot="1" x14ac:dyDescent="0.3">
      <c r="A3723" s="287"/>
      <c r="B3723" s="288"/>
      <c r="C3723" s="288"/>
      <c r="D3723" s="289"/>
    </row>
    <row r="3724" spans="1:4" ht="18.75" x14ac:dyDescent="0.25">
      <c r="A3724" s="5"/>
      <c r="B3724" s="6"/>
      <c r="C3724" s="7"/>
      <c r="D3724" s="8"/>
    </row>
    <row r="3725" spans="1:4" ht="19.5" thickBot="1" x14ac:dyDescent="0.3">
      <c r="A3725" s="9"/>
      <c r="B3725" s="10"/>
      <c r="C3725" s="10"/>
      <c r="D3725" s="11"/>
    </row>
    <row r="3726" spans="1:4" ht="21.75" thickBot="1" x14ac:dyDescent="0.3">
      <c r="A3726" s="43"/>
      <c r="B3726" s="290"/>
      <c r="C3726" s="291"/>
      <c r="D3726" s="43"/>
    </row>
    <row r="3727" spans="1:4" ht="21.75" thickBot="1" x14ac:dyDescent="0.3">
      <c r="A3727" s="38"/>
      <c r="B3727" s="44"/>
      <c r="C3727" s="45"/>
      <c r="D3727" s="44"/>
    </row>
    <row r="3728" spans="1:4" ht="19.5" thickBot="1" x14ac:dyDescent="0.3">
      <c r="A3728" s="19"/>
      <c r="B3728" s="20"/>
      <c r="C3728" s="63"/>
      <c r="D3728" s="14"/>
    </row>
    <row r="3729" spans="1:4" ht="19.5" thickBot="1" x14ac:dyDescent="0.3">
      <c r="A3729" s="19"/>
      <c r="B3729" s="20"/>
      <c r="C3729" s="48"/>
      <c r="D3729" s="46"/>
    </row>
    <row r="3730" spans="1:4" ht="15.75" thickBot="1" x14ac:dyDescent="0.3">
      <c r="A3730" s="32"/>
      <c r="B3730" s="33"/>
      <c r="C3730" s="32"/>
      <c r="D3730" s="34"/>
    </row>
    <row r="3731" spans="1:4" ht="15.75" thickBot="1" x14ac:dyDescent="0.3">
      <c r="A3731" s="58"/>
      <c r="B3731" s="58"/>
      <c r="C3731" s="58"/>
      <c r="D3731" s="35"/>
    </row>
    <row r="3732" spans="1:4" ht="15.75" x14ac:dyDescent="0.25">
      <c r="A3732" s="285"/>
      <c r="B3732" s="59"/>
      <c r="C3732" s="59"/>
      <c r="D3732" s="60"/>
    </row>
    <row r="3733" spans="1:4" ht="16.5" thickBot="1" x14ac:dyDescent="0.3">
      <c r="A3733" s="286"/>
      <c r="B3733" s="62"/>
      <c r="C3733" s="62"/>
      <c r="D3733" s="61"/>
    </row>
    <row r="3734" spans="1:4" ht="15.75" x14ac:dyDescent="0.25">
      <c r="A3734" s="285"/>
      <c r="B3734" s="59"/>
      <c r="C3734" s="59"/>
      <c r="D3734" s="60"/>
    </row>
    <row r="3735" spans="1:4" ht="16.5" thickBot="1" x14ac:dyDescent="0.3">
      <c r="A3735" s="286"/>
      <c r="B3735" s="62"/>
      <c r="C3735" s="62"/>
      <c r="D3735" s="61"/>
    </row>
    <row r="3736" spans="1:4" ht="16.5" thickBot="1" x14ac:dyDescent="0.3">
      <c r="A3736" s="57"/>
      <c r="B3736" s="36"/>
      <c r="C3736" s="36"/>
      <c r="D3736" s="36"/>
    </row>
    <row r="3737" spans="1:4" ht="15.75" thickBot="1" x14ac:dyDescent="0.3">
      <c r="A3737" s="287"/>
      <c r="B3737" s="288"/>
      <c r="C3737" s="288"/>
      <c r="D3737" s="289"/>
    </row>
    <row r="3738" spans="1:4" ht="18.75" x14ac:dyDescent="0.25">
      <c r="A3738" s="5"/>
      <c r="B3738" s="6"/>
      <c r="C3738" s="7"/>
      <c r="D3738" s="8"/>
    </row>
    <row r="3739" spans="1:4" ht="19.5" thickBot="1" x14ac:dyDescent="0.3">
      <c r="A3739" s="9"/>
      <c r="B3739" s="10"/>
      <c r="C3739" s="10"/>
      <c r="D3739" s="11"/>
    </row>
    <row r="3740" spans="1:4" ht="21.75" thickBot="1" x14ac:dyDescent="0.3">
      <c r="A3740" s="43"/>
      <c r="B3740" s="290"/>
      <c r="C3740" s="291"/>
      <c r="D3740" s="43"/>
    </row>
    <row r="3741" spans="1:4" ht="21.75" thickBot="1" x14ac:dyDescent="0.3">
      <c r="A3741" s="38"/>
      <c r="B3741" s="44"/>
      <c r="C3741" s="45"/>
      <c r="D3741" s="44"/>
    </row>
    <row r="3742" spans="1:4" ht="19.5" thickBot="1" x14ac:dyDescent="0.3">
      <c r="A3742" s="19"/>
      <c r="B3742" s="20"/>
      <c r="C3742" s="63"/>
      <c r="D3742" s="14"/>
    </row>
    <row r="3743" spans="1:4" ht="19.5" thickBot="1" x14ac:dyDescent="0.3">
      <c r="A3743" s="19"/>
      <c r="B3743" s="20"/>
      <c r="C3743" s="63"/>
      <c r="D3743" s="14"/>
    </row>
    <row r="3744" spans="1:4" ht="19.5" thickBot="1" x14ac:dyDescent="0.3">
      <c r="A3744" s="19"/>
      <c r="B3744" s="20"/>
      <c r="C3744" s="48"/>
      <c r="D3744" s="46"/>
    </row>
    <row r="3745" spans="1:4" ht="15.75" thickBot="1" x14ac:dyDescent="0.3">
      <c r="A3745" s="32"/>
      <c r="B3745" s="33"/>
      <c r="C3745" s="32"/>
      <c r="D3745" s="34"/>
    </row>
    <row r="3746" spans="1:4" ht="15.75" thickBot="1" x14ac:dyDescent="0.3">
      <c r="A3746" s="58"/>
      <c r="B3746" s="58"/>
      <c r="C3746" s="58"/>
      <c r="D3746" s="35"/>
    </row>
    <row r="3747" spans="1:4" ht="15.75" x14ac:dyDescent="0.25">
      <c r="A3747" s="285"/>
      <c r="B3747" s="59"/>
      <c r="C3747" s="59"/>
      <c r="D3747" s="60"/>
    </row>
    <row r="3748" spans="1:4" ht="16.5" thickBot="1" x14ac:dyDescent="0.3">
      <c r="A3748" s="286"/>
      <c r="B3748" s="62"/>
      <c r="C3748" s="62"/>
      <c r="D3748" s="61"/>
    </row>
    <row r="3749" spans="1:4" ht="15.75" x14ac:dyDescent="0.25">
      <c r="A3749" s="285"/>
      <c r="B3749" s="59"/>
      <c r="C3749" s="59"/>
      <c r="D3749" s="60"/>
    </row>
    <row r="3750" spans="1:4" ht="16.5" thickBot="1" x14ac:dyDescent="0.3">
      <c r="A3750" s="286"/>
      <c r="B3750" s="62"/>
      <c r="C3750" s="62"/>
      <c r="D3750" s="61"/>
    </row>
    <row r="3751" spans="1:4" ht="16.5" thickBot="1" x14ac:dyDescent="0.3">
      <c r="A3751" s="57"/>
      <c r="B3751" s="36"/>
      <c r="C3751" s="36"/>
      <c r="D3751" s="36"/>
    </row>
    <row r="3752" spans="1:4" ht="15.75" thickBot="1" x14ac:dyDescent="0.3">
      <c r="A3752" s="287"/>
      <c r="B3752" s="288"/>
      <c r="C3752" s="288"/>
      <c r="D3752" s="289"/>
    </row>
    <row r="3753" spans="1:4" ht="18.75" x14ac:dyDescent="0.25">
      <c r="A3753" s="5"/>
      <c r="B3753" s="6"/>
      <c r="C3753" s="7"/>
      <c r="D3753" s="8"/>
    </row>
    <row r="3754" spans="1:4" ht="19.5" thickBot="1" x14ac:dyDescent="0.3">
      <c r="A3754" s="9"/>
      <c r="B3754" s="10"/>
      <c r="C3754" s="10"/>
      <c r="D3754" s="11"/>
    </row>
    <row r="3755" spans="1:4" ht="21.75" thickBot="1" x14ac:dyDescent="0.3">
      <c r="A3755" s="43"/>
      <c r="B3755" s="290"/>
      <c r="C3755" s="291"/>
      <c r="D3755" s="43"/>
    </row>
    <row r="3756" spans="1:4" ht="21.75" thickBot="1" x14ac:dyDescent="0.3">
      <c r="A3756" s="38"/>
      <c r="B3756" s="44"/>
      <c r="C3756" s="45"/>
      <c r="D3756" s="44"/>
    </row>
    <row r="3757" spans="1:4" ht="19.5" thickBot="1" x14ac:dyDescent="0.3">
      <c r="A3757" s="19"/>
      <c r="B3757" s="20"/>
      <c r="C3757" s="63"/>
      <c r="D3757" s="14"/>
    </row>
    <row r="3758" spans="1:4" ht="19.5" thickBot="1" x14ac:dyDescent="0.3">
      <c r="A3758" s="19"/>
      <c r="B3758" s="20"/>
      <c r="C3758" s="48"/>
      <c r="D3758" s="46"/>
    </row>
    <row r="3759" spans="1:4" ht="15.75" thickBot="1" x14ac:dyDescent="0.3">
      <c r="A3759" s="32"/>
      <c r="B3759" s="33"/>
      <c r="C3759" s="32"/>
      <c r="D3759" s="34"/>
    </row>
    <row r="3760" spans="1:4" ht="15.75" thickBot="1" x14ac:dyDescent="0.3">
      <c r="A3760" s="58"/>
      <c r="B3760" s="58"/>
      <c r="C3760" s="58"/>
      <c r="D3760" s="35"/>
    </row>
    <row r="3761" spans="1:4" ht="15.75" x14ac:dyDescent="0.25">
      <c r="A3761" s="285"/>
      <c r="B3761" s="59"/>
      <c r="C3761" s="59"/>
      <c r="D3761" s="60"/>
    </row>
    <row r="3762" spans="1:4" ht="16.5" thickBot="1" x14ac:dyDescent="0.3">
      <c r="A3762" s="286"/>
      <c r="B3762" s="62"/>
      <c r="C3762" s="62"/>
      <c r="D3762" s="61"/>
    </row>
    <row r="3763" spans="1:4" ht="15.75" x14ac:dyDescent="0.25">
      <c r="A3763" s="285"/>
      <c r="B3763" s="59"/>
      <c r="C3763" s="59"/>
      <c r="D3763" s="60"/>
    </row>
    <row r="3764" spans="1:4" ht="16.5" thickBot="1" x14ac:dyDescent="0.3">
      <c r="A3764" s="286"/>
      <c r="B3764" s="62"/>
      <c r="C3764" s="62"/>
      <c r="D3764" s="61"/>
    </row>
    <row r="3765" spans="1:4" ht="16.5" thickBot="1" x14ac:dyDescent="0.3">
      <c r="A3765" s="57"/>
      <c r="B3765" s="36"/>
      <c r="C3765" s="36"/>
      <c r="D3765" s="36"/>
    </row>
    <row r="3766" spans="1:4" ht="15.75" thickBot="1" x14ac:dyDescent="0.3">
      <c r="A3766" s="287"/>
      <c r="B3766" s="288"/>
      <c r="C3766" s="288"/>
      <c r="D3766" s="289"/>
    </row>
    <row r="3767" spans="1:4" ht="18.75" x14ac:dyDescent="0.25">
      <c r="A3767" s="5"/>
      <c r="B3767" s="6"/>
      <c r="C3767" s="7"/>
      <c r="D3767" s="8"/>
    </row>
    <row r="3768" spans="1:4" ht="19.5" thickBot="1" x14ac:dyDescent="0.3">
      <c r="A3768" s="9"/>
      <c r="B3768" s="10"/>
      <c r="C3768" s="10"/>
      <c r="D3768" s="11"/>
    </row>
    <row r="3769" spans="1:4" ht="21.75" thickBot="1" x14ac:dyDescent="0.3">
      <c r="A3769" s="43"/>
      <c r="B3769" s="290"/>
      <c r="C3769" s="291"/>
      <c r="D3769" s="43"/>
    </row>
    <row r="3770" spans="1:4" ht="21.75" thickBot="1" x14ac:dyDescent="0.3">
      <c r="A3770" s="38"/>
      <c r="B3770" s="44"/>
      <c r="C3770" s="45"/>
      <c r="D3770" s="44"/>
    </row>
    <row r="3771" spans="1:4" ht="19.5" thickBot="1" x14ac:dyDescent="0.3">
      <c r="A3771" s="19"/>
      <c r="B3771" s="20"/>
      <c r="C3771" s="63"/>
      <c r="D3771" s="14"/>
    </row>
    <row r="3772" spans="1:4" ht="19.5" thickBot="1" x14ac:dyDescent="0.3">
      <c r="A3772" s="19"/>
      <c r="B3772" s="20"/>
      <c r="C3772" s="63"/>
      <c r="D3772" s="14"/>
    </row>
    <row r="3773" spans="1:4" ht="19.5" thickBot="1" x14ac:dyDescent="0.3">
      <c r="A3773" s="19"/>
      <c r="B3773" s="20"/>
      <c r="C3773" s="48"/>
      <c r="D3773" s="46"/>
    </row>
    <row r="3774" spans="1:4" ht="15.75" thickBot="1" x14ac:dyDescent="0.3">
      <c r="A3774" s="32"/>
      <c r="B3774" s="33"/>
      <c r="C3774" s="32"/>
      <c r="D3774" s="34"/>
    </row>
    <row r="3775" spans="1:4" ht="15.75" thickBot="1" x14ac:dyDescent="0.3">
      <c r="A3775" s="58"/>
      <c r="B3775" s="58"/>
      <c r="C3775" s="58"/>
      <c r="D3775" s="35"/>
    </row>
    <row r="3776" spans="1:4" ht="15.75" x14ac:dyDescent="0.25">
      <c r="A3776" s="285"/>
      <c r="B3776" s="59"/>
      <c r="C3776" s="59"/>
      <c r="D3776" s="60"/>
    </row>
    <row r="3777" spans="1:4" ht="16.5" thickBot="1" x14ac:dyDescent="0.3">
      <c r="A3777" s="286"/>
      <c r="B3777" s="62"/>
      <c r="C3777" s="62"/>
      <c r="D3777" s="61"/>
    </row>
    <row r="3778" spans="1:4" ht="15.75" x14ac:dyDescent="0.25">
      <c r="A3778" s="285"/>
      <c r="B3778" s="59"/>
      <c r="C3778" s="59"/>
      <c r="D3778" s="60"/>
    </row>
    <row r="3779" spans="1:4" ht="16.5" thickBot="1" x14ac:dyDescent="0.3">
      <c r="A3779" s="286"/>
      <c r="B3779" s="62"/>
      <c r="C3779" s="62"/>
      <c r="D3779" s="61"/>
    </row>
    <row r="3780" spans="1:4" ht="16.5" thickBot="1" x14ac:dyDescent="0.3">
      <c r="A3780" s="57"/>
      <c r="B3780" s="36"/>
      <c r="C3780" s="36"/>
      <c r="D3780" s="36"/>
    </row>
    <row r="3781" spans="1:4" ht="15.75" thickBot="1" x14ac:dyDescent="0.3">
      <c r="A3781" s="287"/>
      <c r="B3781" s="288"/>
      <c r="C3781" s="288"/>
      <c r="D3781" s="289"/>
    </row>
    <row r="3782" spans="1:4" ht="18.75" x14ac:dyDescent="0.25">
      <c r="A3782" s="5"/>
      <c r="B3782" s="6"/>
      <c r="C3782" s="7"/>
      <c r="D3782" s="8"/>
    </row>
    <row r="3783" spans="1:4" ht="19.5" thickBot="1" x14ac:dyDescent="0.3">
      <c r="A3783" s="9"/>
      <c r="B3783" s="10"/>
      <c r="C3783" s="10"/>
      <c r="D3783" s="11"/>
    </row>
    <row r="3784" spans="1:4" ht="21.75" thickBot="1" x14ac:dyDescent="0.3">
      <c r="A3784" s="43"/>
      <c r="B3784" s="290"/>
      <c r="C3784" s="291"/>
      <c r="D3784" s="43"/>
    </row>
    <row r="3785" spans="1:4" ht="21.75" thickBot="1" x14ac:dyDescent="0.3">
      <c r="A3785" s="38"/>
      <c r="B3785" s="44"/>
      <c r="C3785" s="45"/>
      <c r="D3785" s="44"/>
    </row>
    <row r="3786" spans="1:4" ht="19.5" thickBot="1" x14ac:dyDescent="0.3">
      <c r="A3786" s="19"/>
      <c r="B3786" s="20"/>
      <c r="C3786" s="63"/>
      <c r="D3786" s="14"/>
    </row>
    <row r="3787" spans="1:4" ht="19.5" thickBot="1" x14ac:dyDescent="0.3">
      <c r="A3787" s="19"/>
      <c r="B3787" s="20"/>
      <c r="C3787" s="48"/>
      <c r="D3787" s="46"/>
    </row>
    <row r="3788" spans="1:4" ht="15.75" thickBot="1" x14ac:dyDescent="0.3">
      <c r="A3788" s="32"/>
      <c r="B3788" s="33"/>
      <c r="C3788" s="32"/>
      <c r="D3788" s="34"/>
    </row>
    <row r="3789" spans="1:4" ht="15.75" thickBot="1" x14ac:dyDescent="0.3">
      <c r="A3789" s="58"/>
      <c r="B3789" s="58"/>
      <c r="C3789" s="58"/>
      <c r="D3789" s="35"/>
    </row>
    <row r="3790" spans="1:4" ht="15.75" x14ac:dyDescent="0.25">
      <c r="A3790" s="285"/>
      <c r="B3790" s="59"/>
      <c r="C3790" s="59"/>
      <c r="D3790" s="60"/>
    </row>
    <row r="3791" spans="1:4" ht="16.5" thickBot="1" x14ac:dyDescent="0.3">
      <c r="A3791" s="286"/>
      <c r="B3791" s="62"/>
      <c r="C3791" s="62"/>
      <c r="D3791" s="61"/>
    </row>
    <row r="3792" spans="1:4" ht="15.75" x14ac:dyDescent="0.25">
      <c r="A3792" s="285"/>
      <c r="B3792" s="59"/>
      <c r="C3792" s="59"/>
      <c r="D3792" s="60"/>
    </row>
    <row r="3793" spans="1:4" ht="16.5" thickBot="1" x14ac:dyDescent="0.3">
      <c r="A3793" s="286"/>
      <c r="B3793" s="62"/>
      <c r="C3793" s="62"/>
      <c r="D3793" s="61"/>
    </row>
    <row r="3794" spans="1:4" ht="16.5" thickBot="1" x14ac:dyDescent="0.3">
      <c r="A3794" s="57"/>
      <c r="B3794" s="36"/>
      <c r="C3794" s="36"/>
      <c r="D3794" s="36"/>
    </row>
    <row r="3795" spans="1:4" ht="15.75" thickBot="1" x14ac:dyDescent="0.3">
      <c r="A3795" s="287"/>
      <c r="B3795" s="288"/>
      <c r="C3795" s="288"/>
      <c r="D3795" s="289"/>
    </row>
    <row r="3796" spans="1:4" ht="18.75" x14ac:dyDescent="0.25">
      <c r="A3796" s="5"/>
      <c r="B3796" s="6"/>
      <c r="C3796" s="7"/>
      <c r="D3796" s="8"/>
    </row>
    <row r="3797" spans="1:4" ht="19.5" thickBot="1" x14ac:dyDescent="0.3">
      <c r="A3797" s="9"/>
      <c r="B3797" s="10"/>
      <c r="C3797" s="10"/>
      <c r="D3797" s="11"/>
    </row>
    <row r="3798" spans="1:4" ht="21.75" thickBot="1" x14ac:dyDescent="0.3">
      <c r="A3798" s="43"/>
      <c r="B3798" s="290"/>
      <c r="C3798" s="291"/>
      <c r="D3798" s="43"/>
    </row>
    <row r="3799" spans="1:4" ht="21.75" thickBot="1" x14ac:dyDescent="0.3">
      <c r="A3799" s="38"/>
      <c r="B3799" s="44"/>
      <c r="C3799" s="45"/>
      <c r="D3799" s="44"/>
    </row>
    <row r="3800" spans="1:4" ht="19.5" thickBot="1" x14ac:dyDescent="0.3">
      <c r="A3800" s="19"/>
      <c r="B3800" s="20"/>
      <c r="C3800" s="63"/>
      <c r="D3800" s="14"/>
    </row>
    <row r="3801" spans="1:4" ht="19.5" thickBot="1" x14ac:dyDescent="0.3">
      <c r="A3801" s="19"/>
      <c r="B3801" s="20"/>
      <c r="C3801" s="63"/>
      <c r="D3801" s="14"/>
    </row>
    <row r="3802" spans="1:4" ht="19.5" thickBot="1" x14ac:dyDescent="0.3">
      <c r="A3802" s="19"/>
      <c r="B3802" s="20"/>
      <c r="C3802" s="48"/>
      <c r="D3802" s="46"/>
    </row>
    <row r="3803" spans="1:4" ht="15.75" thickBot="1" x14ac:dyDescent="0.3">
      <c r="A3803" s="32"/>
      <c r="B3803" s="33"/>
      <c r="C3803" s="32"/>
      <c r="D3803" s="34"/>
    </row>
    <row r="3804" spans="1:4" ht="15.75" thickBot="1" x14ac:dyDescent="0.3">
      <c r="A3804" s="58"/>
      <c r="B3804" s="58"/>
      <c r="C3804" s="58"/>
      <c r="D3804" s="35"/>
    </row>
    <row r="3805" spans="1:4" ht="15.75" x14ac:dyDescent="0.25">
      <c r="A3805" s="285"/>
      <c r="B3805" s="59"/>
      <c r="C3805" s="59"/>
      <c r="D3805" s="60"/>
    </row>
    <row r="3806" spans="1:4" ht="16.5" thickBot="1" x14ac:dyDescent="0.3">
      <c r="A3806" s="286"/>
      <c r="B3806" s="62"/>
      <c r="C3806" s="62"/>
      <c r="D3806" s="61"/>
    </row>
    <row r="3807" spans="1:4" ht="15.75" x14ac:dyDescent="0.25">
      <c r="A3807" s="285"/>
      <c r="B3807" s="59"/>
      <c r="C3807" s="59"/>
      <c r="D3807" s="60"/>
    </row>
    <row r="3808" spans="1:4" ht="16.5" thickBot="1" x14ac:dyDescent="0.3">
      <c r="A3808" s="286"/>
      <c r="B3808" s="62"/>
      <c r="C3808" s="62"/>
      <c r="D3808" s="61"/>
    </row>
    <row r="3809" spans="1:4" ht="16.5" thickBot="1" x14ac:dyDescent="0.3">
      <c r="A3809" s="57"/>
      <c r="B3809" s="36"/>
      <c r="C3809" s="36"/>
      <c r="D3809" s="36"/>
    </row>
    <row r="3810" spans="1:4" ht="15.75" thickBot="1" x14ac:dyDescent="0.3">
      <c r="A3810" s="287"/>
      <c r="B3810" s="288"/>
      <c r="C3810" s="288"/>
      <c r="D3810" s="289"/>
    </row>
    <row r="3811" spans="1:4" ht="18.75" x14ac:dyDescent="0.25">
      <c r="A3811" s="5"/>
      <c r="B3811" s="6"/>
      <c r="C3811" s="7"/>
      <c r="D3811" s="8"/>
    </row>
    <row r="3812" spans="1:4" ht="19.5" thickBot="1" x14ac:dyDescent="0.3">
      <c r="A3812" s="9"/>
      <c r="B3812" s="10"/>
      <c r="C3812" s="10"/>
      <c r="D3812" s="11"/>
    </row>
    <row r="3813" spans="1:4" ht="21.75" thickBot="1" x14ac:dyDescent="0.3">
      <c r="A3813" s="43"/>
      <c r="B3813" s="290"/>
      <c r="C3813" s="291"/>
      <c r="D3813" s="43"/>
    </row>
    <row r="3814" spans="1:4" ht="21.75" thickBot="1" x14ac:dyDescent="0.3">
      <c r="A3814" s="38"/>
      <c r="B3814" s="44"/>
      <c r="C3814" s="45"/>
      <c r="D3814" s="44"/>
    </row>
    <row r="3815" spans="1:4" ht="19.5" thickBot="1" x14ac:dyDescent="0.3">
      <c r="A3815" s="19"/>
      <c r="B3815" s="20"/>
      <c r="C3815" s="63"/>
      <c r="D3815" s="14"/>
    </row>
    <row r="3816" spans="1:4" ht="19.5" thickBot="1" x14ac:dyDescent="0.3">
      <c r="A3816" s="19"/>
      <c r="B3816" s="20"/>
      <c r="C3816" s="48"/>
      <c r="D3816" s="46"/>
    </row>
    <row r="3817" spans="1:4" ht="15.75" thickBot="1" x14ac:dyDescent="0.3">
      <c r="A3817" s="32"/>
      <c r="B3817" s="33"/>
      <c r="C3817" s="32"/>
      <c r="D3817" s="34"/>
    </row>
    <row r="3818" spans="1:4" ht="15.75" thickBot="1" x14ac:dyDescent="0.3">
      <c r="A3818" s="58"/>
      <c r="B3818" s="58"/>
      <c r="C3818" s="58"/>
      <c r="D3818" s="35"/>
    </row>
    <row r="3819" spans="1:4" ht="15.75" x14ac:dyDescent="0.25">
      <c r="A3819" s="285"/>
      <c r="B3819" s="59"/>
      <c r="C3819" s="59"/>
      <c r="D3819" s="60"/>
    </row>
    <row r="3820" spans="1:4" ht="16.5" thickBot="1" x14ac:dyDescent="0.3">
      <c r="A3820" s="286"/>
      <c r="B3820" s="62"/>
      <c r="C3820" s="62"/>
      <c r="D3820" s="61"/>
    </row>
    <row r="3821" spans="1:4" ht="15.75" x14ac:dyDescent="0.25">
      <c r="A3821" s="285"/>
      <c r="B3821" s="59"/>
      <c r="C3821" s="59"/>
      <c r="D3821" s="60"/>
    </row>
    <row r="3822" spans="1:4" ht="16.5" thickBot="1" x14ac:dyDescent="0.3">
      <c r="A3822" s="286"/>
      <c r="B3822" s="62"/>
      <c r="C3822" s="62"/>
      <c r="D3822" s="61"/>
    </row>
    <row r="3823" spans="1:4" ht="16.5" thickBot="1" x14ac:dyDescent="0.3">
      <c r="A3823" s="57"/>
      <c r="B3823" s="36"/>
      <c r="C3823" s="36"/>
      <c r="D3823" s="36"/>
    </row>
    <row r="3824" spans="1:4" ht="15.75" thickBot="1" x14ac:dyDescent="0.3">
      <c r="A3824" s="287"/>
      <c r="B3824" s="288"/>
      <c r="C3824" s="288"/>
      <c r="D3824" s="289"/>
    </row>
    <row r="3825" spans="1:4" ht="18.75" x14ac:dyDescent="0.25">
      <c r="A3825" s="5"/>
      <c r="B3825" s="6"/>
      <c r="C3825" s="7"/>
      <c r="D3825" s="8"/>
    </row>
    <row r="3826" spans="1:4" ht="19.5" thickBot="1" x14ac:dyDescent="0.3">
      <c r="A3826" s="9"/>
      <c r="B3826" s="10"/>
      <c r="C3826" s="10"/>
      <c r="D3826" s="11"/>
    </row>
    <row r="3827" spans="1:4" ht="21.75" thickBot="1" x14ac:dyDescent="0.3">
      <c r="A3827" s="43"/>
      <c r="B3827" s="290"/>
      <c r="C3827" s="291"/>
      <c r="D3827" s="43"/>
    </row>
    <row r="3828" spans="1:4" ht="21.75" thickBot="1" x14ac:dyDescent="0.3">
      <c r="A3828" s="38"/>
      <c r="B3828" s="44"/>
      <c r="C3828" s="45"/>
      <c r="D3828" s="44"/>
    </row>
    <row r="3829" spans="1:4" ht="19.5" thickBot="1" x14ac:dyDescent="0.3">
      <c r="A3829" s="19"/>
      <c r="B3829" s="20"/>
      <c r="C3829" s="63"/>
      <c r="D3829" s="14"/>
    </row>
    <row r="3830" spans="1:4" ht="19.5" thickBot="1" x14ac:dyDescent="0.3">
      <c r="A3830" s="19"/>
      <c r="B3830" s="20"/>
      <c r="C3830" s="63"/>
      <c r="D3830" s="14"/>
    </row>
    <row r="3831" spans="1:4" ht="19.5" thickBot="1" x14ac:dyDescent="0.3">
      <c r="A3831" s="19"/>
      <c r="B3831" s="20"/>
      <c r="C3831" s="48"/>
      <c r="D3831" s="46"/>
    </row>
    <row r="3832" spans="1:4" ht="15.75" thickBot="1" x14ac:dyDescent="0.3">
      <c r="A3832" s="32"/>
      <c r="B3832" s="33"/>
      <c r="C3832" s="32"/>
      <c r="D3832" s="34"/>
    </row>
    <row r="3833" spans="1:4" ht="15.75" thickBot="1" x14ac:dyDescent="0.3">
      <c r="A3833" s="58"/>
      <c r="B3833" s="58"/>
      <c r="C3833" s="58"/>
      <c r="D3833" s="35"/>
    </row>
    <row r="3834" spans="1:4" ht="15.75" x14ac:dyDescent="0.25">
      <c r="A3834" s="285"/>
      <c r="B3834" s="59"/>
      <c r="C3834" s="59"/>
      <c r="D3834" s="60"/>
    </row>
    <row r="3835" spans="1:4" ht="16.5" thickBot="1" x14ac:dyDescent="0.3">
      <c r="A3835" s="286"/>
      <c r="B3835" s="62"/>
      <c r="C3835" s="62"/>
      <c r="D3835" s="61"/>
    </row>
    <row r="3836" spans="1:4" ht="15.75" x14ac:dyDescent="0.25">
      <c r="A3836" s="285"/>
      <c r="B3836" s="59"/>
      <c r="C3836" s="59"/>
      <c r="D3836" s="60"/>
    </row>
    <row r="3837" spans="1:4" ht="16.5" thickBot="1" x14ac:dyDescent="0.3">
      <c r="A3837" s="286"/>
      <c r="B3837" s="62"/>
      <c r="C3837" s="62"/>
      <c r="D3837" s="61"/>
    </row>
    <row r="3838" spans="1:4" ht="16.5" thickBot="1" x14ac:dyDescent="0.3">
      <c r="A3838" s="57"/>
      <c r="B3838" s="36"/>
      <c r="C3838" s="36"/>
      <c r="D3838" s="36"/>
    </row>
    <row r="3839" spans="1:4" ht="15.75" thickBot="1" x14ac:dyDescent="0.3">
      <c r="A3839" s="287"/>
      <c r="B3839" s="288"/>
      <c r="C3839" s="288"/>
      <c r="D3839" s="289"/>
    </row>
    <row r="3840" spans="1:4" ht="18.75" x14ac:dyDescent="0.25">
      <c r="A3840" s="5"/>
      <c r="B3840" s="6"/>
      <c r="C3840" s="7"/>
      <c r="D3840" s="8"/>
    </row>
    <row r="3841" spans="1:4" ht="19.5" thickBot="1" x14ac:dyDescent="0.3">
      <c r="A3841" s="9"/>
      <c r="B3841" s="10"/>
      <c r="C3841" s="10"/>
      <c r="D3841" s="11"/>
    </row>
    <row r="3842" spans="1:4" ht="21.75" thickBot="1" x14ac:dyDescent="0.3">
      <c r="A3842" s="43"/>
      <c r="B3842" s="290"/>
      <c r="C3842" s="291"/>
      <c r="D3842" s="43"/>
    </row>
    <row r="3843" spans="1:4" ht="21.75" thickBot="1" x14ac:dyDescent="0.3">
      <c r="A3843" s="38"/>
      <c r="B3843" s="44"/>
      <c r="C3843" s="45"/>
      <c r="D3843" s="44"/>
    </row>
    <row r="3844" spans="1:4" ht="19.5" thickBot="1" x14ac:dyDescent="0.3">
      <c r="A3844" s="19"/>
      <c r="B3844" s="20"/>
      <c r="C3844" s="63"/>
      <c r="D3844" s="14"/>
    </row>
    <row r="3845" spans="1:4" ht="19.5" thickBot="1" x14ac:dyDescent="0.3">
      <c r="A3845" s="19"/>
      <c r="B3845" s="20"/>
      <c r="C3845" s="48"/>
      <c r="D3845" s="46"/>
    </row>
    <row r="3846" spans="1:4" ht="15.75" thickBot="1" x14ac:dyDescent="0.3">
      <c r="A3846" s="32"/>
      <c r="B3846" s="33"/>
      <c r="C3846" s="32"/>
      <c r="D3846" s="34"/>
    </row>
    <row r="3847" spans="1:4" ht="15.75" thickBot="1" x14ac:dyDescent="0.3">
      <c r="A3847" s="58"/>
      <c r="B3847" s="58"/>
      <c r="C3847" s="58"/>
      <c r="D3847" s="35"/>
    </row>
    <row r="3848" spans="1:4" ht="15.75" x14ac:dyDescent="0.25">
      <c r="A3848" s="285"/>
      <c r="B3848" s="59"/>
      <c r="C3848" s="59"/>
      <c r="D3848" s="60"/>
    </row>
    <row r="3849" spans="1:4" ht="16.5" thickBot="1" x14ac:dyDescent="0.3">
      <c r="A3849" s="286"/>
      <c r="B3849" s="62"/>
      <c r="C3849" s="62"/>
      <c r="D3849" s="61"/>
    </row>
    <row r="3850" spans="1:4" ht="15.75" x14ac:dyDescent="0.25">
      <c r="A3850" s="285"/>
      <c r="B3850" s="59"/>
      <c r="C3850" s="59"/>
      <c r="D3850" s="60"/>
    </row>
    <row r="3851" spans="1:4" ht="16.5" thickBot="1" x14ac:dyDescent="0.3">
      <c r="A3851" s="286"/>
      <c r="B3851" s="62"/>
      <c r="C3851" s="62"/>
      <c r="D3851" s="61"/>
    </row>
    <row r="3852" spans="1:4" ht="16.5" thickBot="1" x14ac:dyDescent="0.3">
      <c r="A3852" s="57"/>
      <c r="B3852" s="36"/>
      <c r="C3852" s="36"/>
      <c r="D3852" s="36"/>
    </row>
    <row r="3853" spans="1:4" ht="15.75" thickBot="1" x14ac:dyDescent="0.3">
      <c r="A3853" s="287"/>
      <c r="B3853" s="288"/>
      <c r="C3853" s="288"/>
      <c r="D3853" s="289"/>
    </row>
    <row r="3854" spans="1:4" ht="18.75" x14ac:dyDescent="0.25">
      <c r="A3854" s="5"/>
      <c r="B3854" s="6"/>
      <c r="C3854" s="7"/>
      <c r="D3854" s="8"/>
    </row>
    <row r="3855" spans="1:4" ht="19.5" thickBot="1" x14ac:dyDescent="0.3">
      <c r="A3855" s="9"/>
      <c r="B3855" s="10"/>
      <c r="C3855" s="10"/>
      <c r="D3855" s="11"/>
    </row>
    <row r="3856" spans="1:4" ht="21.75" thickBot="1" x14ac:dyDescent="0.3">
      <c r="A3856" s="43"/>
      <c r="B3856" s="290"/>
      <c r="C3856" s="291"/>
      <c r="D3856" s="43"/>
    </row>
    <row r="3857" spans="1:4" ht="21.75" thickBot="1" x14ac:dyDescent="0.3">
      <c r="A3857" s="38"/>
      <c r="B3857" s="44"/>
      <c r="C3857" s="45"/>
      <c r="D3857" s="44"/>
    </row>
    <row r="3858" spans="1:4" ht="19.5" thickBot="1" x14ac:dyDescent="0.3">
      <c r="A3858" s="19"/>
      <c r="B3858" s="20"/>
      <c r="C3858" s="63"/>
      <c r="D3858" s="14"/>
    </row>
    <row r="3859" spans="1:4" ht="19.5" thickBot="1" x14ac:dyDescent="0.3">
      <c r="A3859" s="19"/>
      <c r="B3859" s="20"/>
      <c r="C3859" s="63"/>
      <c r="D3859" s="14"/>
    </row>
    <row r="3860" spans="1:4" ht="19.5" thickBot="1" x14ac:dyDescent="0.3">
      <c r="A3860" s="19"/>
      <c r="B3860" s="20"/>
      <c r="C3860" s="48"/>
      <c r="D3860" s="46"/>
    </row>
    <row r="3861" spans="1:4" ht="15.75" thickBot="1" x14ac:dyDescent="0.3">
      <c r="A3861" s="32"/>
      <c r="B3861" s="33"/>
      <c r="C3861" s="32"/>
      <c r="D3861" s="34"/>
    </row>
    <row r="3862" spans="1:4" ht="15.75" thickBot="1" x14ac:dyDescent="0.3">
      <c r="A3862" s="58"/>
      <c r="B3862" s="58"/>
      <c r="C3862" s="58"/>
      <c r="D3862" s="35"/>
    </row>
    <row r="3863" spans="1:4" ht="15.75" x14ac:dyDescent="0.25">
      <c r="A3863" s="285"/>
      <c r="B3863" s="59"/>
      <c r="C3863" s="59"/>
      <c r="D3863" s="60"/>
    </row>
    <row r="3864" spans="1:4" ht="16.5" thickBot="1" x14ac:dyDescent="0.3">
      <c r="A3864" s="286"/>
      <c r="B3864" s="62"/>
      <c r="C3864" s="62"/>
      <c r="D3864" s="61"/>
    </row>
    <row r="3865" spans="1:4" ht="15.75" x14ac:dyDescent="0.25">
      <c r="A3865" s="285"/>
      <c r="B3865" s="59"/>
      <c r="C3865" s="59"/>
      <c r="D3865" s="60"/>
    </row>
    <row r="3866" spans="1:4" ht="16.5" thickBot="1" x14ac:dyDescent="0.3">
      <c r="A3866" s="286"/>
      <c r="B3866" s="62"/>
      <c r="C3866" s="62"/>
      <c r="D3866" s="61"/>
    </row>
    <row r="3867" spans="1:4" ht="16.5" thickBot="1" x14ac:dyDescent="0.3">
      <c r="A3867" s="57"/>
      <c r="B3867" s="36"/>
      <c r="C3867" s="36"/>
      <c r="D3867" s="36"/>
    </row>
    <row r="3868" spans="1:4" ht="15.75" thickBot="1" x14ac:dyDescent="0.3">
      <c r="A3868" s="287"/>
      <c r="B3868" s="288"/>
      <c r="C3868" s="288"/>
      <c r="D3868" s="289"/>
    </row>
    <row r="3869" spans="1:4" ht="18.75" x14ac:dyDescent="0.25">
      <c r="A3869" s="5"/>
      <c r="B3869" s="6"/>
      <c r="C3869" s="7"/>
      <c r="D3869" s="8"/>
    </row>
    <row r="3870" spans="1:4" ht="19.5" thickBot="1" x14ac:dyDescent="0.3">
      <c r="A3870" s="9"/>
      <c r="B3870" s="10"/>
      <c r="C3870" s="10"/>
      <c r="D3870" s="11"/>
    </row>
    <row r="3871" spans="1:4" ht="21.75" thickBot="1" x14ac:dyDescent="0.3">
      <c r="A3871" s="43"/>
      <c r="B3871" s="290"/>
      <c r="C3871" s="291"/>
      <c r="D3871" s="43"/>
    </row>
    <row r="3872" spans="1:4" ht="21.75" thickBot="1" x14ac:dyDescent="0.3">
      <c r="A3872" s="38"/>
      <c r="B3872" s="44"/>
      <c r="C3872" s="45"/>
      <c r="D3872" s="44"/>
    </row>
    <row r="3873" spans="1:4" ht="19.5" thickBot="1" x14ac:dyDescent="0.3">
      <c r="A3873" s="19"/>
      <c r="B3873" s="20"/>
      <c r="C3873" s="63"/>
      <c r="D3873" s="14"/>
    </row>
    <row r="3874" spans="1:4" ht="19.5" thickBot="1" x14ac:dyDescent="0.3">
      <c r="A3874" s="19"/>
      <c r="B3874" s="20"/>
      <c r="C3874" s="48"/>
      <c r="D3874" s="46"/>
    </row>
    <row r="3875" spans="1:4" ht="15.75" thickBot="1" x14ac:dyDescent="0.3">
      <c r="A3875" s="32"/>
      <c r="B3875" s="33"/>
      <c r="C3875" s="32"/>
      <c r="D3875" s="34"/>
    </row>
    <row r="3876" spans="1:4" ht="15.75" thickBot="1" x14ac:dyDescent="0.3">
      <c r="A3876" s="58"/>
      <c r="B3876" s="58"/>
      <c r="C3876" s="58"/>
      <c r="D3876" s="35"/>
    </row>
    <row r="3877" spans="1:4" ht="15.75" x14ac:dyDescent="0.25">
      <c r="A3877" s="285"/>
      <c r="B3877" s="59"/>
      <c r="C3877" s="59"/>
      <c r="D3877" s="60"/>
    </row>
    <row r="3878" spans="1:4" ht="16.5" thickBot="1" x14ac:dyDescent="0.3">
      <c r="A3878" s="286"/>
      <c r="B3878" s="62"/>
      <c r="C3878" s="62"/>
      <c r="D3878" s="61"/>
    </row>
    <row r="3879" spans="1:4" ht="15.75" x14ac:dyDescent="0.25">
      <c r="A3879" s="285"/>
      <c r="B3879" s="59"/>
      <c r="C3879" s="59"/>
      <c r="D3879" s="60"/>
    </row>
    <row r="3880" spans="1:4" ht="16.5" thickBot="1" x14ac:dyDescent="0.3">
      <c r="A3880" s="286"/>
      <c r="B3880" s="62"/>
      <c r="C3880" s="62"/>
      <c r="D3880" s="61"/>
    </row>
    <row r="3881" spans="1:4" ht="16.5" thickBot="1" x14ac:dyDescent="0.3">
      <c r="A3881" s="57"/>
      <c r="B3881" s="36"/>
      <c r="C3881" s="36"/>
      <c r="D3881" s="36"/>
    </row>
    <row r="3882" spans="1:4" ht="15.75" thickBot="1" x14ac:dyDescent="0.3">
      <c r="A3882" s="287"/>
      <c r="B3882" s="288"/>
      <c r="C3882" s="288"/>
      <c r="D3882" s="289"/>
    </row>
    <row r="3883" spans="1:4" ht="18.75" x14ac:dyDescent="0.25">
      <c r="A3883" s="5"/>
      <c r="B3883" s="6"/>
      <c r="C3883" s="7"/>
      <c r="D3883" s="8"/>
    </row>
    <row r="3884" spans="1:4" ht="19.5" thickBot="1" x14ac:dyDescent="0.3">
      <c r="A3884" s="9"/>
      <c r="B3884" s="10"/>
      <c r="C3884" s="10"/>
      <c r="D3884" s="11"/>
    </row>
    <row r="3885" spans="1:4" ht="21.75" thickBot="1" x14ac:dyDescent="0.3">
      <c r="A3885" s="43"/>
      <c r="B3885" s="290"/>
      <c r="C3885" s="291"/>
      <c r="D3885" s="43"/>
    </row>
    <row r="3886" spans="1:4" ht="21.75" thickBot="1" x14ac:dyDescent="0.3">
      <c r="A3886" s="38"/>
      <c r="B3886" s="44"/>
      <c r="C3886" s="45"/>
      <c r="D3886" s="44"/>
    </row>
    <row r="3887" spans="1:4" ht="19.5" thickBot="1" x14ac:dyDescent="0.3">
      <c r="A3887" s="19"/>
      <c r="B3887" s="20"/>
      <c r="C3887" s="63"/>
      <c r="D3887" s="14"/>
    </row>
    <row r="3888" spans="1:4" ht="19.5" thickBot="1" x14ac:dyDescent="0.3">
      <c r="A3888" s="19"/>
      <c r="B3888" s="20"/>
      <c r="C3888" s="63"/>
      <c r="D3888" s="14"/>
    </row>
    <row r="3889" spans="1:4" ht="19.5" thickBot="1" x14ac:dyDescent="0.3">
      <c r="A3889" s="19"/>
      <c r="B3889" s="20"/>
      <c r="C3889" s="48"/>
      <c r="D3889" s="46"/>
    </row>
    <row r="3890" spans="1:4" ht="15.75" thickBot="1" x14ac:dyDescent="0.3">
      <c r="A3890" s="32"/>
      <c r="B3890" s="33"/>
      <c r="C3890" s="32"/>
      <c r="D3890" s="34"/>
    </row>
    <row r="3891" spans="1:4" ht="15.75" thickBot="1" x14ac:dyDescent="0.3">
      <c r="A3891" s="58"/>
      <c r="B3891" s="58"/>
      <c r="C3891" s="58"/>
      <c r="D3891" s="35"/>
    </row>
    <row r="3892" spans="1:4" ht="15.75" x14ac:dyDescent="0.25">
      <c r="A3892" s="285"/>
      <c r="B3892" s="59"/>
      <c r="C3892" s="59"/>
      <c r="D3892" s="60"/>
    </row>
    <row r="3893" spans="1:4" ht="16.5" thickBot="1" x14ac:dyDescent="0.3">
      <c r="A3893" s="286"/>
      <c r="B3893" s="62"/>
      <c r="C3893" s="62"/>
      <c r="D3893" s="61"/>
    </row>
    <row r="3894" spans="1:4" ht="15.75" x14ac:dyDescent="0.25">
      <c r="A3894" s="285"/>
      <c r="B3894" s="59"/>
      <c r="C3894" s="59"/>
      <c r="D3894" s="60"/>
    </row>
    <row r="3895" spans="1:4" ht="16.5" thickBot="1" x14ac:dyDescent="0.3">
      <c r="A3895" s="286"/>
      <c r="B3895" s="62"/>
      <c r="C3895" s="62"/>
      <c r="D3895" s="61"/>
    </row>
    <row r="3896" spans="1:4" ht="16.5" thickBot="1" x14ac:dyDescent="0.3">
      <c r="A3896" s="57"/>
      <c r="B3896" s="36"/>
      <c r="C3896" s="36"/>
      <c r="D3896" s="36"/>
    </row>
    <row r="3897" spans="1:4" ht="15.75" thickBot="1" x14ac:dyDescent="0.3">
      <c r="A3897" s="287"/>
      <c r="B3897" s="288"/>
      <c r="C3897" s="288"/>
      <c r="D3897" s="289"/>
    </row>
    <row r="3898" spans="1:4" ht="18.75" x14ac:dyDescent="0.25">
      <c r="A3898" s="5"/>
      <c r="B3898" s="6"/>
      <c r="C3898" s="7"/>
      <c r="D3898" s="8"/>
    </row>
    <row r="3899" spans="1:4" ht="19.5" thickBot="1" x14ac:dyDescent="0.3">
      <c r="A3899" s="9"/>
      <c r="B3899" s="10"/>
      <c r="C3899" s="10"/>
      <c r="D3899" s="11"/>
    </row>
    <row r="3900" spans="1:4" ht="21.75" thickBot="1" x14ac:dyDescent="0.3">
      <c r="A3900" s="43"/>
      <c r="B3900" s="290"/>
      <c r="C3900" s="291"/>
      <c r="D3900" s="43"/>
    </row>
    <row r="3901" spans="1:4" ht="21.75" thickBot="1" x14ac:dyDescent="0.3">
      <c r="A3901" s="38"/>
      <c r="B3901" s="44"/>
      <c r="C3901" s="45"/>
      <c r="D3901" s="44"/>
    </row>
    <row r="3902" spans="1:4" ht="19.5" thickBot="1" x14ac:dyDescent="0.3">
      <c r="A3902" s="19"/>
      <c r="B3902" s="20"/>
      <c r="C3902" s="63"/>
      <c r="D3902" s="14"/>
    </row>
    <row r="3903" spans="1:4" ht="19.5" thickBot="1" x14ac:dyDescent="0.3">
      <c r="A3903" s="19"/>
      <c r="B3903" s="20"/>
      <c r="C3903" s="48"/>
      <c r="D3903" s="46"/>
    </row>
    <row r="3904" spans="1:4" ht="15.75" thickBot="1" x14ac:dyDescent="0.3">
      <c r="A3904" s="32"/>
      <c r="B3904" s="33"/>
      <c r="C3904" s="32"/>
      <c r="D3904" s="34"/>
    </row>
    <row r="3905" spans="1:4" ht="15.75" thickBot="1" x14ac:dyDescent="0.3">
      <c r="A3905" s="58"/>
      <c r="B3905" s="58"/>
      <c r="C3905" s="58"/>
      <c r="D3905" s="35"/>
    </row>
    <row r="3906" spans="1:4" ht="15.75" x14ac:dyDescent="0.25">
      <c r="A3906" s="285"/>
      <c r="B3906" s="59"/>
      <c r="C3906" s="59"/>
      <c r="D3906" s="60"/>
    </row>
    <row r="3907" spans="1:4" ht="16.5" thickBot="1" x14ac:dyDescent="0.3">
      <c r="A3907" s="286"/>
      <c r="B3907" s="62"/>
      <c r="C3907" s="62"/>
      <c r="D3907" s="61"/>
    </row>
    <row r="3908" spans="1:4" ht="15.75" x14ac:dyDescent="0.25">
      <c r="A3908" s="285"/>
      <c r="B3908" s="59"/>
      <c r="C3908" s="59"/>
      <c r="D3908" s="60"/>
    </row>
    <row r="3909" spans="1:4" ht="16.5" thickBot="1" x14ac:dyDescent="0.3">
      <c r="A3909" s="286"/>
      <c r="B3909" s="62"/>
      <c r="C3909" s="62"/>
      <c r="D3909" s="61"/>
    </row>
    <row r="3910" spans="1:4" ht="16.5" thickBot="1" x14ac:dyDescent="0.3">
      <c r="A3910" s="57"/>
      <c r="B3910" s="36"/>
      <c r="C3910" s="36"/>
      <c r="D3910" s="36"/>
    </row>
    <row r="3911" spans="1:4" ht="15.75" thickBot="1" x14ac:dyDescent="0.3">
      <c r="A3911" s="287"/>
      <c r="B3911" s="288"/>
      <c r="C3911" s="288"/>
      <c r="D3911" s="289"/>
    </row>
    <row r="3912" spans="1:4" ht="18.75" x14ac:dyDescent="0.25">
      <c r="A3912" s="5"/>
      <c r="B3912" s="6"/>
      <c r="C3912" s="7"/>
      <c r="D3912" s="8"/>
    </row>
    <row r="3913" spans="1:4" ht="19.5" thickBot="1" x14ac:dyDescent="0.3">
      <c r="A3913" s="9"/>
      <c r="B3913" s="10"/>
      <c r="C3913" s="10"/>
      <c r="D3913" s="11"/>
    </row>
    <row r="3914" spans="1:4" ht="21.75" thickBot="1" x14ac:dyDescent="0.3">
      <c r="A3914" s="43"/>
      <c r="B3914" s="290"/>
      <c r="C3914" s="291"/>
      <c r="D3914" s="43"/>
    </row>
    <row r="3915" spans="1:4" ht="21.75" thickBot="1" x14ac:dyDescent="0.3">
      <c r="A3915" s="38"/>
      <c r="B3915" s="44"/>
      <c r="C3915" s="45"/>
      <c r="D3915" s="44"/>
    </row>
    <row r="3916" spans="1:4" ht="19.5" thickBot="1" x14ac:dyDescent="0.3">
      <c r="A3916" s="19"/>
      <c r="B3916" s="20"/>
      <c r="C3916" s="63"/>
      <c r="D3916" s="14"/>
    </row>
    <row r="3917" spans="1:4" ht="19.5" thickBot="1" x14ac:dyDescent="0.3">
      <c r="A3917" s="19"/>
      <c r="B3917" s="20"/>
      <c r="C3917" s="63"/>
      <c r="D3917" s="14"/>
    </row>
    <row r="3918" spans="1:4" ht="19.5" thickBot="1" x14ac:dyDescent="0.3">
      <c r="A3918" s="19"/>
      <c r="B3918" s="20"/>
      <c r="C3918" s="48"/>
      <c r="D3918" s="46"/>
    </row>
    <row r="3919" spans="1:4" ht="15.75" thickBot="1" x14ac:dyDescent="0.3">
      <c r="A3919" s="32"/>
      <c r="B3919" s="33"/>
      <c r="C3919" s="32"/>
      <c r="D3919" s="34"/>
    </row>
    <row r="3920" spans="1:4" ht="15.75" thickBot="1" x14ac:dyDescent="0.3">
      <c r="A3920" s="58"/>
      <c r="B3920" s="58"/>
      <c r="C3920" s="58"/>
      <c r="D3920" s="35"/>
    </row>
    <row r="3921" spans="1:4" ht="15.75" x14ac:dyDescent="0.25">
      <c r="A3921" s="285"/>
      <c r="B3921" s="59"/>
      <c r="C3921" s="59"/>
      <c r="D3921" s="60"/>
    </row>
    <row r="3922" spans="1:4" ht="16.5" thickBot="1" x14ac:dyDescent="0.3">
      <c r="A3922" s="286"/>
      <c r="B3922" s="62"/>
      <c r="C3922" s="62"/>
      <c r="D3922" s="61"/>
    </row>
    <row r="3923" spans="1:4" ht="15.75" x14ac:dyDescent="0.25">
      <c r="A3923" s="285"/>
      <c r="B3923" s="59"/>
      <c r="C3923" s="59"/>
      <c r="D3923" s="60"/>
    </row>
    <row r="3924" spans="1:4" ht="16.5" thickBot="1" x14ac:dyDescent="0.3">
      <c r="A3924" s="286"/>
      <c r="B3924" s="62"/>
      <c r="C3924" s="62"/>
      <c r="D3924" s="61"/>
    </row>
    <row r="3925" spans="1:4" ht="16.5" thickBot="1" x14ac:dyDescent="0.3">
      <c r="A3925" s="57"/>
      <c r="B3925" s="36"/>
      <c r="C3925" s="36"/>
      <c r="D3925" s="36"/>
    </row>
    <row r="3926" spans="1:4" ht="15.75" thickBot="1" x14ac:dyDescent="0.3">
      <c r="A3926" s="287"/>
      <c r="B3926" s="288"/>
      <c r="C3926" s="288"/>
      <c r="D3926" s="289"/>
    </row>
    <row r="3927" spans="1:4" ht="18.75" x14ac:dyDescent="0.25">
      <c r="A3927" s="5"/>
      <c r="B3927" s="6"/>
      <c r="C3927" s="7"/>
      <c r="D3927" s="8"/>
    </row>
    <row r="3928" spans="1:4" ht="19.5" thickBot="1" x14ac:dyDescent="0.3">
      <c r="A3928" s="9"/>
      <c r="B3928" s="10"/>
      <c r="C3928" s="10"/>
      <c r="D3928" s="11"/>
    </row>
    <row r="3929" spans="1:4" ht="21.75" thickBot="1" x14ac:dyDescent="0.3">
      <c r="A3929" s="43"/>
      <c r="B3929" s="290"/>
      <c r="C3929" s="291"/>
      <c r="D3929" s="43"/>
    </row>
    <row r="3930" spans="1:4" ht="21.75" thickBot="1" x14ac:dyDescent="0.3">
      <c r="A3930" s="38"/>
      <c r="B3930" s="44"/>
      <c r="C3930" s="45"/>
      <c r="D3930" s="44"/>
    </row>
    <row r="3931" spans="1:4" ht="19.5" thickBot="1" x14ac:dyDescent="0.3">
      <c r="A3931" s="19"/>
      <c r="B3931" s="20"/>
      <c r="C3931" s="63"/>
      <c r="D3931" s="14"/>
    </row>
    <row r="3932" spans="1:4" ht="19.5" thickBot="1" x14ac:dyDescent="0.3">
      <c r="A3932" s="19"/>
      <c r="B3932" s="20"/>
      <c r="C3932" s="48"/>
      <c r="D3932" s="46"/>
    </row>
    <row r="3933" spans="1:4" ht="15.75" thickBot="1" x14ac:dyDescent="0.3">
      <c r="A3933" s="32"/>
      <c r="B3933" s="33"/>
      <c r="C3933" s="32"/>
      <c r="D3933" s="34"/>
    </row>
    <row r="3934" spans="1:4" ht="15.75" thickBot="1" x14ac:dyDescent="0.3">
      <c r="A3934" s="58"/>
      <c r="B3934" s="58"/>
      <c r="C3934" s="58"/>
      <c r="D3934" s="35"/>
    </row>
    <row r="3935" spans="1:4" ht="15.75" x14ac:dyDescent="0.25">
      <c r="A3935" s="285"/>
      <c r="B3935" s="59"/>
      <c r="C3935" s="59"/>
      <c r="D3935" s="60"/>
    </row>
    <row r="3936" spans="1:4" ht="16.5" thickBot="1" x14ac:dyDescent="0.3">
      <c r="A3936" s="286"/>
      <c r="B3936" s="62"/>
      <c r="C3936" s="62"/>
      <c r="D3936" s="61"/>
    </row>
    <row r="3937" spans="1:4" ht="15.75" x14ac:dyDescent="0.25">
      <c r="A3937" s="285"/>
      <c r="B3937" s="59"/>
      <c r="C3937" s="59"/>
      <c r="D3937" s="60"/>
    </row>
    <row r="3938" spans="1:4" ht="16.5" thickBot="1" x14ac:dyDescent="0.3">
      <c r="A3938" s="286"/>
      <c r="B3938" s="62"/>
      <c r="C3938" s="62"/>
      <c r="D3938" s="61"/>
    </row>
    <row r="3939" spans="1:4" ht="16.5" thickBot="1" x14ac:dyDescent="0.3">
      <c r="A3939" s="57"/>
      <c r="B3939" s="36"/>
      <c r="C3939" s="36"/>
      <c r="D3939" s="36"/>
    </row>
    <row r="3940" spans="1:4" ht="15.75" thickBot="1" x14ac:dyDescent="0.3">
      <c r="A3940" s="287"/>
      <c r="B3940" s="288"/>
      <c r="C3940" s="288"/>
      <c r="D3940" s="289"/>
    </row>
    <row r="3941" spans="1:4" ht="18.75" x14ac:dyDescent="0.25">
      <c r="A3941" s="5"/>
      <c r="B3941" s="6"/>
      <c r="C3941" s="7"/>
      <c r="D3941" s="8"/>
    </row>
    <row r="3942" spans="1:4" ht="19.5" thickBot="1" x14ac:dyDescent="0.3">
      <c r="A3942" s="9"/>
      <c r="B3942" s="10"/>
      <c r="C3942" s="10"/>
      <c r="D3942" s="11"/>
    </row>
    <row r="3943" spans="1:4" ht="21.75" thickBot="1" x14ac:dyDescent="0.3">
      <c r="A3943" s="43"/>
      <c r="B3943" s="290"/>
      <c r="C3943" s="291"/>
      <c r="D3943" s="43"/>
    </row>
    <row r="3944" spans="1:4" ht="21.75" thickBot="1" x14ac:dyDescent="0.3">
      <c r="A3944" s="38"/>
      <c r="B3944" s="44"/>
      <c r="C3944" s="45"/>
      <c r="D3944" s="44"/>
    </row>
    <row r="3945" spans="1:4" ht="19.5" thickBot="1" x14ac:dyDescent="0.3">
      <c r="A3945" s="19"/>
      <c r="B3945" s="20"/>
      <c r="C3945" s="63"/>
      <c r="D3945" s="14"/>
    </row>
    <row r="3946" spans="1:4" ht="19.5" thickBot="1" x14ac:dyDescent="0.3">
      <c r="A3946" s="19"/>
      <c r="B3946" s="20"/>
      <c r="C3946" s="63"/>
      <c r="D3946" s="14"/>
    </row>
    <row r="3947" spans="1:4" ht="19.5" thickBot="1" x14ac:dyDescent="0.3">
      <c r="A3947" s="19"/>
      <c r="B3947" s="20"/>
      <c r="C3947" s="48"/>
      <c r="D3947" s="46"/>
    </row>
    <row r="3948" spans="1:4" ht="15.75" thickBot="1" x14ac:dyDescent="0.3">
      <c r="A3948" s="32"/>
      <c r="B3948" s="33"/>
      <c r="C3948" s="32"/>
      <c r="D3948" s="34"/>
    </row>
    <row r="3949" spans="1:4" ht="15.75" thickBot="1" x14ac:dyDescent="0.3">
      <c r="A3949" s="58"/>
      <c r="B3949" s="58"/>
      <c r="C3949" s="58"/>
      <c r="D3949" s="35"/>
    </row>
    <row r="3950" spans="1:4" ht="15.75" x14ac:dyDescent="0.25">
      <c r="A3950" s="285"/>
      <c r="B3950" s="59"/>
      <c r="C3950" s="59"/>
      <c r="D3950" s="60"/>
    </row>
    <row r="3951" spans="1:4" ht="16.5" thickBot="1" x14ac:dyDescent="0.3">
      <c r="A3951" s="286"/>
      <c r="B3951" s="62"/>
      <c r="C3951" s="62"/>
      <c r="D3951" s="61"/>
    </row>
    <row r="3952" spans="1:4" ht="15.75" x14ac:dyDescent="0.25">
      <c r="A3952" s="285"/>
      <c r="B3952" s="59"/>
      <c r="C3952" s="59"/>
      <c r="D3952" s="60"/>
    </row>
    <row r="3953" spans="1:4" ht="16.5" thickBot="1" x14ac:dyDescent="0.3">
      <c r="A3953" s="286"/>
      <c r="B3953" s="62"/>
      <c r="C3953" s="62"/>
      <c r="D3953" s="61"/>
    </row>
    <row r="3954" spans="1:4" ht="16.5" thickBot="1" x14ac:dyDescent="0.3">
      <c r="A3954" s="57"/>
      <c r="B3954" s="36"/>
      <c r="C3954" s="36"/>
      <c r="D3954" s="36"/>
    </row>
    <row r="3955" spans="1:4" ht="15.75" thickBot="1" x14ac:dyDescent="0.3">
      <c r="A3955" s="287"/>
      <c r="B3955" s="288"/>
      <c r="C3955" s="288"/>
      <c r="D3955" s="289"/>
    </row>
    <row r="3956" spans="1:4" ht="18.75" x14ac:dyDescent="0.25">
      <c r="A3956" s="5"/>
      <c r="B3956" s="6"/>
      <c r="C3956" s="7"/>
      <c r="D3956" s="8"/>
    </row>
    <row r="3957" spans="1:4" ht="19.5" thickBot="1" x14ac:dyDescent="0.3">
      <c r="A3957" s="9"/>
      <c r="B3957" s="10"/>
      <c r="C3957" s="10"/>
      <c r="D3957" s="11"/>
    </row>
    <row r="3958" spans="1:4" ht="21.75" thickBot="1" x14ac:dyDescent="0.3">
      <c r="A3958" s="43"/>
      <c r="B3958" s="290"/>
      <c r="C3958" s="291"/>
      <c r="D3958" s="43"/>
    </row>
    <row r="3959" spans="1:4" ht="21.75" thickBot="1" x14ac:dyDescent="0.3">
      <c r="A3959" s="38"/>
      <c r="B3959" s="44"/>
      <c r="C3959" s="45"/>
      <c r="D3959" s="44"/>
    </row>
    <row r="3960" spans="1:4" ht="19.5" thickBot="1" x14ac:dyDescent="0.3">
      <c r="A3960" s="19"/>
      <c r="B3960" s="20"/>
      <c r="C3960" s="63"/>
      <c r="D3960" s="14"/>
    </row>
    <row r="3961" spans="1:4" ht="19.5" thickBot="1" x14ac:dyDescent="0.3">
      <c r="A3961" s="19"/>
      <c r="B3961" s="20"/>
      <c r="C3961" s="48"/>
      <c r="D3961" s="46"/>
    </row>
    <row r="3962" spans="1:4" ht="15.75" thickBot="1" x14ac:dyDescent="0.3">
      <c r="A3962" s="32"/>
      <c r="B3962" s="33"/>
      <c r="C3962" s="32"/>
      <c r="D3962" s="34"/>
    </row>
    <row r="3963" spans="1:4" ht="15.75" thickBot="1" x14ac:dyDescent="0.3">
      <c r="A3963" s="58"/>
      <c r="B3963" s="58"/>
      <c r="C3963" s="58"/>
      <c r="D3963" s="35"/>
    </row>
    <row r="3964" spans="1:4" ht="15.75" x14ac:dyDescent="0.25">
      <c r="A3964" s="285"/>
      <c r="B3964" s="59"/>
      <c r="C3964" s="59"/>
      <c r="D3964" s="60"/>
    </row>
    <row r="3965" spans="1:4" ht="16.5" thickBot="1" x14ac:dyDescent="0.3">
      <c r="A3965" s="286"/>
      <c r="B3965" s="62"/>
      <c r="C3965" s="62"/>
      <c r="D3965" s="61"/>
    </row>
    <row r="3966" spans="1:4" ht="15.75" x14ac:dyDescent="0.25">
      <c r="A3966" s="285"/>
      <c r="B3966" s="59"/>
      <c r="C3966" s="59"/>
      <c r="D3966" s="60"/>
    </row>
    <row r="3967" spans="1:4" ht="16.5" thickBot="1" x14ac:dyDescent="0.3">
      <c r="A3967" s="286"/>
      <c r="B3967" s="62"/>
      <c r="C3967" s="62"/>
      <c r="D3967" s="61"/>
    </row>
    <row r="3968" spans="1:4" ht="16.5" thickBot="1" x14ac:dyDescent="0.3">
      <c r="A3968" s="57"/>
      <c r="B3968" s="36"/>
      <c r="C3968" s="36"/>
      <c r="D3968" s="36"/>
    </row>
    <row r="3969" spans="1:4" ht="15.75" thickBot="1" x14ac:dyDescent="0.3">
      <c r="A3969" s="287"/>
      <c r="B3969" s="288"/>
      <c r="C3969" s="288"/>
      <c r="D3969" s="289"/>
    </row>
    <row r="3970" spans="1:4" ht="18.75" x14ac:dyDescent="0.25">
      <c r="A3970" s="5"/>
      <c r="B3970" s="6"/>
      <c r="C3970" s="7"/>
      <c r="D3970" s="8"/>
    </row>
    <row r="3971" spans="1:4" ht="19.5" thickBot="1" x14ac:dyDescent="0.3">
      <c r="A3971" s="9"/>
      <c r="B3971" s="10"/>
      <c r="C3971" s="10"/>
      <c r="D3971" s="11"/>
    </row>
    <row r="3972" spans="1:4" ht="21.75" thickBot="1" x14ac:dyDescent="0.3">
      <c r="A3972" s="43"/>
      <c r="B3972" s="290"/>
      <c r="C3972" s="291"/>
      <c r="D3972" s="43"/>
    </row>
    <row r="3973" spans="1:4" ht="21.75" thickBot="1" x14ac:dyDescent="0.3">
      <c r="A3973" s="38"/>
      <c r="B3973" s="44"/>
      <c r="C3973" s="45"/>
      <c r="D3973" s="44"/>
    </row>
    <row r="3974" spans="1:4" ht="19.5" thickBot="1" x14ac:dyDescent="0.3">
      <c r="A3974" s="19"/>
      <c r="B3974" s="20"/>
      <c r="C3974" s="63"/>
      <c r="D3974" s="14"/>
    </row>
    <row r="3975" spans="1:4" ht="19.5" thickBot="1" x14ac:dyDescent="0.3">
      <c r="A3975" s="19"/>
      <c r="B3975" s="20"/>
      <c r="C3975" s="63"/>
      <c r="D3975" s="14"/>
    </row>
    <row r="3976" spans="1:4" ht="19.5" thickBot="1" x14ac:dyDescent="0.3">
      <c r="A3976" s="19"/>
      <c r="B3976" s="20"/>
      <c r="C3976" s="48"/>
      <c r="D3976" s="46"/>
    </row>
    <row r="3977" spans="1:4" ht="15.75" thickBot="1" x14ac:dyDescent="0.3">
      <c r="A3977" s="32"/>
      <c r="B3977" s="33"/>
      <c r="C3977" s="32"/>
      <c r="D3977" s="34"/>
    </row>
    <row r="3978" spans="1:4" ht="15.75" thickBot="1" x14ac:dyDescent="0.3">
      <c r="A3978" s="58"/>
      <c r="B3978" s="58"/>
      <c r="C3978" s="58"/>
      <c r="D3978" s="35"/>
    </row>
    <row r="3979" spans="1:4" ht="15.75" x14ac:dyDescent="0.25">
      <c r="A3979" s="285"/>
      <c r="B3979" s="59"/>
      <c r="C3979" s="59"/>
      <c r="D3979" s="60"/>
    </row>
    <row r="3980" spans="1:4" ht="16.5" thickBot="1" x14ac:dyDescent="0.3">
      <c r="A3980" s="286"/>
      <c r="B3980" s="62"/>
      <c r="C3980" s="62"/>
      <c r="D3980" s="61"/>
    </row>
    <row r="3981" spans="1:4" ht="15.75" x14ac:dyDescent="0.25">
      <c r="A3981" s="285"/>
      <c r="B3981" s="59"/>
      <c r="C3981" s="59"/>
      <c r="D3981" s="60"/>
    </row>
    <row r="3982" spans="1:4" ht="16.5" thickBot="1" x14ac:dyDescent="0.3">
      <c r="A3982" s="286"/>
      <c r="B3982" s="62"/>
      <c r="C3982" s="62"/>
      <c r="D3982" s="61"/>
    </row>
    <row r="3983" spans="1:4" ht="16.5" thickBot="1" x14ac:dyDescent="0.3">
      <c r="A3983" s="57"/>
      <c r="B3983" s="36"/>
      <c r="C3983" s="36"/>
      <c r="D3983" s="36"/>
    </row>
    <row r="3984" spans="1:4" ht="15.75" thickBot="1" x14ac:dyDescent="0.3">
      <c r="A3984" s="287"/>
      <c r="B3984" s="288"/>
      <c r="C3984" s="288"/>
      <c r="D3984" s="289"/>
    </row>
    <row r="3985" spans="1:4" ht="18.75" x14ac:dyDescent="0.25">
      <c r="A3985" s="5"/>
      <c r="B3985" s="6"/>
      <c r="C3985" s="7"/>
      <c r="D3985" s="8"/>
    </row>
    <row r="3986" spans="1:4" ht="19.5" thickBot="1" x14ac:dyDescent="0.3">
      <c r="A3986" s="9"/>
      <c r="B3986" s="10"/>
      <c r="C3986" s="10"/>
      <c r="D3986" s="11"/>
    </row>
    <row r="3987" spans="1:4" ht="21.75" thickBot="1" x14ac:dyDescent="0.3">
      <c r="A3987" s="43"/>
      <c r="B3987" s="290"/>
      <c r="C3987" s="291"/>
      <c r="D3987" s="43"/>
    </row>
    <row r="3988" spans="1:4" ht="21.75" thickBot="1" x14ac:dyDescent="0.3">
      <c r="A3988" s="38"/>
      <c r="B3988" s="44"/>
      <c r="C3988" s="45"/>
      <c r="D3988" s="44"/>
    </row>
    <row r="3989" spans="1:4" ht="19.5" thickBot="1" x14ac:dyDescent="0.3">
      <c r="A3989" s="19"/>
      <c r="B3989" s="20"/>
      <c r="C3989" s="63"/>
      <c r="D3989" s="14"/>
    </row>
    <row r="3990" spans="1:4" ht="19.5" thickBot="1" x14ac:dyDescent="0.3">
      <c r="A3990" s="19"/>
      <c r="B3990" s="20"/>
      <c r="C3990" s="48"/>
      <c r="D3990" s="46"/>
    </row>
    <row r="3991" spans="1:4" ht="15.75" thickBot="1" x14ac:dyDescent="0.3">
      <c r="A3991" s="32"/>
      <c r="B3991" s="33"/>
      <c r="C3991" s="32"/>
      <c r="D3991" s="34"/>
    </row>
    <row r="3992" spans="1:4" ht="15.75" thickBot="1" x14ac:dyDescent="0.3">
      <c r="A3992" s="58"/>
      <c r="B3992" s="58"/>
      <c r="C3992" s="58"/>
      <c r="D3992" s="35"/>
    </row>
    <row r="3993" spans="1:4" ht="15.75" x14ac:dyDescent="0.25">
      <c r="A3993" s="285"/>
      <c r="B3993" s="59"/>
      <c r="C3993" s="59"/>
      <c r="D3993" s="60"/>
    </row>
    <row r="3994" spans="1:4" ht="16.5" thickBot="1" x14ac:dyDescent="0.3">
      <c r="A3994" s="286"/>
      <c r="B3994" s="62"/>
      <c r="C3994" s="62"/>
      <c r="D3994" s="61"/>
    </row>
    <row r="3995" spans="1:4" ht="15.75" x14ac:dyDescent="0.25">
      <c r="A3995" s="285"/>
      <c r="B3995" s="59"/>
      <c r="C3995" s="59"/>
      <c r="D3995" s="60"/>
    </row>
    <row r="3996" spans="1:4" ht="16.5" thickBot="1" x14ac:dyDescent="0.3">
      <c r="A3996" s="286"/>
      <c r="B3996" s="62"/>
      <c r="C3996" s="62"/>
      <c r="D3996" s="61"/>
    </row>
    <row r="3997" spans="1:4" ht="16.5" thickBot="1" x14ac:dyDescent="0.3">
      <c r="A3997" s="57"/>
      <c r="B3997" s="36"/>
      <c r="C3997" s="36"/>
      <c r="D3997" s="36"/>
    </row>
    <row r="3998" spans="1:4" ht="15.75" thickBot="1" x14ac:dyDescent="0.3">
      <c r="A3998" s="287"/>
      <c r="B3998" s="288"/>
      <c r="C3998" s="288"/>
      <c r="D3998" s="289"/>
    </row>
    <row r="3999" spans="1:4" ht="18.75" x14ac:dyDescent="0.25">
      <c r="A3999" s="5"/>
      <c r="B3999" s="6"/>
      <c r="C3999" s="7"/>
      <c r="D3999" s="8"/>
    </row>
    <row r="4000" spans="1:4" ht="19.5" thickBot="1" x14ac:dyDescent="0.3">
      <c r="A4000" s="9"/>
      <c r="B4000" s="10"/>
      <c r="C4000" s="10"/>
      <c r="D4000" s="11"/>
    </row>
    <row r="4001" spans="1:4" ht="21.75" thickBot="1" x14ac:dyDescent="0.3">
      <c r="A4001" s="43"/>
      <c r="B4001" s="290"/>
      <c r="C4001" s="291"/>
      <c r="D4001" s="43"/>
    </row>
    <row r="4002" spans="1:4" ht="21.75" thickBot="1" x14ac:dyDescent="0.3">
      <c r="A4002" s="38"/>
      <c r="B4002" s="44"/>
      <c r="C4002" s="45"/>
      <c r="D4002" s="44"/>
    </row>
    <row r="4003" spans="1:4" ht="19.5" thickBot="1" x14ac:dyDescent="0.3">
      <c r="A4003" s="19"/>
      <c r="B4003" s="20"/>
      <c r="C4003" s="63"/>
      <c r="D4003" s="14"/>
    </row>
    <row r="4004" spans="1:4" ht="19.5" thickBot="1" x14ac:dyDescent="0.3">
      <c r="A4004" s="19"/>
      <c r="B4004" s="20"/>
      <c r="C4004" s="63"/>
      <c r="D4004" s="14"/>
    </row>
    <row r="4005" spans="1:4" ht="19.5" thickBot="1" x14ac:dyDescent="0.3">
      <c r="A4005" s="19"/>
      <c r="B4005" s="20"/>
      <c r="C4005" s="48"/>
      <c r="D4005" s="46"/>
    </row>
    <row r="4006" spans="1:4" ht="15.75" thickBot="1" x14ac:dyDescent="0.3">
      <c r="A4006" s="32"/>
      <c r="B4006" s="33"/>
      <c r="C4006" s="32"/>
      <c r="D4006" s="34"/>
    </row>
    <row r="4007" spans="1:4" ht="15.75" thickBot="1" x14ac:dyDescent="0.3">
      <c r="A4007" s="58"/>
      <c r="B4007" s="58"/>
      <c r="C4007" s="58"/>
      <c r="D4007" s="35"/>
    </row>
    <row r="4008" spans="1:4" ht="15.75" x14ac:dyDescent="0.25">
      <c r="A4008" s="285"/>
      <c r="B4008" s="59"/>
      <c r="C4008" s="59"/>
      <c r="D4008" s="60"/>
    </row>
    <row r="4009" spans="1:4" ht="16.5" thickBot="1" x14ac:dyDescent="0.3">
      <c r="A4009" s="286"/>
      <c r="B4009" s="62"/>
      <c r="C4009" s="62"/>
      <c r="D4009" s="61"/>
    </row>
    <row r="4010" spans="1:4" ht="15.75" x14ac:dyDescent="0.25">
      <c r="A4010" s="285"/>
      <c r="B4010" s="59"/>
      <c r="C4010" s="59"/>
      <c r="D4010" s="60"/>
    </row>
    <row r="4011" spans="1:4" ht="16.5" thickBot="1" x14ac:dyDescent="0.3">
      <c r="A4011" s="286"/>
      <c r="B4011" s="62"/>
      <c r="C4011" s="62"/>
      <c r="D4011" s="61"/>
    </row>
    <row r="4012" spans="1:4" ht="16.5" thickBot="1" x14ac:dyDescent="0.3">
      <c r="A4012" s="57"/>
      <c r="B4012" s="36"/>
      <c r="C4012" s="36"/>
      <c r="D4012" s="36"/>
    </row>
    <row r="4013" spans="1:4" ht="15.75" thickBot="1" x14ac:dyDescent="0.3">
      <c r="A4013" s="287"/>
      <c r="B4013" s="288"/>
      <c r="C4013" s="288"/>
      <c r="D4013" s="289"/>
    </row>
    <row r="4014" spans="1:4" ht="18.75" x14ac:dyDescent="0.25">
      <c r="A4014" s="5"/>
      <c r="B4014" s="6"/>
      <c r="C4014" s="7"/>
      <c r="D4014" s="8"/>
    </row>
    <row r="4015" spans="1:4" ht="19.5" thickBot="1" x14ac:dyDescent="0.3">
      <c r="A4015" s="9"/>
      <c r="B4015" s="10"/>
      <c r="C4015" s="10"/>
      <c r="D4015" s="11"/>
    </row>
    <row r="4016" spans="1:4" ht="21.75" thickBot="1" x14ac:dyDescent="0.3">
      <c r="A4016" s="43"/>
      <c r="B4016" s="290"/>
      <c r="C4016" s="291"/>
      <c r="D4016" s="43"/>
    </row>
    <row r="4017" spans="1:4" ht="21.75" thickBot="1" x14ac:dyDescent="0.3">
      <c r="A4017" s="38"/>
      <c r="B4017" s="44"/>
      <c r="C4017" s="45"/>
      <c r="D4017" s="44"/>
    </row>
    <row r="4018" spans="1:4" ht="19.5" thickBot="1" x14ac:dyDescent="0.3">
      <c r="A4018" s="19"/>
      <c r="B4018" s="20"/>
      <c r="C4018" s="63"/>
      <c r="D4018" s="14"/>
    </row>
    <row r="4019" spans="1:4" ht="19.5" thickBot="1" x14ac:dyDescent="0.3">
      <c r="A4019" s="19"/>
      <c r="B4019" s="20"/>
      <c r="C4019" s="48"/>
      <c r="D4019" s="46"/>
    </row>
    <row r="4020" spans="1:4" ht="15.75" thickBot="1" x14ac:dyDescent="0.3">
      <c r="A4020" s="32"/>
      <c r="B4020" s="33"/>
      <c r="C4020" s="32"/>
      <c r="D4020" s="34"/>
    </row>
    <row r="4021" spans="1:4" ht="15.75" thickBot="1" x14ac:dyDescent="0.3">
      <c r="A4021" s="58"/>
      <c r="B4021" s="58"/>
      <c r="C4021" s="58"/>
      <c r="D4021" s="35"/>
    </row>
    <row r="4022" spans="1:4" ht="15.75" x14ac:dyDescent="0.25">
      <c r="A4022" s="285"/>
      <c r="B4022" s="59"/>
      <c r="C4022" s="59"/>
      <c r="D4022" s="60"/>
    </row>
    <row r="4023" spans="1:4" ht="16.5" thickBot="1" x14ac:dyDescent="0.3">
      <c r="A4023" s="286"/>
      <c r="B4023" s="62"/>
      <c r="C4023" s="62"/>
      <c r="D4023" s="61"/>
    </row>
    <row r="4024" spans="1:4" ht="15.75" x14ac:dyDescent="0.25">
      <c r="A4024" s="285"/>
      <c r="B4024" s="59"/>
      <c r="C4024" s="59"/>
      <c r="D4024" s="60"/>
    </row>
    <row r="4025" spans="1:4" ht="16.5" thickBot="1" x14ac:dyDescent="0.3">
      <c r="A4025" s="286"/>
      <c r="B4025" s="62"/>
      <c r="C4025" s="62"/>
      <c r="D4025" s="61"/>
    </row>
    <row r="4026" spans="1:4" ht="16.5" thickBot="1" x14ac:dyDescent="0.3">
      <c r="A4026" s="57"/>
      <c r="B4026" s="36"/>
      <c r="C4026" s="36"/>
      <c r="D4026" s="36"/>
    </row>
    <row r="4027" spans="1:4" ht="15.75" thickBot="1" x14ac:dyDescent="0.3">
      <c r="A4027" s="287"/>
      <c r="B4027" s="288"/>
      <c r="C4027" s="288"/>
      <c r="D4027" s="289"/>
    </row>
    <row r="4028" spans="1:4" ht="18.75" x14ac:dyDescent="0.25">
      <c r="A4028" s="5"/>
      <c r="B4028" s="6"/>
      <c r="C4028" s="7"/>
      <c r="D4028" s="8"/>
    </row>
    <row r="4029" spans="1:4" ht="19.5" thickBot="1" x14ac:dyDescent="0.3">
      <c r="A4029" s="9"/>
      <c r="B4029" s="10"/>
      <c r="C4029" s="10"/>
      <c r="D4029" s="11"/>
    </row>
    <row r="4030" spans="1:4" ht="21.75" thickBot="1" x14ac:dyDescent="0.3">
      <c r="A4030" s="43"/>
      <c r="B4030" s="290"/>
      <c r="C4030" s="291"/>
      <c r="D4030" s="43"/>
    </row>
    <row r="4031" spans="1:4" ht="21.75" thickBot="1" x14ac:dyDescent="0.3">
      <c r="A4031" s="38"/>
      <c r="B4031" s="44"/>
      <c r="C4031" s="45"/>
      <c r="D4031" s="44"/>
    </row>
    <row r="4032" spans="1:4" ht="19.5" thickBot="1" x14ac:dyDescent="0.3">
      <c r="A4032" s="19"/>
      <c r="B4032" s="20"/>
      <c r="C4032" s="63"/>
      <c r="D4032" s="14"/>
    </row>
    <row r="4033" spans="1:4" ht="19.5" thickBot="1" x14ac:dyDescent="0.3">
      <c r="A4033" s="19"/>
      <c r="B4033" s="20"/>
      <c r="C4033" s="63"/>
      <c r="D4033" s="14"/>
    </row>
    <row r="4034" spans="1:4" ht="19.5" thickBot="1" x14ac:dyDescent="0.3">
      <c r="A4034" s="19"/>
      <c r="B4034" s="20"/>
      <c r="C4034" s="48"/>
      <c r="D4034" s="46"/>
    </row>
    <row r="4035" spans="1:4" ht="15.75" thickBot="1" x14ac:dyDescent="0.3">
      <c r="A4035" s="32"/>
      <c r="B4035" s="33"/>
      <c r="C4035" s="32"/>
      <c r="D4035" s="34"/>
    </row>
    <row r="4036" spans="1:4" ht="15.75" thickBot="1" x14ac:dyDescent="0.3">
      <c r="A4036" s="58"/>
      <c r="B4036" s="58"/>
      <c r="C4036" s="58"/>
      <c r="D4036" s="35"/>
    </row>
    <row r="4037" spans="1:4" ht="15.75" x14ac:dyDescent="0.25">
      <c r="A4037" s="285"/>
      <c r="B4037" s="59"/>
      <c r="C4037" s="59"/>
      <c r="D4037" s="60"/>
    </row>
    <row r="4038" spans="1:4" ht="16.5" thickBot="1" x14ac:dyDescent="0.3">
      <c r="A4038" s="286"/>
      <c r="B4038" s="62"/>
      <c r="C4038" s="62"/>
      <c r="D4038" s="61"/>
    </row>
    <row r="4039" spans="1:4" ht="15.75" x14ac:dyDescent="0.25">
      <c r="A4039" s="285"/>
      <c r="B4039" s="59"/>
      <c r="C4039" s="59"/>
      <c r="D4039" s="60"/>
    </row>
    <row r="4040" spans="1:4" ht="16.5" thickBot="1" x14ac:dyDescent="0.3">
      <c r="A4040" s="286"/>
      <c r="B4040" s="62"/>
      <c r="C4040" s="62"/>
      <c r="D4040" s="61"/>
    </row>
    <row r="4041" spans="1:4" ht="16.5" thickBot="1" x14ac:dyDescent="0.3">
      <c r="A4041" s="57"/>
      <c r="B4041" s="36"/>
      <c r="C4041" s="36"/>
      <c r="D4041" s="36"/>
    </row>
    <row r="4042" spans="1:4" ht="15.75" thickBot="1" x14ac:dyDescent="0.3">
      <c r="A4042" s="287"/>
      <c r="B4042" s="288"/>
      <c r="C4042" s="288"/>
      <c r="D4042" s="289"/>
    </row>
    <row r="4043" spans="1:4" ht="18.75" x14ac:dyDescent="0.25">
      <c r="A4043" s="5"/>
      <c r="B4043" s="6"/>
      <c r="C4043" s="7"/>
      <c r="D4043" s="8"/>
    </row>
    <row r="4044" spans="1:4" ht="19.5" thickBot="1" x14ac:dyDescent="0.3">
      <c r="A4044" s="9"/>
      <c r="B4044" s="10"/>
      <c r="C4044" s="10"/>
      <c r="D4044" s="11"/>
    </row>
    <row r="4045" spans="1:4" ht="21.75" thickBot="1" x14ac:dyDescent="0.3">
      <c r="A4045" s="43"/>
      <c r="B4045" s="290"/>
      <c r="C4045" s="291"/>
      <c r="D4045" s="43"/>
    </row>
    <row r="4046" spans="1:4" ht="21.75" thickBot="1" x14ac:dyDescent="0.3">
      <c r="A4046" s="38"/>
      <c r="B4046" s="44"/>
      <c r="C4046" s="45"/>
      <c r="D4046" s="44"/>
    </row>
    <row r="4047" spans="1:4" ht="19.5" thickBot="1" x14ac:dyDescent="0.3">
      <c r="A4047" s="19"/>
      <c r="B4047" s="20"/>
      <c r="C4047" s="63"/>
      <c r="D4047" s="14"/>
    </row>
    <row r="4048" spans="1:4" ht="19.5" thickBot="1" x14ac:dyDescent="0.3">
      <c r="A4048" s="19"/>
      <c r="B4048" s="20"/>
      <c r="C4048" s="48"/>
      <c r="D4048" s="46"/>
    </row>
    <row r="4049" spans="1:4" ht="15.75" thickBot="1" x14ac:dyDescent="0.3">
      <c r="A4049" s="32"/>
      <c r="B4049" s="33"/>
      <c r="C4049" s="32"/>
      <c r="D4049" s="34"/>
    </row>
    <row r="4050" spans="1:4" ht="15.75" thickBot="1" x14ac:dyDescent="0.3">
      <c r="A4050" s="58"/>
      <c r="B4050" s="58"/>
      <c r="C4050" s="58"/>
      <c r="D4050" s="35"/>
    </row>
    <row r="4051" spans="1:4" ht="15.75" x14ac:dyDescent="0.25">
      <c r="A4051" s="285"/>
      <c r="B4051" s="59"/>
      <c r="C4051" s="59"/>
      <c r="D4051" s="60"/>
    </row>
    <row r="4052" spans="1:4" ht="16.5" thickBot="1" x14ac:dyDescent="0.3">
      <c r="A4052" s="286"/>
      <c r="B4052" s="62"/>
      <c r="C4052" s="62"/>
      <c r="D4052" s="61"/>
    </row>
    <row r="4053" spans="1:4" ht="15.75" x14ac:dyDescent="0.25">
      <c r="A4053" s="285"/>
      <c r="B4053" s="59"/>
      <c r="C4053" s="59"/>
      <c r="D4053" s="60"/>
    </row>
    <row r="4054" spans="1:4" ht="16.5" thickBot="1" x14ac:dyDescent="0.3">
      <c r="A4054" s="286"/>
      <c r="B4054" s="62"/>
      <c r="C4054" s="62"/>
      <c r="D4054" s="61"/>
    </row>
    <row r="4055" spans="1:4" ht="16.5" thickBot="1" x14ac:dyDescent="0.3">
      <c r="A4055" s="57"/>
      <c r="B4055" s="36"/>
      <c r="C4055" s="36"/>
      <c r="D4055" s="36"/>
    </row>
    <row r="4056" spans="1:4" ht="15.75" thickBot="1" x14ac:dyDescent="0.3">
      <c r="A4056" s="287"/>
      <c r="B4056" s="288"/>
      <c r="C4056" s="288"/>
      <c r="D4056" s="289"/>
    </row>
    <row r="4057" spans="1:4" ht="18.75" x14ac:dyDescent="0.25">
      <c r="A4057" s="5"/>
      <c r="B4057" s="6"/>
      <c r="C4057" s="7"/>
      <c r="D4057" s="8"/>
    </row>
    <row r="4058" spans="1:4" ht="19.5" thickBot="1" x14ac:dyDescent="0.3">
      <c r="A4058" s="9"/>
      <c r="B4058" s="10"/>
      <c r="C4058" s="10"/>
      <c r="D4058" s="11"/>
    </row>
    <row r="4059" spans="1:4" ht="21.75" thickBot="1" x14ac:dyDescent="0.3">
      <c r="A4059" s="43"/>
      <c r="B4059" s="290"/>
      <c r="C4059" s="291"/>
      <c r="D4059" s="43"/>
    </row>
    <row r="4060" spans="1:4" ht="21.75" thickBot="1" x14ac:dyDescent="0.3">
      <c r="A4060" s="38"/>
      <c r="B4060" s="44"/>
      <c r="C4060" s="45"/>
      <c r="D4060" s="44"/>
    </row>
    <row r="4061" spans="1:4" ht="19.5" thickBot="1" x14ac:dyDescent="0.3">
      <c r="A4061" s="19"/>
      <c r="B4061" s="20"/>
      <c r="C4061" s="63"/>
      <c r="D4061" s="14"/>
    </row>
    <row r="4062" spans="1:4" ht="19.5" thickBot="1" x14ac:dyDescent="0.3">
      <c r="A4062" s="19"/>
      <c r="B4062" s="20"/>
      <c r="C4062" s="63"/>
      <c r="D4062" s="14"/>
    </row>
    <row r="4063" spans="1:4" ht="19.5" thickBot="1" x14ac:dyDescent="0.3">
      <c r="A4063" s="19"/>
      <c r="B4063" s="20"/>
      <c r="C4063" s="48"/>
      <c r="D4063" s="46"/>
    </row>
    <row r="4064" spans="1:4" ht="15.75" thickBot="1" x14ac:dyDescent="0.3">
      <c r="A4064" s="32"/>
      <c r="B4064" s="33"/>
      <c r="C4064" s="32"/>
      <c r="D4064" s="34"/>
    </row>
    <row r="4065" spans="1:4" ht="15.75" thickBot="1" x14ac:dyDescent="0.3">
      <c r="A4065" s="58"/>
      <c r="B4065" s="58"/>
      <c r="C4065" s="58"/>
      <c r="D4065" s="35"/>
    </row>
    <row r="4066" spans="1:4" ht="15.75" x14ac:dyDescent="0.25">
      <c r="A4066" s="285"/>
      <c r="B4066" s="59"/>
      <c r="C4066" s="59"/>
      <c r="D4066" s="60"/>
    </row>
    <row r="4067" spans="1:4" ht="16.5" thickBot="1" x14ac:dyDescent="0.3">
      <c r="A4067" s="286"/>
      <c r="B4067" s="62"/>
      <c r="C4067" s="62"/>
      <c r="D4067" s="61"/>
    </row>
    <row r="4068" spans="1:4" ht="15.75" x14ac:dyDescent="0.25">
      <c r="A4068" s="285"/>
      <c r="B4068" s="59"/>
      <c r="C4068" s="59"/>
      <c r="D4068" s="60"/>
    </row>
    <row r="4069" spans="1:4" ht="16.5" thickBot="1" x14ac:dyDescent="0.3">
      <c r="A4069" s="286"/>
      <c r="B4069" s="62"/>
      <c r="C4069" s="62"/>
      <c r="D4069" s="61"/>
    </row>
    <row r="4070" spans="1:4" ht="16.5" thickBot="1" x14ac:dyDescent="0.3">
      <c r="A4070" s="57"/>
      <c r="B4070" s="36"/>
      <c r="C4070" s="36"/>
      <c r="D4070" s="36"/>
    </row>
    <row r="4071" spans="1:4" ht="15.75" thickBot="1" x14ac:dyDescent="0.3">
      <c r="A4071" s="287"/>
      <c r="B4071" s="288"/>
      <c r="C4071" s="288"/>
      <c r="D4071" s="289"/>
    </row>
    <row r="4072" spans="1:4" ht="18.75" x14ac:dyDescent="0.25">
      <c r="A4072" s="5"/>
      <c r="B4072" s="6"/>
      <c r="C4072" s="7"/>
      <c r="D4072" s="8"/>
    </row>
    <row r="4073" spans="1:4" ht="19.5" thickBot="1" x14ac:dyDescent="0.3">
      <c r="A4073" s="9"/>
      <c r="B4073" s="10"/>
      <c r="C4073" s="10"/>
      <c r="D4073" s="11"/>
    </row>
    <row r="4074" spans="1:4" ht="21.75" thickBot="1" x14ac:dyDescent="0.3">
      <c r="A4074" s="43"/>
      <c r="B4074" s="290"/>
      <c r="C4074" s="291"/>
      <c r="D4074" s="43"/>
    </row>
    <row r="4075" spans="1:4" ht="21.75" thickBot="1" x14ac:dyDescent="0.3">
      <c r="A4075" s="38"/>
      <c r="B4075" s="44"/>
      <c r="C4075" s="45"/>
      <c r="D4075" s="44"/>
    </row>
    <row r="4076" spans="1:4" ht="19.5" thickBot="1" x14ac:dyDescent="0.3">
      <c r="A4076" s="19"/>
      <c r="B4076" s="20"/>
      <c r="C4076" s="63"/>
      <c r="D4076" s="14"/>
    </row>
    <row r="4077" spans="1:4" ht="19.5" thickBot="1" x14ac:dyDescent="0.3">
      <c r="A4077" s="19"/>
      <c r="B4077" s="20"/>
      <c r="C4077" s="48"/>
      <c r="D4077" s="46"/>
    </row>
    <row r="4078" spans="1:4" ht="15.75" thickBot="1" x14ac:dyDescent="0.3">
      <c r="A4078" s="32"/>
      <c r="B4078" s="33"/>
      <c r="C4078" s="32"/>
      <c r="D4078" s="34"/>
    </row>
    <row r="4079" spans="1:4" ht="15.75" thickBot="1" x14ac:dyDescent="0.3">
      <c r="A4079" s="58"/>
      <c r="B4079" s="58"/>
      <c r="C4079" s="58"/>
      <c r="D4079" s="35"/>
    </row>
    <row r="4080" spans="1:4" ht="15.75" x14ac:dyDescent="0.25">
      <c r="A4080" s="285"/>
      <c r="B4080" s="59"/>
      <c r="C4080" s="59"/>
      <c r="D4080" s="60"/>
    </row>
    <row r="4081" spans="1:4" ht="16.5" thickBot="1" x14ac:dyDescent="0.3">
      <c r="A4081" s="286"/>
      <c r="B4081" s="62"/>
      <c r="C4081" s="62"/>
      <c r="D4081" s="61"/>
    </row>
    <row r="4082" spans="1:4" ht="15.75" x14ac:dyDescent="0.25">
      <c r="A4082" s="285"/>
      <c r="B4082" s="59"/>
      <c r="C4082" s="59"/>
      <c r="D4082" s="60"/>
    </row>
    <row r="4083" spans="1:4" ht="16.5" thickBot="1" x14ac:dyDescent="0.3">
      <c r="A4083" s="286"/>
      <c r="B4083" s="62"/>
      <c r="C4083" s="62"/>
      <c r="D4083" s="61"/>
    </row>
    <row r="4084" spans="1:4" ht="16.5" thickBot="1" x14ac:dyDescent="0.3">
      <c r="A4084" s="57"/>
      <c r="B4084" s="36"/>
      <c r="C4084" s="36"/>
      <c r="D4084" s="36"/>
    </row>
    <row r="4085" spans="1:4" ht="15.75" thickBot="1" x14ac:dyDescent="0.3">
      <c r="A4085" s="287"/>
      <c r="B4085" s="288"/>
      <c r="C4085" s="288"/>
      <c r="D4085" s="289"/>
    </row>
    <row r="4086" spans="1:4" ht="18.75" x14ac:dyDescent="0.25">
      <c r="A4086" s="5"/>
      <c r="B4086" s="6"/>
      <c r="C4086" s="7"/>
      <c r="D4086" s="8"/>
    </row>
    <row r="4087" spans="1:4" ht="19.5" thickBot="1" x14ac:dyDescent="0.3">
      <c r="A4087" s="9"/>
      <c r="B4087" s="10"/>
      <c r="C4087" s="10"/>
      <c r="D4087" s="11"/>
    </row>
    <row r="4088" spans="1:4" ht="21.75" thickBot="1" x14ac:dyDescent="0.3">
      <c r="A4088" s="43"/>
      <c r="B4088" s="290"/>
      <c r="C4088" s="291"/>
      <c r="D4088" s="43"/>
    </row>
    <row r="4089" spans="1:4" ht="21.75" thickBot="1" x14ac:dyDescent="0.3">
      <c r="A4089" s="38"/>
      <c r="B4089" s="44"/>
      <c r="C4089" s="45"/>
      <c r="D4089" s="44"/>
    </row>
    <row r="4090" spans="1:4" ht="19.5" thickBot="1" x14ac:dyDescent="0.3">
      <c r="A4090" s="19"/>
      <c r="B4090" s="20"/>
      <c r="C4090" s="63"/>
      <c r="D4090" s="14"/>
    </row>
    <row r="4091" spans="1:4" ht="19.5" thickBot="1" x14ac:dyDescent="0.3">
      <c r="A4091" s="19"/>
      <c r="B4091" s="20"/>
      <c r="C4091" s="63"/>
      <c r="D4091" s="14"/>
    </row>
    <row r="4092" spans="1:4" ht="19.5" thickBot="1" x14ac:dyDescent="0.3">
      <c r="A4092" s="19"/>
      <c r="B4092" s="20"/>
      <c r="C4092" s="48"/>
      <c r="D4092" s="46"/>
    </row>
    <row r="4093" spans="1:4" ht="15.75" thickBot="1" x14ac:dyDescent="0.3">
      <c r="A4093" s="32"/>
      <c r="B4093" s="33"/>
      <c r="C4093" s="32"/>
      <c r="D4093" s="34"/>
    </row>
    <row r="4094" spans="1:4" ht="15.75" thickBot="1" x14ac:dyDescent="0.3">
      <c r="A4094" s="58"/>
      <c r="B4094" s="58"/>
      <c r="C4094" s="58"/>
      <c r="D4094" s="35"/>
    </row>
    <row r="4095" spans="1:4" ht="15.75" x14ac:dyDescent="0.25">
      <c r="A4095" s="285"/>
      <c r="B4095" s="59"/>
      <c r="C4095" s="59"/>
      <c r="D4095" s="60"/>
    </row>
    <row r="4096" spans="1:4" ht="16.5" thickBot="1" x14ac:dyDescent="0.3">
      <c r="A4096" s="286"/>
      <c r="B4096" s="62"/>
      <c r="C4096" s="62"/>
      <c r="D4096" s="61"/>
    </row>
    <row r="4097" spans="1:4" ht="15.75" x14ac:dyDescent="0.25">
      <c r="A4097" s="285"/>
      <c r="B4097" s="59"/>
      <c r="C4097" s="59"/>
      <c r="D4097" s="60"/>
    </row>
    <row r="4098" spans="1:4" ht="16.5" thickBot="1" x14ac:dyDescent="0.3">
      <c r="A4098" s="286"/>
      <c r="B4098" s="62"/>
      <c r="C4098" s="62"/>
      <c r="D4098" s="61"/>
    </row>
    <row r="4099" spans="1:4" ht="16.5" thickBot="1" x14ac:dyDescent="0.3">
      <c r="A4099" s="57"/>
      <c r="B4099" s="36"/>
      <c r="C4099" s="36"/>
      <c r="D4099" s="36"/>
    </row>
    <row r="4100" spans="1:4" ht="15.75" thickBot="1" x14ac:dyDescent="0.3">
      <c r="A4100" s="287"/>
      <c r="B4100" s="288"/>
      <c r="C4100" s="288"/>
      <c r="D4100" s="289"/>
    </row>
    <row r="4101" spans="1:4" ht="18.75" x14ac:dyDescent="0.25">
      <c r="A4101" s="5"/>
      <c r="B4101" s="6"/>
      <c r="C4101" s="7"/>
      <c r="D4101" s="8"/>
    </row>
    <row r="4102" spans="1:4" ht="19.5" thickBot="1" x14ac:dyDescent="0.3">
      <c r="A4102" s="9"/>
      <c r="B4102" s="10"/>
      <c r="C4102" s="10"/>
      <c r="D4102" s="11"/>
    </row>
    <row r="4103" spans="1:4" ht="21.75" thickBot="1" x14ac:dyDescent="0.3">
      <c r="A4103" s="43"/>
      <c r="B4103" s="290"/>
      <c r="C4103" s="291"/>
      <c r="D4103" s="43"/>
    </row>
    <row r="4104" spans="1:4" ht="21.75" thickBot="1" x14ac:dyDescent="0.3">
      <c r="A4104" s="38"/>
      <c r="B4104" s="44"/>
      <c r="C4104" s="45"/>
      <c r="D4104" s="44"/>
    </row>
    <row r="4105" spans="1:4" ht="19.5" thickBot="1" x14ac:dyDescent="0.3">
      <c r="A4105" s="19"/>
      <c r="B4105" s="20"/>
      <c r="C4105" s="63"/>
      <c r="D4105" s="14"/>
    </row>
    <row r="4106" spans="1:4" ht="19.5" thickBot="1" x14ac:dyDescent="0.3">
      <c r="A4106" s="19"/>
      <c r="B4106" s="20"/>
      <c r="C4106" s="48"/>
      <c r="D4106" s="46"/>
    </row>
    <row r="4107" spans="1:4" ht="15.75" thickBot="1" x14ac:dyDescent="0.3">
      <c r="A4107" s="32"/>
      <c r="B4107" s="33"/>
      <c r="C4107" s="32"/>
      <c r="D4107" s="34"/>
    </row>
    <row r="4108" spans="1:4" ht="15.75" thickBot="1" x14ac:dyDescent="0.3">
      <c r="A4108" s="58"/>
      <c r="B4108" s="58"/>
      <c r="C4108" s="58"/>
      <c r="D4108" s="35"/>
    </row>
    <row r="4109" spans="1:4" ht="15.75" x14ac:dyDescent="0.25">
      <c r="A4109" s="285"/>
      <c r="B4109" s="59"/>
      <c r="C4109" s="59"/>
      <c r="D4109" s="60"/>
    </row>
    <row r="4110" spans="1:4" ht="16.5" thickBot="1" x14ac:dyDescent="0.3">
      <c r="A4110" s="286"/>
      <c r="B4110" s="62"/>
      <c r="C4110" s="62"/>
      <c r="D4110" s="61"/>
    </row>
    <row r="4111" spans="1:4" ht="15.75" x14ac:dyDescent="0.25">
      <c r="A4111" s="285"/>
      <c r="B4111" s="59"/>
      <c r="C4111" s="59"/>
      <c r="D4111" s="60"/>
    </row>
    <row r="4112" spans="1:4" ht="16.5" thickBot="1" x14ac:dyDescent="0.3">
      <c r="A4112" s="286"/>
      <c r="B4112" s="62"/>
      <c r="C4112" s="62"/>
      <c r="D4112" s="61"/>
    </row>
    <row r="4113" spans="1:4" ht="16.5" thickBot="1" x14ac:dyDescent="0.3">
      <c r="A4113" s="57"/>
      <c r="B4113" s="36"/>
      <c r="C4113" s="36"/>
      <c r="D4113" s="36"/>
    </row>
    <row r="4114" spans="1:4" ht="15.75" thickBot="1" x14ac:dyDescent="0.3">
      <c r="A4114" s="287"/>
      <c r="B4114" s="288"/>
      <c r="C4114" s="288"/>
      <c r="D4114" s="289"/>
    </row>
    <row r="4115" spans="1:4" ht="18.75" x14ac:dyDescent="0.25">
      <c r="A4115" s="5"/>
      <c r="B4115" s="6"/>
      <c r="C4115" s="7"/>
      <c r="D4115" s="8"/>
    </row>
    <row r="4116" spans="1:4" ht="19.5" thickBot="1" x14ac:dyDescent="0.3">
      <c r="A4116" s="9"/>
      <c r="B4116" s="10"/>
      <c r="C4116" s="10"/>
      <c r="D4116" s="11"/>
    </row>
    <row r="4117" spans="1:4" ht="21.75" thickBot="1" x14ac:dyDescent="0.3">
      <c r="A4117" s="43"/>
      <c r="B4117" s="290"/>
      <c r="C4117" s="291"/>
      <c r="D4117" s="43"/>
    </row>
    <row r="4118" spans="1:4" ht="21.75" thickBot="1" x14ac:dyDescent="0.3">
      <c r="A4118" s="38"/>
      <c r="B4118" s="44"/>
      <c r="C4118" s="45"/>
      <c r="D4118" s="44"/>
    </row>
    <row r="4119" spans="1:4" ht="19.5" thickBot="1" x14ac:dyDescent="0.3">
      <c r="A4119" s="19"/>
      <c r="B4119" s="20"/>
      <c r="C4119" s="63"/>
      <c r="D4119" s="14"/>
    </row>
    <row r="4120" spans="1:4" ht="19.5" thickBot="1" x14ac:dyDescent="0.3">
      <c r="A4120" s="19"/>
      <c r="B4120" s="20"/>
      <c r="C4120" s="63"/>
      <c r="D4120" s="14"/>
    </row>
    <row r="4121" spans="1:4" ht="19.5" thickBot="1" x14ac:dyDescent="0.3">
      <c r="A4121" s="19"/>
      <c r="B4121" s="20"/>
      <c r="C4121" s="48"/>
      <c r="D4121" s="46"/>
    </row>
    <row r="4122" spans="1:4" ht="15.75" thickBot="1" x14ac:dyDescent="0.3">
      <c r="A4122" s="32"/>
      <c r="B4122" s="33"/>
      <c r="C4122" s="32"/>
      <c r="D4122" s="34"/>
    </row>
    <row r="4123" spans="1:4" ht="15.75" thickBot="1" x14ac:dyDescent="0.3">
      <c r="A4123" s="58"/>
      <c r="B4123" s="58"/>
      <c r="C4123" s="58"/>
      <c r="D4123" s="35"/>
    </row>
    <row r="4124" spans="1:4" ht="15.75" x14ac:dyDescent="0.25">
      <c r="A4124" s="285"/>
      <c r="B4124" s="59"/>
      <c r="C4124" s="59"/>
      <c r="D4124" s="60"/>
    </row>
    <row r="4125" spans="1:4" ht="16.5" thickBot="1" x14ac:dyDescent="0.3">
      <c r="A4125" s="286"/>
      <c r="B4125" s="62"/>
      <c r="C4125" s="62"/>
      <c r="D4125" s="61"/>
    </row>
    <row r="4126" spans="1:4" ht="15.75" x14ac:dyDescent="0.25">
      <c r="A4126" s="285"/>
      <c r="B4126" s="59"/>
      <c r="C4126" s="59"/>
      <c r="D4126" s="60"/>
    </row>
    <row r="4127" spans="1:4" ht="16.5" thickBot="1" x14ac:dyDescent="0.3">
      <c r="A4127" s="286"/>
      <c r="B4127" s="62"/>
      <c r="C4127" s="62"/>
      <c r="D4127" s="61"/>
    </row>
    <row r="4128" spans="1:4" ht="16.5" thickBot="1" x14ac:dyDescent="0.3">
      <c r="A4128" s="57"/>
      <c r="B4128" s="36"/>
      <c r="C4128" s="36"/>
      <c r="D4128" s="36"/>
    </row>
    <row r="4129" spans="1:4" ht="15.75" thickBot="1" x14ac:dyDescent="0.3">
      <c r="A4129" s="287"/>
      <c r="B4129" s="288"/>
      <c r="C4129" s="288"/>
      <c r="D4129" s="289"/>
    </row>
    <row r="4130" spans="1:4" ht="18.75" x14ac:dyDescent="0.25">
      <c r="A4130" s="5"/>
      <c r="B4130" s="6"/>
      <c r="C4130" s="7"/>
      <c r="D4130" s="8"/>
    </row>
    <row r="4131" spans="1:4" ht="19.5" thickBot="1" x14ac:dyDescent="0.3">
      <c r="A4131" s="9"/>
      <c r="B4131" s="10"/>
      <c r="C4131" s="10"/>
      <c r="D4131" s="11"/>
    </row>
    <row r="4132" spans="1:4" ht="21.75" thickBot="1" x14ac:dyDescent="0.3">
      <c r="A4132" s="43"/>
      <c r="B4132" s="290"/>
      <c r="C4132" s="291"/>
      <c r="D4132" s="43"/>
    </row>
    <row r="4133" spans="1:4" ht="21.75" thickBot="1" x14ac:dyDescent="0.3">
      <c r="A4133" s="38"/>
      <c r="B4133" s="44"/>
      <c r="C4133" s="45"/>
      <c r="D4133" s="44"/>
    </row>
    <row r="4134" spans="1:4" ht="19.5" thickBot="1" x14ac:dyDescent="0.3">
      <c r="A4134" s="19"/>
      <c r="B4134" s="20"/>
      <c r="C4134" s="63"/>
      <c r="D4134" s="14"/>
    </row>
    <row r="4135" spans="1:4" ht="19.5" thickBot="1" x14ac:dyDescent="0.3">
      <c r="A4135" s="19"/>
      <c r="B4135" s="20"/>
      <c r="C4135" s="48"/>
      <c r="D4135" s="46"/>
    </row>
    <row r="4136" spans="1:4" ht="15.75" thickBot="1" x14ac:dyDescent="0.3">
      <c r="A4136" s="32"/>
      <c r="B4136" s="33"/>
      <c r="C4136" s="32"/>
      <c r="D4136" s="34"/>
    </row>
    <row r="4137" spans="1:4" ht="15.75" thickBot="1" x14ac:dyDescent="0.3">
      <c r="A4137" s="58"/>
      <c r="B4137" s="58"/>
      <c r="C4137" s="58"/>
      <c r="D4137" s="35"/>
    </row>
    <row r="4138" spans="1:4" ht="15.75" x14ac:dyDescent="0.25">
      <c r="A4138" s="285"/>
      <c r="B4138" s="59"/>
      <c r="C4138" s="59"/>
      <c r="D4138" s="60"/>
    </row>
    <row r="4139" spans="1:4" ht="16.5" thickBot="1" x14ac:dyDescent="0.3">
      <c r="A4139" s="286"/>
      <c r="B4139" s="62"/>
      <c r="C4139" s="62"/>
      <c r="D4139" s="61"/>
    </row>
    <row r="4140" spans="1:4" ht="15.75" x14ac:dyDescent="0.25">
      <c r="A4140" s="285"/>
      <c r="B4140" s="59"/>
      <c r="C4140" s="59"/>
      <c r="D4140" s="60"/>
    </row>
    <row r="4141" spans="1:4" ht="16.5" thickBot="1" x14ac:dyDescent="0.3">
      <c r="A4141" s="286"/>
      <c r="B4141" s="62"/>
      <c r="C4141" s="62"/>
      <c r="D4141" s="61"/>
    </row>
    <row r="4142" spans="1:4" ht="16.5" thickBot="1" x14ac:dyDescent="0.3">
      <c r="A4142" s="57"/>
      <c r="B4142" s="36"/>
      <c r="C4142" s="36"/>
      <c r="D4142" s="36"/>
    </row>
    <row r="4143" spans="1:4" ht="15.75" thickBot="1" x14ac:dyDescent="0.3">
      <c r="A4143" s="287"/>
      <c r="B4143" s="288"/>
      <c r="C4143" s="288"/>
      <c r="D4143" s="289"/>
    </row>
    <row r="4144" spans="1:4" ht="18.75" x14ac:dyDescent="0.25">
      <c r="A4144" s="5"/>
      <c r="B4144" s="6"/>
      <c r="C4144" s="7"/>
      <c r="D4144" s="8"/>
    </row>
    <row r="4145" spans="1:4" ht="19.5" thickBot="1" x14ac:dyDescent="0.3">
      <c r="A4145" s="9"/>
      <c r="B4145" s="10"/>
      <c r="C4145" s="10"/>
      <c r="D4145" s="11"/>
    </row>
    <row r="4146" spans="1:4" ht="21.75" thickBot="1" x14ac:dyDescent="0.3">
      <c r="A4146" s="43"/>
      <c r="B4146" s="290"/>
      <c r="C4146" s="291"/>
      <c r="D4146" s="43"/>
    </row>
    <row r="4147" spans="1:4" ht="21.75" thickBot="1" x14ac:dyDescent="0.3">
      <c r="A4147" s="38"/>
      <c r="B4147" s="44"/>
      <c r="C4147" s="45"/>
      <c r="D4147" s="44"/>
    </row>
    <row r="4148" spans="1:4" ht="19.5" thickBot="1" x14ac:dyDescent="0.3">
      <c r="A4148" s="19"/>
      <c r="B4148" s="20"/>
      <c r="C4148" s="63"/>
      <c r="D4148" s="14"/>
    </row>
    <row r="4149" spans="1:4" ht="19.5" thickBot="1" x14ac:dyDescent="0.3">
      <c r="A4149" s="19"/>
      <c r="B4149" s="20"/>
      <c r="C4149" s="63"/>
      <c r="D4149" s="14"/>
    </row>
    <row r="4150" spans="1:4" ht="19.5" thickBot="1" x14ac:dyDescent="0.3">
      <c r="A4150" s="19"/>
      <c r="B4150" s="20"/>
      <c r="C4150" s="48"/>
      <c r="D4150" s="46"/>
    </row>
    <row r="4151" spans="1:4" ht="15.75" thickBot="1" x14ac:dyDescent="0.3">
      <c r="A4151" s="32"/>
      <c r="B4151" s="33"/>
      <c r="C4151" s="32"/>
      <c r="D4151" s="34"/>
    </row>
    <row r="4152" spans="1:4" ht="15.75" thickBot="1" x14ac:dyDescent="0.3">
      <c r="A4152" s="58"/>
      <c r="B4152" s="58"/>
      <c r="C4152" s="58"/>
      <c r="D4152" s="35"/>
    </row>
    <row r="4153" spans="1:4" ht="15.75" x14ac:dyDescent="0.25">
      <c r="A4153" s="285"/>
      <c r="B4153" s="59"/>
      <c r="C4153" s="59"/>
      <c r="D4153" s="60"/>
    </row>
    <row r="4154" spans="1:4" ht="16.5" thickBot="1" x14ac:dyDescent="0.3">
      <c r="A4154" s="286"/>
      <c r="B4154" s="62"/>
      <c r="C4154" s="62"/>
      <c r="D4154" s="61"/>
    </row>
    <row r="4155" spans="1:4" ht="15.75" x14ac:dyDescent="0.25">
      <c r="A4155" s="285"/>
      <c r="B4155" s="59"/>
      <c r="C4155" s="59"/>
      <c r="D4155" s="60"/>
    </row>
    <row r="4156" spans="1:4" ht="16.5" thickBot="1" x14ac:dyDescent="0.3">
      <c r="A4156" s="286"/>
      <c r="B4156" s="62"/>
      <c r="C4156" s="62"/>
      <c r="D4156" s="61"/>
    </row>
    <row r="4157" spans="1:4" ht="16.5" thickBot="1" x14ac:dyDescent="0.3">
      <c r="A4157" s="57"/>
      <c r="B4157" s="36"/>
      <c r="C4157" s="36"/>
      <c r="D4157" s="36"/>
    </row>
    <row r="4158" spans="1:4" ht="15.75" thickBot="1" x14ac:dyDescent="0.3">
      <c r="A4158" s="287"/>
      <c r="B4158" s="288"/>
      <c r="C4158" s="288"/>
      <c r="D4158" s="289"/>
    </row>
    <row r="4159" spans="1:4" ht="18.75" x14ac:dyDescent="0.25">
      <c r="A4159" s="5"/>
      <c r="B4159" s="6"/>
      <c r="C4159" s="7"/>
      <c r="D4159" s="8"/>
    </row>
    <row r="4160" spans="1:4" ht="19.5" thickBot="1" x14ac:dyDescent="0.3">
      <c r="A4160" s="9"/>
      <c r="B4160" s="10"/>
      <c r="C4160" s="10"/>
      <c r="D4160" s="11"/>
    </row>
    <row r="4161" spans="1:4" ht="21.75" thickBot="1" x14ac:dyDescent="0.3">
      <c r="A4161" s="43"/>
      <c r="B4161" s="290"/>
      <c r="C4161" s="291"/>
      <c r="D4161" s="43"/>
    </row>
    <row r="4162" spans="1:4" ht="21.75" thickBot="1" x14ac:dyDescent="0.3">
      <c r="A4162" s="38"/>
      <c r="B4162" s="44"/>
      <c r="C4162" s="45"/>
      <c r="D4162" s="44"/>
    </row>
    <row r="4163" spans="1:4" ht="19.5" thickBot="1" x14ac:dyDescent="0.3">
      <c r="A4163" s="19"/>
      <c r="B4163" s="20"/>
      <c r="C4163" s="63"/>
      <c r="D4163" s="14"/>
    </row>
    <row r="4164" spans="1:4" ht="19.5" thickBot="1" x14ac:dyDescent="0.3">
      <c r="A4164" s="19"/>
      <c r="B4164" s="20"/>
      <c r="C4164" s="48"/>
      <c r="D4164" s="46"/>
    </row>
    <row r="4165" spans="1:4" ht="15.75" thickBot="1" x14ac:dyDescent="0.3">
      <c r="A4165" s="32"/>
      <c r="B4165" s="33"/>
      <c r="C4165" s="32"/>
      <c r="D4165" s="34"/>
    </row>
    <row r="4166" spans="1:4" ht="15.75" thickBot="1" x14ac:dyDescent="0.3">
      <c r="A4166" s="58"/>
      <c r="B4166" s="58"/>
      <c r="C4166" s="58"/>
      <c r="D4166" s="35"/>
    </row>
    <row r="4167" spans="1:4" ht="15.75" x14ac:dyDescent="0.25">
      <c r="A4167" s="285"/>
      <c r="B4167" s="59"/>
      <c r="C4167" s="59"/>
      <c r="D4167" s="60"/>
    </row>
    <row r="4168" spans="1:4" ht="16.5" thickBot="1" x14ac:dyDescent="0.3">
      <c r="A4168" s="286"/>
      <c r="B4168" s="62"/>
      <c r="C4168" s="62"/>
      <c r="D4168" s="61"/>
    </row>
    <row r="4169" spans="1:4" ht="15.75" x14ac:dyDescent="0.25">
      <c r="A4169" s="285"/>
      <c r="B4169" s="59"/>
      <c r="C4169" s="59"/>
      <c r="D4169" s="60"/>
    </row>
    <row r="4170" spans="1:4" ht="16.5" thickBot="1" x14ac:dyDescent="0.3">
      <c r="A4170" s="286"/>
      <c r="B4170" s="62"/>
      <c r="C4170" s="62"/>
      <c r="D4170" s="61"/>
    </row>
    <row r="4171" spans="1:4" ht="16.5" thickBot="1" x14ac:dyDescent="0.3">
      <c r="A4171" s="57"/>
      <c r="B4171" s="36"/>
      <c r="C4171" s="36"/>
      <c r="D4171" s="36"/>
    </row>
    <row r="4172" spans="1:4" ht="15.75" thickBot="1" x14ac:dyDescent="0.3">
      <c r="A4172" s="287"/>
      <c r="B4172" s="288"/>
      <c r="C4172" s="288"/>
      <c r="D4172" s="289"/>
    </row>
    <row r="4173" spans="1:4" ht="18.75" x14ac:dyDescent="0.25">
      <c r="A4173" s="5"/>
      <c r="B4173" s="6"/>
      <c r="C4173" s="7"/>
      <c r="D4173" s="8"/>
    </row>
    <row r="4174" spans="1:4" ht="19.5" thickBot="1" x14ac:dyDescent="0.3">
      <c r="A4174" s="9"/>
      <c r="B4174" s="10"/>
      <c r="C4174" s="10"/>
      <c r="D4174" s="11"/>
    </row>
    <row r="4175" spans="1:4" ht="21.75" thickBot="1" x14ac:dyDescent="0.3">
      <c r="A4175" s="43"/>
      <c r="B4175" s="290"/>
      <c r="C4175" s="291"/>
      <c r="D4175" s="43"/>
    </row>
    <row r="4176" spans="1:4" ht="21.75" thickBot="1" x14ac:dyDescent="0.3">
      <c r="A4176" s="38"/>
      <c r="B4176" s="44"/>
      <c r="C4176" s="45"/>
      <c r="D4176" s="44"/>
    </row>
    <row r="4177" spans="1:4" ht="19.5" thickBot="1" x14ac:dyDescent="0.3">
      <c r="A4177" s="19"/>
      <c r="B4177" s="20"/>
      <c r="C4177" s="63"/>
      <c r="D4177" s="14"/>
    </row>
    <row r="4178" spans="1:4" ht="19.5" thickBot="1" x14ac:dyDescent="0.3">
      <c r="A4178" s="19"/>
      <c r="B4178" s="20"/>
      <c r="C4178" s="63"/>
      <c r="D4178" s="14"/>
    </row>
    <row r="4179" spans="1:4" ht="19.5" thickBot="1" x14ac:dyDescent="0.3">
      <c r="A4179" s="19"/>
      <c r="B4179" s="20"/>
      <c r="C4179" s="48"/>
      <c r="D4179" s="46"/>
    </row>
    <row r="4180" spans="1:4" ht="15.75" thickBot="1" x14ac:dyDescent="0.3">
      <c r="A4180" s="32"/>
      <c r="B4180" s="33"/>
      <c r="C4180" s="32"/>
      <c r="D4180" s="34"/>
    </row>
    <row r="4181" spans="1:4" ht="15.75" thickBot="1" x14ac:dyDescent="0.3">
      <c r="A4181" s="58"/>
      <c r="B4181" s="58"/>
      <c r="C4181" s="58"/>
      <c r="D4181" s="35"/>
    </row>
    <row r="4182" spans="1:4" ht="15.75" x14ac:dyDescent="0.25">
      <c r="A4182" s="285"/>
      <c r="B4182" s="59"/>
      <c r="C4182" s="59"/>
      <c r="D4182" s="60"/>
    </row>
    <row r="4183" spans="1:4" ht="16.5" thickBot="1" x14ac:dyDescent="0.3">
      <c r="A4183" s="286"/>
      <c r="B4183" s="62"/>
      <c r="C4183" s="62"/>
      <c r="D4183" s="61"/>
    </row>
    <row r="4184" spans="1:4" ht="15.75" x14ac:dyDescent="0.25">
      <c r="A4184" s="285"/>
      <c r="B4184" s="59"/>
      <c r="C4184" s="59"/>
      <c r="D4184" s="60"/>
    </row>
    <row r="4185" spans="1:4" ht="16.5" thickBot="1" x14ac:dyDescent="0.3">
      <c r="A4185" s="286"/>
      <c r="B4185" s="62"/>
      <c r="C4185" s="62"/>
      <c r="D4185" s="61"/>
    </row>
    <row r="4186" spans="1:4" ht="16.5" thickBot="1" x14ac:dyDescent="0.3">
      <c r="A4186" s="57"/>
      <c r="B4186" s="36"/>
      <c r="C4186" s="36"/>
      <c r="D4186" s="36"/>
    </row>
    <row r="4187" spans="1:4" ht="15.75" thickBot="1" x14ac:dyDescent="0.3">
      <c r="A4187" s="287"/>
      <c r="B4187" s="288"/>
      <c r="C4187" s="288"/>
      <c r="D4187" s="289"/>
    </row>
    <row r="4188" spans="1:4" ht="18.75" x14ac:dyDescent="0.25">
      <c r="A4188" s="5"/>
      <c r="B4188" s="6"/>
      <c r="C4188" s="7"/>
      <c r="D4188" s="8"/>
    </row>
    <row r="4189" spans="1:4" ht="19.5" thickBot="1" x14ac:dyDescent="0.3">
      <c r="A4189" s="9"/>
      <c r="B4189" s="10"/>
      <c r="C4189" s="10"/>
      <c r="D4189" s="11"/>
    </row>
    <row r="4190" spans="1:4" ht="21.75" thickBot="1" x14ac:dyDescent="0.3">
      <c r="A4190" s="43"/>
      <c r="B4190" s="290"/>
      <c r="C4190" s="291"/>
      <c r="D4190" s="43"/>
    </row>
    <row r="4191" spans="1:4" ht="21.75" thickBot="1" x14ac:dyDescent="0.3">
      <c r="A4191" s="38"/>
      <c r="B4191" s="44"/>
      <c r="C4191" s="45"/>
      <c r="D4191" s="44"/>
    </row>
    <row r="4192" spans="1:4" ht="19.5" thickBot="1" x14ac:dyDescent="0.3">
      <c r="A4192" s="19"/>
      <c r="B4192" s="20"/>
      <c r="C4192" s="63"/>
      <c r="D4192" s="14"/>
    </row>
    <row r="4193" spans="1:4" ht="19.5" thickBot="1" x14ac:dyDescent="0.3">
      <c r="A4193" s="19"/>
      <c r="B4193" s="20"/>
      <c r="C4193" s="48"/>
      <c r="D4193" s="46"/>
    </row>
    <row r="4194" spans="1:4" ht="15.75" thickBot="1" x14ac:dyDescent="0.3">
      <c r="A4194" s="32"/>
      <c r="B4194" s="33"/>
      <c r="C4194" s="32"/>
      <c r="D4194" s="34"/>
    </row>
    <row r="4195" spans="1:4" ht="15.75" thickBot="1" x14ac:dyDescent="0.3">
      <c r="A4195" s="58"/>
      <c r="B4195" s="58"/>
      <c r="C4195" s="58"/>
      <c r="D4195" s="35"/>
    </row>
    <row r="4196" spans="1:4" ht="15.75" x14ac:dyDescent="0.25">
      <c r="A4196" s="285"/>
      <c r="B4196" s="59"/>
      <c r="C4196" s="59"/>
      <c r="D4196" s="60"/>
    </row>
    <row r="4197" spans="1:4" ht="16.5" thickBot="1" x14ac:dyDescent="0.3">
      <c r="A4197" s="286"/>
      <c r="B4197" s="62"/>
      <c r="C4197" s="62"/>
      <c r="D4197" s="61"/>
    </row>
    <row r="4198" spans="1:4" ht="15.75" x14ac:dyDescent="0.25">
      <c r="A4198" s="285"/>
      <c r="B4198" s="59"/>
      <c r="C4198" s="59"/>
      <c r="D4198" s="60"/>
    </row>
    <row r="4199" spans="1:4" ht="16.5" thickBot="1" x14ac:dyDescent="0.3">
      <c r="A4199" s="286"/>
      <c r="B4199" s="62"/>
      <c r="C4199" s="62"/>
      <c r="D4199" s="61"/>
    </row>
    <row r="4200" spans="1:4" ht="16.5" thickBot="1" x14ac:dyDescent="0.3">
      <c r="A4200" s="57"/>
      <c r="B4200" s="36"/>
      <c r="C4200" s="36"/>
      <c r="D4200" s="36"/>
    </row>
    <row r="4201" spans="1:4" ht="15.75" thickBot="1" x14ac:dyDescent="0.3">
      <c r="A4201" s="287"/>
      <c r="B4201" s="288"/>
      <c r="C4201" s="288"/>
      <c r="D4201" s="289"/>
    </row>
    <row r="4202" spans="1:4" ht="18.75" x14ac:dyDescent="0.25">
      <c r="A4202" s="5"/>
      <c r="B4202" s="6"/>
      <c r="C4202" s="7"/>
      <c r="D4202" s="8"/>
    </row>
    <row r="4203" spans="1:4" ht="19.5" thickBot="1" x14ac:dyDescent="0.3">
      <c r="A4203" s="9"/>
      <c r="B4203" s="10"/>
      <c r="C4203" s="10"/>
      <c r="D4203" s="11"/>
    </row>
    <row r="4204" spans="1:4" ht="21.75" thickBot="1" x14ac:dyDescent="0.3">
      <c r="A4204" s="43"/>
      <c r="B4204" s="290"/>
      <c r="C4204" s="291"/>
      <c r="D4204" s="43"/>
    </row>
    <row r="4205" spans="1:4" ht="21.75" thickBot="1" x14ac:dyDescent="0.3">
      <c r="A4205" s="38"/>
      <c r="B4205" s="44"/>
      <c r="C4205" s="45"/>
      <c r="D4205" s="44"/>
    </row>
    <row r="4206" spans="1:4" ht="19.5" thickBot="1" x14ac:dyDescent="0.3">
      <c r="A4206" s="19"/>
      <c r="B4206" s="20"/>
      <c r="C4206" s="63"/>
      <c r="D4206" s="14"/>
    </row>
    <row r="4207" spans="1:4" ht="19.5" thickBot="1" x14ac:dyDescent="0.3">
      <c r="A4207" s="19"/>
      <c r="B4207" s="20"/>
      <c r="C4207" s="63"/>
      <c r="D4207" s="14"/>
    </row>
    <row r="4208" spans="1:4" ht="19.5" thickBot="1" x14ac:dyDescent="0.3">
      <c r="A4208" s="19"/>
      <c r="B4208" s="20"/>
      <c r="C4208" s="48"/>
      <c r="D4208" s="46"/>
    </row>
    <row r="4209" spans="1:4" ht="15.75" thickBot="1" x14ac:dyDescent="0.3">
      <c r="A4209" s="32"/>
      <c r="B4209" s="33"/>
      <c r="C4209" s="32"/>
      <c r="D4209" s="34"/>
    </row>
    <row r="4210" spans="1:4" ht="15.75" thickBot="1" x14ac:dyDescent="0.3">
      <c r="A4210" s="58"/>
      <c r="B4210" s="58"/>
      <c r="C4210" s="58"/>
      <c r="D4210" s="35"/>
    </row>
    <row r="4211" spans="1:4" ht="15.75" x14ac:dyDescent="0.25">
      <c r="A4211" s="285"/>
      <c r="B4211" s="59"/>
      <c r="C4211" s="59"/>
      <c r="D4211" s="60"/>
    </row>
    <row r="4212" spans="1:4" ht="16.5" thickBot="1" x14ac:dyDescent="0.3">
      <c r="A4212" s="286"/>
      <c r="B4212" s="62"/>
      <c r="C4212" s="62"/>
      <c r="D4212" s="61"/>
    </row>
    <row r="4213" spans="1:4" ht="15.75" x14ac:dyDescent="0.25">
      <c r="A4213" s="285"/>
      <c r="B4213" s="59"/>
      <c r="C4213" s="59"/>
      <c r="D4213" s="60"/>
    </row>
    <row r="4214" spans="1:4" ht="16.5" thickBot="1" x14ac:dyDescent="0.3">
      <c r="A4214" s="286"/>
      <c r="B4214" s="62"/>
      <c r="C4214" s="62"/>
      <c r="D4214" s="61"/>
    </row>
    <row r="4215" spans="1:4" ht="16.5" thickBot="1" x14ac:dyDescent="0.3">
      <c r="A4215" s="57"/>
      <c r="B4215" s="36"/>
      <c r="C4215" s="36"/>
      <c r="D4215" s="36"/>
    </row>
    <row r="4216" spans="1:4" ht="15.75" thickBot="1" x14ac:dyDescent="0.3">
      <c r="A4216" s="287"/>
      <c r="B4216" s="288"/>
      <c r="C4216" s="288"/>
      <c r="D4216" s="289"/>
    </row>
    <row r="4217" spans="1:4" ht="18.75" x14ac:dyDescent="0.25">
      <c r="A4217" s="5"/>
      <c r="B4217" s="6"/>
      <c r="C4217" s="7"/>
      <c r="D4217" s="8"/>
    </row>
    <row r="4218" spans="1:4" ht="19.5" thickBot="1" x14ac:dyDescent="0.3">
      <c r="A4218" s="9"/>
      <c r="B4218" s="10"/>
      <c r="C4218" s="10"/>
      <c r="D4218" s="11"/>
    </row>
    <row r="4219" spans="1:4" ht="21.75" thickBot="1" x14ac:dyDescent="0.3">
      <c r="A4219" s="43"/>
      <c r="B4219" s="290"/>
      <c r="C4219" s="291"/>
      <c r="D4219" s="43"/>
    </row>
    <row r="4220" spans="1:4" ht="21.75" thickBot="1" x14ac:dyDescent="0.3">
      <c r="A4220" s="38"/>
      <c r="B4220" s="44"/>
      <c r="C4220" s="45"/>
      <c r="D4220" s="44"/>
    </row>
    <row r="4221" spans="1:4" ht="19.5" thickBot="1" x14ac:dyDescent="0.3">
      <c r="A4221" s="19"/>
      <c r="B4221" s="20"/>
      <c r="C4221" s="63"/>
      <c r="D4221" s="14"/>
    </row>
    <row r="4222" spans="1:4" ht="19.5" thickBot="1" x14ac:dyDescent="0.3">
      <c r="A4222" s="19"/>
      <c r="B4222" s="20"/>
      <c r="C4222" s="48"/>
      <c r="D4222" s="46"/>
    </row>
    <row r="4223" spans="1:4" ht="15.75" thickBot="1" x14ac:dyDescent="0.3">
      <c r="A4223" s="32"/>
      <c r="B4223" s="33"/>
      <c r="C4223" s="32"/>
      <c r="D4223" s="34"/>
    </row>
    <row r="4224" spans="1:4" ht="15.75" thickBot="1" x14ac:dyDescent="0.3">
      <c r="A4224" s="58"/>
      <c r="B4224" s="58"/>
      <c r="C4224" s="58"/>
      <c r="D4224" s="35"/>
    </row>
    <row r="4225" spans="1:4" ht="15.75" x14ac:dyDescent="0.25">
      <c r="A4225" s="285"/>
      <c r="B4225" s="59"/>
      <c r="C4225" s="59"/>
      <c r="D4225" s="60"/>
    </row>
    <row r="4226" spans="1:4" ht="16.5" thickBot="1" x14ac:dyDescent="0.3">
      <c r="A4226" s="286"/>
      <c r="B4226" s="62"/>
      <c r="C4226" s="62"/>
      <c r="D4226" s="61"/>
    </row>
    <row r="4227" spans="1:4" ht="15.75" x14ac:dyDescent="0.25">
      <c r="A4227" s="285"/>
      <c r="B4227" s="59"/>
      <c r="C4227" s="59"/>
      <c r="D4227" s="60"/>
    </row>
    <row r="4228" spans="1:4" ht="16.5" thickBot="1" x14ac:dyDescent="0.3">
      <c r="A4228" s="286"/>
      <c r="B4228" s="62"/>
      <c r="C4228" s="62"/>
      <c r="D4228" s="61"/>
    </row>
    <row r="4229" spans="1:4" ht="16.5" thickBot="1" x14ac:dyDescent="0.3">
      <c r="A4229" s="57"/>
      <c r="B4229" s="36"/>
      <c r="C4229" s="36"/>
      <c r="D4229" s="36"/>
    </row>
    <row r="4230" spans="1:4" ht="15.75" thickBot="1" x14ac:dyDescent="0.3">
      <c r="A4230" s="287"/>
      <c r="B4230" s="288"/>
      <c r="C4230" s="288"/>
      <c r="D4230" s="289"/>
    </row>
    <row r="4231" spans="1:4" ht="18.75" x14ac:dyDescent="0.25">
      <c r="A4231" s="5"/>
      <c r="B4231" s="6"/>
      <c r="C4231" s="7"/>
      <c r="D4231" s="8"/>
    </row>
    <row r="4232" spans="1:4" ht="19.5" thickBot="1" x14ac:dyDescent="0.3">
      <c r="A4232" s="9"/>
      <c r="B4232" s="10"/>
      <c r="C4232" s="10"/>
      <c r="D4232" s="11"/>
    </row>
    <row r="4233" spans="1:4" ht="21.75" thickBot="1" x14ac:dyDescent="0.3">
      <c r="A4233" s="43"/>
      <c r="B4233" s="290"/>
      <c r="C4233" s="291"/>
      <c r="D4233" s="43"/>
    </row>
    <row r="4234" spans="1:4" ht="21.75" thickBot="1" x14ac:dyDescent="0.3">
      <c r="A4234" s="38"/>
      <c r="B4234" s="44"/>
      <c r="C4234" s="45"/>
      <c r="D4234" s="44"/>
    </row>
    <row r="4235" spans="1:4" ht="19.5" thickBot="1" x14ac:dyDescent="0.3">
      <c r="A4235" s="19"/>
      <c r="B4235" s="20"/>
      <c r="C4235" s="63"/>
      <c r="D4235" s="14"/>
    </row>
    <row r="4236" spans="1:4" ht="19.5" thickBot="1" x14ac:dyDescent="0.3">
      <c r="A4236" s="19"/>
      <c r="B4236" s="20"/>
      <c r="C4236" s="63"/>
      <c r="D4236" s="14"/>
    </row>
    <row r="4237" spans="1:4" ht="19.5" thickBot="1" x14ac:dyDescent="0.3">
      <c r="A4237" s="19"/>
      <c r="B4237" s="20"/>
      <c r="C4237" s="48"/>
      <c r="D4237" s="46"/>
    </row>
    <row r="4238" spans="1:4" ht="15.75" thickBot="1" x14ac:dyDescent="0.3">
      <c r="A4238" s="32"/>
      <c r="B4238" s="33"/>
      <c r="C4238" s="32"/>
      <c r="D4238" s="34"/>
    </row>
    <row r="4239" spans="1:4" ht="15.75" thickBot="1" x14ac:dyDescent="0.3">
      <c r="A4239" s="58"/>
      <c r="B4239" s="58"/>
      <c r="C4239" s="58"/>
      <c r="D4239" s="35"/>
    </row>
    <row r="4240" spans="1:4" ht="15.75" x14ac:dyDescent="0.25">
      <c r="A4240" s="285"/>
      <c r="B4240" s="59"/>
      <c r="C4240" s="59"/>
      <c r="D4240" s="60"/>
    </row>
    <row r="4241" spans="1:4" ht="16.5" thickBot="1" x14ac:dyDescent="0.3">
      <c r="A4241" s="286"/>
      <c r="B4241" s="62"/>
      <c r="C4241" s="62"/>
      <c r="D4241" s="61"/>
    </row>
    <row r="4242" spans="1:4" ht="15.75" x14ac:dyDescent="0.25">
      <c r="A4242" s="285"/>
      <c r="B4242" s="59"/>
      <c r="C4242" s="59"/>
      <c r="D4242" s="60"/>
    </row>
    <row r="4243" spans="1:4" ht="16.5" thickBot="1" x14ac:dyDescent="0.3">
      <c r="A4243" s="286"/>
      <c r="B4243" s="62"/>
      <c r="C4243" s="62"/>
      <c r="D4243" s="61"/>
    </row>
    <row r="4244" spans="1:4" ht="16.5" thickBot="1" x14ac:dyDescent="0.3">
      <c r="A4244" s="57"/>
      <c r="B4244" s="36"/>
      <c r="C4244" s="36"/>
      <c r="D4244" s="36"/>
    </row>
    <row r="4245" spans="1:4" ht="15.75" thickBot="1" x14ac:dyDescent="0.3">
      <c r="A4245" s="287"/>
      <c r="B4245" s="288"/>
      <c r="C4245" s="288"/>
      <c r="D4245" s="289"/>
    </row>
    <row r="4246" spans="1:4" ht="18.75" x14ac:dyDescent="0.25">
      <c r="A4246" s="5"/>
      <c r="B4246" s="6"/>
      <c r="C4246" s="7"/>
      <c r="D4246" s="8"/>
    </row>
    <row r="4247" spans="1:4" ht="19.5" thickBot="1" x14ac:dyDescent="0.3">
      <c r="A4247" s="9"/>
      <c r="B4247" s="10"/>
      <c r="C4247" s="10"/>
      <c r="D4247" s="11"/>
    </row>
    <row r="4248" spans="1:4" ht="21.75" thickBot="1" x14ac:dyDescent="0.3">
      <c r="A4248" s="43"/>
      <c r="B4248" s="290"/>
      <c r="C4248" s="291"/>
      <c r="D4248" s="43"/>
    </row>
    <row r="4249" spans="1:4" ht="21.75" thickBot="1" x14ac:dyDescent="0.3">
      <c r="A4249" s="38"/>
      <c r="B4249" s="44"/>
      <c r="C4249" s="45"/>
      <c r="D4249" s="44"/>
    </row>
    <row r="4250" spans="1:4" ht="19.5" thickBot="1" x14ac:dyDescent="0.3">
      <c r="A4250" s="19"/>
      <c r="B4250" s="20"/>
      <c r="C4250" s="63"/>
      <c r="D4250" s="14"/>
    </row>
    <row r="4251" spans="1:4" ht="19.5" thickBot="1" x14ac:dyDescent="0.3">
      <c r="A4251" s="19"/>
      <c r="B4251" s="20"/>
      <c r="C4251" s="48"/>
      <c r="D4251" s="46"/>
    </row>
    <row r="4252" spans="1:4" ht="15.75" thickBot="1" x14ac:dyDescent="0.3">
      <c r="A4252" s="32"/>
      <c r="B4252" s="33"/>
      <c r="C4252" s="32"/>
      <c r="D4252" s="34"/>
    </row>
    <row r="4253" spans="1:4" ht="15.75" thickBot="1" x14ac:dyDescent="0.3">
      <c r="A4253" s="58"/>
      <c r="B4253" s="58"/>
      <c r="C4253" s="58"/>
      <c r="D4253" s="35"/>
    </row>
    <row r="4254" spans="1:4" ht="15.75" x14ac:dyDescent="0.25">
      <c r="A4254" s="285"/>
      <c r="B4254" s="59"/>
      <c r="C4254" s="59"/>
      <c r="D4254" s="60"/>
    </row>
    <row r="4255" spans="1:4" ht="16.5" thickBot="1" x14ac:dyDescent="0.3">
      <c r="A4255" s="286"/>
      <c r="B4255" s="62"/>
      <c r="C4255" s="62"/>
      <c r="D4255" s="61"/>
    </row>
    <row r="4256" spans="1:4" ht="15.75" x14ac:dyDescent="0.25">
      <c r="A4256" s="285"/>
      <c r="B4256" s="59"/>
      <c r="C4256" s="59"/>
      <c r="D4256" s="60"/>
    </row>
    <row r="4257" spans="1:4" ht="16.5" thickBot="1" x14ac:dyDescent="0.3">
      <c r="A4257" s="286"/>
      <c r="B4257" s="62"/>
      <c r="C4257" s="62"/>
      <c r="D4257" s="61"/>
    </row>
    <row r="4258" spans="1:4" ht="16.5" thickBot="1" x14ac:dyDescent="0.3">
      <c r="A4258" s="57"/>
      <c r="B4258" s="36"/>
      <c r="C4258" s="36"/>
      <c r="D4258" s="36"/>
    </row>
    <row r="4259" spans="1:4" ht="15.75" thickBot="1" x14ac:dyDescent="0.3">
      <c r="A4259" s="287"/>
      <c r="B4259" s="288"/>
      <c r="C4259" s="288"/>
      <c r="D4259" s="289"/>
    </row>
    <row r="4260" spans="1:4" ht="18.75" x14ac:dyDescent="0.25">
      <c r="A4260" s="5"/>
      <c r="B4260" s="6"/>
      <c r="C4260" s="7"/>
      <c r="D4260" s="8"/>
    </row>
    <row r="4261" spans="1:4" ht="19.5" thickBot="1" x14ac:dyDescent="0.3">
      <c r="A4261" s="9"/>
      <c r="B4261" s="10"/>
      <c r="C4261" s="10"/>
      <c r="D4261" s="11"/>
    </row>
    <row r="4262" spans="1:4" ht="21.75" thickBot="1" x14ac:dyDescent="0.3">
      <c r="A4262" s="43"/>
      <c r="B4262" s="290"/>
      <c r="C4262" s="291"/>
      <c r="D4262" s="43"/>
    </row>
    <row r="4263" spans="1:4" ht="21.75" thickBot="1" x14ac:dyDescent="0.3">
      <c r="A4263" s="38"/>
      <c r="B4263" s="44"/>
      <c r="C4263" s="45"/>
      <c r="D4263" s="44"/>
    </row>
    <row r="4264" spans="1:4" ht="19.5" thickBot="1" x14ac:dyDescent="0.3">
      <c r="A4264" s="19"/>
      <c r="B4264" s="20"/>
      <c r="C4264" s="63"/>
      <c r="D4264" s="14"/>
    </row>
    <row r="4265" spans="1:4" ht="19.5" thickBot="1" x14ac:dyDescent="0.3">
      <c r="A4265" s="19"/>
      <c r="B4265" s="20"/>
      <c r="C4265" s="63"/>
      <c r="D4265" s="14"/>
    </row>
    <row r="4266" spans="1:4" ht="19.5" thickBot="1" x14ac:dyDescent="0.3">
      <c r="A4266" s="19"/>
      <c r="B4266" s="20"/>
      <c r="C4266" s="48"/>
      <c r="D4266" s="46"/>
    </row>
    <row r="4267" spans="1:4" ht="15.75" thickBot="1" x14ac:dyDescent="0.3">
      <c r="A4267" s="32"/>
      <c r="B4267" s="33"/>
      <c r="C4267" s="32"/>
      <c r="D4267" s="34"/>
    </row>
    <row r="4268" spans="1:4" ht="15.75" thickBot="1" x14ac:dyDescent="0.3">
      <c r="A4268" s="58"/>
      <c r="B4268" s="58"/>
      <c r="C4268" s="58"/>
      <c r="D4268" s="35"/>
    </row>
    <row r="4269" spans="1:4" ht="15.75" x14ac:dyDescent="0.25">
      <c r="A4269" s="285"/>
      <c r="B4269" s="59"/>
      <c r="C4269" s="59"/>
      <c r="D4269" s="60"/>
    </row>
    <row r="4270" spans="1:4" ht="16.5" thickBot="1" x14ac:dyDescent="0.3">
      <c r="A4270" s="286"/>
      <c r="B4270" s="62"/>
      <c r="C4270" s="62"/>
      <c r="D4270" s="61"/>
    </row>
    <row r="4271" spans="1:4" ht="15.75" x14ac:dyDescent="0.25">
      <c r="A4271" s="285"/>
      <c r="B4271" s="59"/>
      <c r="C4271" s="59"/>
      <c r="D4271" s="60"/>
    </row>
    <row r="4272" spans="1:4" ht="16.5" thickBot="1" x14ac:dyDescent="0.3">
      <c r="A4272" s="286"/>
      <c r="B4272" s="62"/>
      <c r="C4272" s="62"/>
      <c r="D4272" s="61"/>
    </row>
    <row r="4273" spans="1:4" ht="16.5" thickBot="1" x14ac:dyDescent="0.3">
      <c r="A4273" s="57"/>
      <c r="B4273" s="36"/>
      <c r="C4273" s="36"/>
      <c r="D4273" s="36"/>
    </row>
    <row r="4274" spans="1:4" ht="15.75" thickBot="1" x14ac:dyDescent="0.3">
      <c r="A4274" s="287"/>
      <c r="B4274" s="288"/>
      <c r="C4274" s="288"/>
      <c r="D4274" s="289"/>
    </row>
    <row r="4275" spans="1:4" ht="18.75" x14ac:dyDescent="0.25">
      <c r="A4275" s="5"/>
      <c r="B4275" s="6"/>
      <c r="C4275" s="7"/>
      <c r="D4275" s="8"/>
    </row>
    <row r="4276" spans="1:4" ht="19.5" thickBot="1" x14ac:dyDescent="0.3">
      <c r="A4276" s="9"/>
      <c r="B4276" s="10"/>
      <c r="C4276" s="10"/>
      <c r="D4276" s="11"/>
    </row>
    <row r="4277" spans="1:4" ht="21.75" thickBot="1" x14ac:dyDescent="0.3">
      <c r="A4277" s="43"/>
      <c r="B4277" s="290"/>
      <c r="C4277" s="291"/>
      <c r="D4277" s="43"/>
    </row>
    <row r="4278" spans="1:4" ht="21.75" thickBot="1" x14ac:dyDescent="0.3">
      <c r="A4278" s="38"/>
      <c r="B4278" s="44"/>
      <c r="C4278" s="45"/>
      <c r="D4278" s="44"/>
    </row>
    <row r="4279" spans="1:4" ht="19.5" thickBot="1" x14ac:dyDescent="0.3">
      <c r="A4279" s="19"/>
      <c r="B4279" s="20"/>
      <c r="C4279" s="63"/>
      <c r="D4279" s="14"/>
    </row>
    <row r="4280" spans="1:4" ht="19.5" thickBot="1" x14ac:dyDescent="0.3">
      <c r="A4280" s="19"/>
      <c r="B4280" s="20"/>
      <c r="C4280" s="48"/>
      <c r="D4280" s="46"/>
    </row>
    <row r="4281" spans="1:4" ht="15.75" thickBot="1" x14ac:dyDescent="0.3">
      <c r="A4281" s="32"/>
      <c r="B4281" s="33"/>
      <c r="C4281" s="32"/>
      <c r="D4281" s="34"/>
    </row>
    <row r="4282" spans="1:4" ht="15.75" thickBot="1" x14ac:dyDescent="0.3">
      <c r="A4282" s="58"/>
      <c r="B4282" s="58"/>
      <c r="C4282" s="58"/>
      <c r="D4282" s="35"/>
    </row>
    <row r="4283" spans="1:4" ht="15.75" x14ac:dyDescent="0.25">
      <c r="A4283" s="285"/>
      <c r="B4283" s="59"/>
      <c r="C4283" s="59"/>
      <c r="D4283" s="60"/>
    </row>
    <row r="4284" spans="1:4" ht="16.5" thickBot="1" x14ac:dyDescent="0.3">
      <c r="A4284" s="286"/>
      <c r="B4284" s="62"/>
      <c r="C4284" s="62"/>
      <c r="D4284" s="61"/>
    </row>
    <row r="4285" spans="1:4" ht="15.75" x14ac:dyDescent="0.25">
      <c r="A4285" s="285"/>
      <c r="B4285" s="59"/>
      <c r="C4285" s="59"/>
      <c r="D4285" s="60"/>
    </row>
    <row r="4286" spans="1:4" ht="16.5" thickBot="1" x14ac:dyDescent="0.3">
      <c r="A4286" s="286"/>
      <c r="B4286" s="62"/>
      <c r="C4286" s="62"/>
      <c r="D4286" s="61"/>
    </row>
    <row r="4287" spans="1:4" ht="16.5" thickBot="1" x14ac:dyDescent="0.3">
      <c r="A4287" s="57"/>
      <c r="B4287" s="36"/>
      <c r="C4287" s="36"/>
      <c r="D4287" s="36"/>
    </row>
    <row r="4288" spans="1:4" ht="15.75" thickBot="1" x14ac:dyDescent="0.3">
      <c r="A4288" s="287"/>
      <c r="B4288" s="288"/>
      <c r="C4288" s="288"/>
      <c r="D4288" s="289"/>
    </row>
    <row r="4289" spans="1:4" ht="18.75" x14ac:dyDescent="0.25">
      <c r="A4289" s="5"/>
      <c r="B4289" s="6"/>
      <c r="C4289" s="7"/>
      <c r="D4289" s="8"/>
    </row>
    <row r="4290" spans="1:4" ht="19.5" thickBot="1" x14ac:dyDescent="0.3">
      <c r="A4290" s="9"/>
      <c r="B4290" s="10"/>
      <c r="C4290" s="10"/>
      <c r="D4290" s="11"/>
    </row>
    <row r="4291" spans="1:4" ht="21.75" thickBot="1" x14ac:dyDescent="0.3">
      <c r="A4291" s="43"/>
      <c r="B4291" s="290"/>
      <c r="C4291" s="291"/>
      <c r="D4291" s="43"/>
    </row>
    <row r="4292" spans="1:4" ht="21.75" thickBot="1" x14ac:dyDescent="0.3">
      <c r="A4292" s="38"/>
      <c r="B4292" s="44"/>
      <c r="C4292" s="45"/>
      <c r="D4292" s="44"/>
    </row>
    <row r="4293" spans="1:4" ht="19.5" thickBot="1" x14ac:dyDescent="0.3">
      <c r="A4293" s="19"/>
      <c r="B4293" s="20"/>
      <c r="C4293" s="63"/>
      <c r="D4293" s="14"/>
    </row>
    <row r="4294" spans="1:4" ht="19.5" thickBot="1" x14ac:dyDescent="0.3">
      <c r="A4294" s="19"/>
      <c r="B4294" s="20"/>
      <c r="C4294" s="63"/>
      <c r="D4294" s="14"/>
    </row>
    <row r="4295" spans="1:4" ht="19.5" thickBot="1" x14ac:dyDescent="0.3">
      <c r="A4295" s="19"/>
      <c r="B4295" s="20"/>
      <c r="C4295" s="48"/>
      <c r="D4295" s="46"/>
    </row>
    <row r="4296" spans="1:4" ht="15.75" thickBot="1" x14ac:dyDescent="0.3">
      <c r="A4296" s="32"/>
      <c r="B4296" s="33"/>
      <c r="C4296" s="32"/>
      <c r="D4296" s="34"/>
    </row>
    <row r="4297" spans="1:4" ht="15.75" thickBot="1" x14ac:dyDescent="0.3">
      <c r="A4297" s="58"/>
      <c r="B4297" s="58"/>
      <c r="C4297" s="58"/>
      <c r="D4297" s="35"/>
    </row>
    <row r="4298" spans="1:4" ht="15.75" x14ac:dyDescent="0.25">
      <c r="A4298" s="285"/>
      <c r="B4298" s="59"/>
      <c r="C4298" s="59"/>
      <c r="D4298" s="60"/>
    </row>
    <row r="4299" spans="1:4" ht="16.5" thickBot="1" x14ac:dyDescent="0.3">
      <c r="A4299" s="286"/>
      <c r="B4299" s="62"/>
      <c r="C4299" s="62"/>
      <c r="D4299" s="61"/>
    </row>
    <row r="4300" spans="1:4" ht="15.75" x14ac:dyDescent="0.25">
      <c r="A4300" s="285"/>
      <c r="B4300" s="59"/>
      <c r="C4300" s="59"/>
      <c r="D4300" s="60"/>
    </row>
    <row r="4301" spans="1:4" ht="16.5" thickBot="1" x14ac:dyDescent="0.3">
      <c r="A4301" s="286"/>
      <c r="B4301" s="62"/>
      <c r="C4301" s="62"/>
      <c r="D4301" s="61"/>
    </row>
    <row r="4302" spans="1:4" ht="16.5" thickBot="1" x14ac:dyDescent="0.3">
      <c r="A4302" s="57"/>
      <c r="B4302" s="36"/>
      <c r="C4302" s="36"/>
      <c r="D4302" s="36"/>
    </row>
    <row r="4303" spans="1:4" ht="15.75" thickBot="1" x14ac:dyDescent="0.3">
      <c r="A4303" s="287"/>
      <c r="B4303" s="288"/>
      <c r="C4303" s="288"/>
      <c r="D4303" s="289"/>
    </row>
    <row r="4304" spans="1:4" ht="18.75" x14ac:dyDescent="0.25">
      <c r="A4304" s="5"/>
      <c r="B4304" s="6"/>
      <c r="C4304" s="7"/>
      <c r="D4304" s="8"/>
    </row>
    <row r="4305" spans="1:4" ht="19.5" thickBot="1" x14ac:dyDescent="0.3">
      <c r="A4305" s="9"/>
      <c r="B4305" s="10"/>
      <c r="C4305" s="10"/>
      <c r="D4305" s="11"/>
    </row>
    <row r="4306" spans="1:4" ht="21.75" thickBot="1" x14ac:dyDescent="0.3">
      <c r="A4306" s="43"/>
      <c r="B4306" s="290"/>
      <c r="C4306" s="291"/>
      <c r="D4306" s="43"/>
    </row>
    <row r="4307" spans="1:4" ht="21.75" thickBot="1" x14ac:dyDescent="0.3">
      <c r="A4307" s="38"/>
      <c r="B4307" s="44"/>
      <c r="C4307" s="45"/>
      <c r="D4307" s="44"/>
    </row>
    <row r="4308" spans="1:4" ht="19.5" thickBot="1" x14ac:dyDescent="0.3">
      <c r="A4308" s="19"/>
      <c r="B4308" s="20"/>
      <c r="C4308" s="63"/>
      <c r="D4308" s="14"/>
    </row>
    <row r="4309" spans="1:4" ht="19.5" thickBot="1" x14ac:dyDescent="0.3">
      <c r="A4309" s="19"/>
      <c r="B4309" s="20"/>
      <c r="C4309" s="48"/>
      <c r="D4309" s="46"/>
    </row>
    <row r="4310" spans="1:4" ht="15.75" thickBot="1" x14ac:dyDescent="0.3">
      <c r="A4310" s="32"/>
      <c r="B4310" s="33"/>
      <c r="C4310" s="32"/>
      <c r="D4310" s="34"/>
    </row>
    <row r="4311" spans="1:4" ht="15.75" thickBot="1" x14ac:dyDescent="0.3">
      <c r="A4311" s="58"/>
      <c r="B4311" s="58"/>
      <c r="C4311" s="58"/>
      <c r="D4311" s="35"/>
    </row>
    <row r="4312" spans="1:4" ht="15.75" x14ac:dyDescent="0.25">
      <c r="A4312" s="285"/>
      <c r="B4312" s="59"/>
      <c r="C4312" s="59"/>
      <c r="D4312" s="60"/>
    </row>
    <row r="4313" spans="1:4" ht="16.5" thickBot="1" x14ac:dyDescent="0.3">
      <c r="A4313" s="286"/>
      <c r="B4313" s="62"/>
      <c r="C4313" s="62"/>
      <c r="D4313" s="61"/>
    </row>
    <row r="4314" spans="1:4" ht="15.75" x14ac:dyDescent="0.25">
      <c r="A4314" s="285"/>
      <c r="B4314" s="59"/>
      <c r="C4314" s="59"/>
      <c r="D4314" s="60"/>
    </row>
    <row r="4315" spans="1:4" ht="16.5" thickBot="1" x14ac:dyDescent="0.3">
      <c r="A4315" s="286"/>
      <c r="B4315" s="62"/>
      <c r="C4315" s="62"/>
      <c r="D4315" s="61"/>
    </row>
    <row r="4316" spans="1:4" ht="16.5" thickBot="1" x14ac:dyDescent="0.3">
      <c r="A4316" s="57"/>
      <c r="B4316" s="36"/>
      <c r="C4316" s="36"/>
      <c r="D4316" s="36"/>
    </row>
    <row r="4317" spans="1:4" ht="15.75" thickBot="1" x14ac:dyDescent="0.3">
      <c r="A4317" s="287"/>
      <c r="B4317" s="288"/>
      <c r="C4317" s="288"/>
      <c r="D4317" s="289"/>
    </row>
    <row r="4318" spans="1:4" ht="18.75" x14ac:dyDescent="0.25">
      <c r="A4318" s="5"/>
      <c r="B4318" s="6"/>
      <c r="C4318" s="7"/>
      <c r="D4318" s="8"/>
    </row>
    <row r="4319" spans="1:4" ht="19.5" thickBot="1" x14ac:dyDescent="0.3">
      <c r="A4319" s="9"/>
      <c r="B4319" s="10"/>
      <c r="C4319" s="10"/>
      <c r="D4319" s="11"/>
    </row>
    <row r="4320" spans="1:4" ht="21.75" thickBot="1" x14ac:dyDescent="0.3">
      <c r="A4320" s="43"/>
      <c r="B4320" s="290"/>
      <c r="C4320" s="291"/>
      <c r="D4320" s="43"/>
    </row>
    <row r="4321" spans="1:4" ht="21.75" thickBot="1" x14ac:dyDescent="0.3">
      <c r="A4321" s="38"/>
      <c r="B4321" s="44"/>
      <c r="C4321" s="45"/>
      <c r="D4321" s="44"/>
    </row>
    <row r="4322" spans="1:4" ht="19.5" thickBot="1" x14ac:dyDescent="0.3">
      <c r="A4322" s="19"/>
      <c r="B4322" s="20"/>
      <c r="C4322" s="63"/>
      <c r="D4322" s="14"/>
    </row>
    <row r="4323" spans="1:4" ht="19.5" thickBot="1" x14ac:dyDescent="0.3">
      <c r="A4323" s="19"/>
      <c r="B4323" s="20"/>
      <c r="C4323" s="63"/>
      <c r="D4323" s="14"/>
    </row>
    <row r="4324" spans="1:4" ht="19.5" thickBot="1" x14ac:dyDescent="0.3">
      <c r="A4324" s="19"/>
      <c r="B4324" s="20"/>
      <c r="C4324" s="48"/>
      <c r="D4324" s="46"/>
    </row>
    <row r="4325" spans="1:4" ht="15.75" thickBot="1" x14ac:dyDescent="0.3">
      <c r="A4325" s="32"/>
      <c r="B4325" s="33"/>
      <c r="C4325" s="32"/>
      <c r="D4325" s="34"/>
    </row>
    <row r="4326" spans="1:4" ht="15.75" thickBot="1" x14ac:dyDescent="0.3">
      <c r="A4326" s="58"/>
      <c r="B4326" s="58"/>
      <c r="C4326" s="58"/>
      <c r="D4326" s="35"/>
    </row>
    <row r="4327" spans="1:4" ht="15.75" x14ac:dyDescent="0.25">
      <c r="A4327" s="285"/>
      <c r="B4327" s="59"/>
      <c r="C4327" s="59"/>
      <c r="D4327" s="60"/>
    </row>
    <row r="4328" spans="1:4" ht="16.5" thickBot="1" x14ac:dyDescent="0.3">
      <c r="A4328" s="286"/>
      <c r="B4328" s="62"/>
      <c r="C4328" s="62"/>
      <c r="D4328" s="61"/>
    </row>
    <row r="4329" spans="1:4" ht="15.75" x14ac:dyDescent="0.25">
      <c r="A4329" s="285"/>
      <c r="B4329" s="59"/>
      <c r="C4329" s="59"/>
      <c r="D4329" s="60"/>
    </row>
    <row r="4330" spans="1:4" ht="16.5" thickBot="1" x14ac:dyDescent="0.3">
      <c r="A4330" s="286"/>
      <c r="B4330" s="62"/>
      <c r="C4330" s="62"/>
      <c r="D4330" s="61"/>
    </row>
    <row r="4331" spans="1:4" ht="16.5" thickBot="1" x14ac:dyDescent="0.3">
      <c r="A4331" s="57"/>
      <c r="B4331" s="36"/>
      <c r="C4331" s="36"/>
      <c r="D4331" s="36"/>
    </row>
    <row r="4332" spans="1:4" ht="15.75" thickBot="1" x14ac:dyDescent="0.3">
      <c r="A4332" s="287"/>
      <c r="B4332" s="288"/>
      <c r="C4332" s="288"/>
      <c r="D4332" s="289"/>
    </row>
    <row r="4333" spans="1:4" ht="18.75" x14ac:dyDescent="0.25">
      <c r="A4333" s="5"/>
      <c r="B4333" s="6"/>
      <c r="C4333" s="7"/>
      <c r="D4333" s="8"/>
    </row>
    <row r="4334" spans="1:4" ht="19.5" thickBot="1" x14ac:dyDescent="0.3">
      <c r="A4334" s="9"/>
      <c r="B4334" s="10"/>
      <c r="C4334" s="10"/>
      <c r="D4334" s="11"/>
    </row>
    <row r="4335" spans="1:4" ht="21.75" thickBot="1" x14ac:dyDescent="0.3">
      <c r="A4335" s="43"/>
      <c r="B4335" s="290"/>
      <c r="C4335" s="291"/>
      <c r="D4335" s="43"/>
    </row>
    <row r="4336" spans="1:4" ht="21.75" thickBot="1" x14ac:dyDescent="0.3">
      <c r="A4336" s="38"/>
      <c r="B4336" s="44"/>
      <c r="C4336" s="45"/>
      <c r="D4336" s="44"/>
    </row>
    <row r="4337" spans="1:4" ht="19.5" thickBot="1" x14ac:dyDescent="0.3">
      <c r="A4337" s="19"/>
      <c r="B4337" s="20"/>
      <c r="C4337" s="63"/>
      <c r="D4337" s="14"/>
    </row>
    <row r="4338" spans="1:4" ht="19.5" thickBot="1" x14ac:dyDescent="0.3">
      <c r="A4338" s="19"/>
      <c r="B4338" s="20"/>
      <c r="C4338" s="48"/>
      <c r="D4338" s="46"/>
    </row>
    <row r="4339" spans="1:4" ht="15.75" thickBot="1" x14ac:dyDescent="0.3">
      <c r="A4339" s="32"/>
      <c r="B4339" s="33"/>
      <c r="C4339" s="32"/>
      <c r="D4339" s="34"/>
    </row>
    <row r="4340" spans="1:4" ht="15.75" thickBot="1" x14ac:dyDescent="0.3">
      <c r="A4340" s="58"/>
      <c r="B4340" s="58"/>
      <c r="C4340" s="58"/>
      <c r="D4340" s="35"/>
    </row>
    <row r="4341" spans="1:4" ht="15.75" x14ac:dyDescent="0.25">
      <c r="A4341" s="285"/>
      <c r="B4341" s="59"/>
      <c r="C4341" s="59"/>
      <c r="D4341" s="60"/>
    </row>
    <row r="4342" spans="1:4" ht="16.5" thickBot="1" x14ac:dyDescent="0.3">
      <c r="A4342" s="286"/>
      <c r="B4342" s="62"/>
      <c r="C4342" s="62"/>
      <c r="D4342" s="61"/>
    </row>
    <row r="4343" spans="1:4" ht="15.75" x14ac:dyDescent="0.25">
      <c r="A4343" s="285"/>
      <c r="B4343" s="59"/>
      <c r="C4343" s="59"/>
      <c r="D4343" s="60"/>
    </row>
    <row r="4344" spans="1:4" ht="16.5" thickBot="1" x14ac:dyDescent="0.3">
      <c r="A4344" s="286"/>
      <c r="B4344" s="62"/>
      <c r="C4344" s="62"/>
      <c r="D4344" s="61"/>
    </row>
    <row r="4345" spans="1:4" ht="16.5" thickBot="1" x14ac:dyDescent="0.3">
      <c r="A4345" s="57"/>
      <c r="B4345" s="36"/>
      <c r="C4345" s="36"/>
      <c r="D4345" s="36"/>
    </row>
    <row r="4346" spans="1:4" ht="15.75" thickBot="1" x14ac:dyDescent="0.3">
      <c r="A4346" s="287"/>
      <c r="B4346" s="288"/>
      <c r="C4346" s="288"/>
      <c r="D4346" s="289"/>
    </row>
    <row r="4347" spans="1:4" ht="18.75" x14ac:dyDescent="0.25">
      <c r="A4347" s="5"/>
      <c r="B4347" s="6"/>
      <c r="C4347" s="7"/>
      <c r="D4347" s="8"/>
    </row>
    <row r="4348" spans="1:4" ht="19.5" thickBot="1" x14ac:dyDescent="0.3">
      <c r="A4348" s="9"/>
      <c r="B4348" s="10"/>
      <c r="C4348" s="10"/>
      <c r="D4348" s="11"/>
    </row>
    <row r="4349" spans="1:4" ht="21.75" thickBot="1" x14ac:dyDescent="0.3">
      <c r="A4349" s="43"/>
      <c r="B4349" s="290"/>
      <c r="C4349" s="291"/>
      <c r="D4349" s="43"/>
    </row>
    <row r="4350" spans="1:4" ht="21.75" thickBot="1" x14ac:dyDescent="0.3">
      <c r="A4350" s="38"/>
      <c r="B4350" s="44"/>
      <c r="C4350" s="45"/>
      <c r="D4350" s="44"/>
    </row>
    <row r="4351" spans="1:4" ht="19.5" thickBot="1" x14ac:dyDescent="0.3">
      <c r="A4351" s="19"/>
      <c r="B4351" s="20"/>
      <c r="C4351" s="63"/>
      <c r="D4351" s="14"/>
    </row>
    <row r="4352" spans="1:4" ht="19.5" thickBot="1" x14ac:dyDescent="0.3">
      <c r="A4352" s="19"/>
      <c r="B4352" s="20"/>
      <c r="C4352" s="63"/>
      <c r="D4352" s="14"/>
    </row>
    <row r="4353" spans="1:4" ht="19.5" thickBot="1" x14ac:dyDescent="0.3">
      <c r="A4353" s="19"/>
      <c r="B4353" s="20"/>
      <c r="C4353" s="48"/>
      <c r="D4353" s="46"/>
    </row>
    <row r="4354" spans="1:4" ht="15.75" thickBot="1" x14ac:dyDescent="0.3">
      <c r="A4354" s="32"/>
      <c r="B4354" s="33"/>
      <c r="C4354" s="32"/>
      <c r="D4354" s="34"/>
    </row>
    <row r="4355" spans="1:4" ht="15.75" thickBot="1" x14ac:dyDescent="0.3">
      <c r="A4355" s="58"/>
      <c r="B4355" s="58"/>
      <c r="C4355" s="58"/>
      <c r="D4355" s="35"/>
    </row>
    <row r="4356" spans="1:4" ht="15.75" x14ac:dyDescent="0.25">
      <c r="A4356" s="285"/>
      <c r="B4356" s="59"/>
      <c r="C4356" s="59"/>
      <c r="D4356" s="60"/>
    </row>
    <row r="4357" spans="1:4" ht="16.5" thickBot="1" x14ac:dyDescent="0.3">
      <c r="A4357" s="286"/>
      <c r="B4357" s="62"/>
      <c r="C4357" s="62"/>
      <c r="D4357" s="61"/>
    </row>
    <row r="4358" spans="1:4" ht="15.75" x14ac:dyDescent="0.25">
      <c r="A4358" s="285"/>
      <c r="B4358" s="59"/>
      <c r="C4358" s="59"/>
      <c r="D4358" s="60"/>
    </row>
    <row r="4359" spans="1:4" ht="16.5" thickBot="1" x14ac:dyDescent="0.3">
      <c r="A4359" s="286"/>
      <c r="B4359" s="62"/>
      <c r="C4359" s="62"/>
      <c r="D4359" s="61"/>
    </row>
    <row r="4360" spans="1:4" ht="16.5" thickBot="1" x14ac:dyDescent="0.3">
      <c r="A4360" s="57"/>
      <c r="B4360" s="36"/>
      <c r="C4360" s="36"/>
      <c r="D4360" s="36"/>
    </row>
    <row r="4361" spans="1:4" ht="15.75" thickBot="1" x14ac:dyDescent="0.3">
      <c r="A4361" s="287"/>
      <c r="B4361" s="288"/>
      <c r="C4361" s="288"/>
      <c r="D4361" s="289"/>
    </row>
    <row r="4362" spans="1:4" ht="18.75" x14ac:dyDescent="0.25">
      <c r="A4362" s="5"/>
      <c r="B4362" s="6"/>
      <c r="C4362" s="7"/>
      <c r="D4362" s="8"/>
    </row>
    <row r="4363" spans="1:4" ht="19.5" thickBot="1" x14ac:dyDescent="0.3">
      <c r="A4363" s="9"/>
      <c r="B4363" s="10"/>
      <c r="C4363" s="10"/>
      <c r="D4363" s="11"/>
    </row>
    <row r="4364" spans="1:4" ht="21.75" thickBot="1" x14ac:dyDescent="0.3">
      <c r="A4364" s="43"/>
      <c r="B4364" s="290"/>
      <c r="C4364" s="291"/>
      <c r="D4364" s="43"/>
    </row>
    <row r="4365" spans="1:4" ht="21.75" thickBot="1" x14ac:dyDescent="0.3">
      <c r="A4365" s="38"/>
      <c r="B4365" s="44"/>
      <c r="C4365" s="45"/>
      <c r="D4365" s="44"/>
    </row>
    <row r="4366" spans="1:4" ht="19.5" thickBot="1" x14ac:dyDescent="0.3">
      <c r="A4366" s="19"/>
      <c r="B4366" s="20"/>
      <c r="C4366" s="63"/>
      <c r="D4366" s="14"/>
    </row>
    <row r="4367" spans="1:4" ht="19.5" thickBot="1" x14ac:dyDescent="0.3">
      <c r="A4367" s="19"/>
      <c r="B4367" s="20"/>
      <c r="C4367" s="48"/>
      <c r="D4367" s="46"/>
    </row>
    <row r="4368" spans="1:4" ht="15.75" thickBot="1" x14ac:dyDescent="0.3">
      <c r="A4368" s="32"/>
      <c r="B4368" s="33"/>
      <c r="C4368" s="32"/>
      <c r="D4368" s="34"/>
    </row>
    <row r="4369" spans="1:4" ht="15.75" thickBot="1" x14ac:dyDescent="0.3">
      <c r="A4369" s="58"/>
      <c r="B4369" s="58"/>
      <c r="C4369" s="58"/>
      <c r="D4369" s="35"/>
    </row>
    <row r="4370" spans="1:4" ht="15.75" x14ac:dyDescent="0.25">
      <c r="A4370" s="285"/>
      <c r="B4370" s="59"/>
      <c r="C4370" s="59"/>
      <c r="D4370" s="60"/>
    </row>
    <row r="4371" spans="1:4" ht="16.5" thickBot="1" x14ac:dyDescent="0.3">
      <c r="A4371" s="286"/>
      <c r="B4371" s="62"/>
      <c r="C4371" s="62"/>
      <c r="D4371" s="61"/>
    </row>
    <row r="4372" spans="1:4" ht="15.75" x14ac:dyDescent="0.25">
      <c r="A4372" s="285"/>
      <c r="B4372" s="59"/>
      <c r="C4372" s="59"/>
      <c r="D4372" s="60"/>
    </row>
    <row r="4373" spans="1:4" ht="16.5" thickBot="1" x14ac:dyDescent="0.3">
      <c r="A4373" s="286"/>
      <c r="B4373" s="62"/>
      <c r="C4373" s="62"/>
      <c r="D4373" s="61"/>
    </row>
    <row r="4374" spans="1:4" ht="16.5" thickBot="1" x14ac:dyDescent="0.3">
      <c r="A4374" s="57"/>
      <c r="B4374" s="36"/>
      <c r="C4374" s="36"/>
      <c r="D4374" s="36"/>
    </row>
    <row r="4375" spans="1:4" ht="15.75" thickBot="1" x14ac:dyDescent="0.3">
      <c r="A4375" s="287"/>
      <c r="B4375" s="288"/>
      <c r="C4375" s="288"/>
      <c r="D4375" s="289"/>
    </row>
    <row r="4376" spans="1:4" ht="18.75" x14ac:dyDescent="0.25">
      <c r="A4376" s="5"/>
      <c r="B4376" s="6"/>
      <c r="C4376" s="7"/>
      <c r="D4376" s="8"/>
    </row>
    <row r="4377" spans="1:4" ht="19.5" thickBot="1" x14ac:dyDescent="0.3">
      <c r="A4377" s="9"/>
      <c r="B4377" s="10"/>
      <c r="C4377" s="10"/>
      <c r="D4377" s="11"/>
    </row>
    <row r="4378" spans="1:4" ht="21.75" thickBot="1" x14ac:dyDescent="0.3">
      <c r="A4378" s="43"/>
      <c r="B4378" s="290"/>
      <c r="C4378" s="291"/>
      <c r="D4378" s="43"/>
    </row>
    <row r="4379" spans="1:4" ht="21.75" thickBot="1" x14ac:dyDescent="0.3">
      <c r="A4379" s="38"/>
      <c r="B4379" s="44"/>
      <c r="C4379" s="45"/>
      <c r="D4379" s="44"/>
    </row>
    <row r="4380" spans="1:4" ht="19.5" thickBot="1" x14ac:dyDescent="0.3">
      <c r="A4380" s="19"/>
      <c r="B4380" s="20"/>
      <c r="C4380" s="63"/>
      <c r="D4380" s="14"/>
    </row>
    <row r="4381" spans="1:4" ht="19.5" thickBot="1" x14ac:dyDescent="0.3">
      <c r="A4381" s="19"/>
      <c r="B4381" s="20"/>
      <c r="C4381" s="63"/>
      <c r="D4381" s="14"/>
    </row>
    <row r="4382" spans="1:4" ht="19.5" thickBot="1" x14ac:dyDescent="0.3">
      <c r="A4382" s="19"/>
      <c r="B4382" s="20"/>
      <c r="C4382" s="48"/>
      <c r="D4382" s="46"/>
    </row>
    <row r="4383" spans="1:4" ht="15.75" thickBot="1" x14ac:dyDescent="0.3">
      <c r="A4383" s="32"/>
      <c r="B4383" s="33"/>
      <c r="C4383" s="32"/>
      <c r="D4383" s="34"/>
    </row>
    <row r="4384" spans="1:4" ht="15.75" thickBot="1" x14ac:dyDescent="0.3">
      <c r="A4384" s="58"/>
      <c r="B4384" s="58"/>
      <c r="C4384" s="58"/>
      <c r="D4384" s="35"/>
    </row>
    <row r="4385" spans="1:4" ht="15.75" x14ac:dyDescent="0.25">
      <c r="A4385" s="285"/>
      <c r="B4385" s="59"/>
      <c r="C4385" s="59"/>
      <c r="D4385" s="60"/>
    </row>
    <row r="4386" spans="1:4" ht="16.5" thickBot="1" x14ac:dyDescent="0.3">
      <c r="A4386" s="286"/>
      <c r="B4386" s="62"/>
      <c r="C4386" s="62"/>
      <c r="D4386" s="61"/>
    </row>
    <row r="4387" spans="1:4" ht="15.75" x14ac:dyDescent="0.25">
      <c r="A4387" s="285"/>
      <c r="B4387" s="59"/>
      <c r="C4387" s="59"/>
      <c r="D4387" s="60"/>
    </row>
    <row r="4388" spans="1:4" ht="16.5" thickBot="1" x14ac:dyDescent="0.3">
      <c r="A4388" s="286"/>
      <c r="B4388" s="62"/>
      <c r="C4388" s="62"/>
      <c r="D4388" s="61"/>
    </row>
    <row r="4389" spans="1:4" ht="16.5" thickBot="1" x14ac:dyDescent="0.3">
      <c r="A4389" s="57"/>
      <c r="B4389" s="36"/>
      <c r="C4389" s="36"/>
      <c r="D4389" s="36"/>
    </row>
    <row r="4390" spans="1:4" ht="15.75" thickBot="1" x14ac:dyDescent="0.3">
      <c r="A4390" s="287"/>
      <c r="B4390" s="288"/>
      <c r="C4390" s="288"/>
      <c r="D4390" s="289"/>
    </row>
    <row r="4391" spans="1:4" ht="18.75" x14ac:dyDescent="0.25">
      <c r="A4391" s="5"/>
      <c r="B4391" s="6"/>
      <c r="C4391" s="7"/>
      <c r="D4391" s="8"/>
    </row>
    <row r="4392" spans="1:4" ht="19.5" thickBot="1" x14ac:dyDescent="0.3">
      <c r="A4392" s="9"/>
      <c r="B4392" s="10"/>
      <c r="C4392" s="10"/>
      <c r="D4392" s="11"/>
    </row>
    <row r="4393" spans="1:4" ht="21.75" thickBot="1" x14ac:dyDescent="0.3">
      <c r="A4393" s="43"/>
      <c r="B4393" s="290"/>
      <c r="C4393" s="291"/>
      <c r="D4393" s="43"/>
    </row>
    <row r="4394" spans="1:4" ht="21.75" thickBot="1" x14ac:dyDescent="0.3">
      <c r="A4394" s="38"/>
      <c r="B4394" s="44"/>
      <c r="C4394" s="45"/>
      <c r="D4394" s="44"/>
    </row>
    <row r="4395" spans="1:4" ht="19.5" thickBot="1" x14ac:dyDescent="0.3">
      <c r="A4395" s="19"/>
      <c r="B4395" s="20"/>
      <c r="C4395" s="63"/>
      <c r="D4395" s="14"/>
    </row>
    <row r="4396" spans="1:4" ht="19.5" thickBot="1" x14ac:dyDescent="0.3">
      <c r="A4396" s="19"/>
      <c r="B4396" s="20"/>
      <c r="C4396" s="48"/>
      <c r="D4396" s="46"/>
    </row>
    <row r="4397" spans="1:4" ht="15.75" thickBot="1" x14ac:dyDescent="0.3">
      <c r="A4397" s="32"/>
      <c r="B4397" s="33"/>
      <c r="C4397" s="32"/>
      <c r="D4397" s="34"/>
    </row>
    <row r="4398" spans="1:4" ht="15.75" thickBot="1" x14ac:dyDescent="0.3">
      <c r="A4398" s="58"/>
      <c r="B4398" s="58"/>
      <c r="C4398" s="58"/>
      <c r="D4398" s="35"/>
    </row>
    <row r="4399" spans="1:4" ht="15.75" x14ac:dyDescent="0.25">
      <c r="A4399" s="285"/>
      <c r="B4399" s="59"/>
      <c r="C4399" s="59"/>
      <c r="D4399" s="60"/>
    </row>
    <row r="4400" spans="1:4" ht="16.5" thickBot="1" x14ac:dyDescent="0.3">
      <c r="A4400" s="286"/>
      <c r="B4400" s="62"/>
      <c r="C4400" s="62"/>
      <c r="D4400" s="61"/>
    </row>
    <row r="4401" spans="1:4" ht="15.75" x14ac:dyDescent="0.25">
      <c r="A4401" s="285"/>
      <c r="B4401" s="59"/>
      <c r="C4401" s="59"/>
      <c r="D4401" s="60"/>
    </row>
    <row r="4402" spans="1:4" ht="16.5" thickBot="1" x14ac:dyDescent="0.3">
      <c r="A4402" s="286"/>
      <c r="B4402" s="62"/>
      <c r="C4402" s="62"/>
      <c r="D4402" s="61"/>
    </row>
    <row r="4403" spans="1:4" ht="16.5" thickBot="1" x14ac:dyDescent="0.3">
      <c r="A4403" s="57"/>
      <c r="B4403" s="36"/>
      <c r="C4403" s="36"/>
      <c r="D4403" s="36"/>
    </row>
    <row r="4404" spans="1:4" ht="15.75" thickBot="1" x14ac:dyDescent="0.3">
      <c r="A4404" s="287"/>
      <c r="B4404" s="288"/>
      <c r="C4404" s="288"/>
      <c r="D4404" s="289"/>
    </row>
    <row r="4405" spans="1:4" ht="18.75" x14ac:dyDescent="0.25">
      <c r="A4405" s="5"/>
      <c r="B4405" s="6"/>
      <c r="C4405" s="7"/>
      <c r="D4405" s="8"/>
    </row>
    <row r="4406" spans="1:4" ht="19.5" thickBot="1" x14ac:dyDescent="0.3">
      <c r="A4406" s="9"/>
      <c r="B4406" s="10"/>
      <c r="C4406" s="10"/>
      <c r="D4406" s="11"/>
    </row>
    <row r="4407" spans="1:4" ht="21.75" thickBot="1" x14ac:dyDescent="0.3">
      <c r="A4407" s="43"/>
      <c r="B4407" s="290"/>
      <c r="C4407" s="291"/>
      <c r="D4407" s="43"/>
    </row>
    <row r="4408" spans="1:4" ht="21.75" thickBot="1" x14ac:dyDescent="0.3">
      <c r="A4408" s="38"/>
      <c r="B4408" s="44"/>
      <c r="C4408" s="45"/>
      <c r="D4408" s="44"/>
    </row>
    <row r="4409" spans="1:4" ht="19.5" thickBot="1" x14ac:dyDescent="0.3">
      <c r="A4409" s="19"/>
      <c r="B4409" s="20"/>
      <c r="C4409" s="63"/>
      <c r="D4409" s="14"/>
    </row>
    <row r="4410" spans="1:4" ht="19.5" thickBot="1" x14ac:dyDescent="0.3">
      <c r="A4410" s="19"/>
      <c r="B4410" s="20"/>
      <c r="C4410" s="63"/>
      <c r="D4410" s="14"/>
    </row>
    <row r="4411" spans="1:4" ht="19.5" thickBot="1" x14ac:dyDescent="0.3">
      <c r="A4411" s="19"/>
      <c r="B4411" s="20"/>
      <c r="C4411" s="48"/>
      <c r="D4411" s="46"/>
    </row>
    <row r="4412" spans="1:4" ht="15.75" thickBot="1" x14ac:dyDescent="0.3">
      <c r="A4412" s="32"/>
      <c r="B4412" s="33"/>
      <c r="C4412" s="32"/>
      <c r="D4412" s="34"/>
    </row>
    <row r="4413" spans="1:4" ht="15.75" thickBot="1" x14ac:dyDescent="0.3">
      <c r="A4413" s="58"/>
      <c r="B4413" s="58"/>
      <c r="C4413" s="58"/>
      <c r="D4413" s="35"/>
    </row>
    <row r="4414" spans="1:4" ht="15.75" x14ac:dyDescent="0.25">
      <c r="A4414" s="285"/>
      <c r="B4414" s="59"/>
      <c r="C4414" s="59"/>
      <c r="D4414" s="60"/>
    </row>
    <row r="4415" spans="1:4" ht="16.5" thickBot="1" x14ac:dyDescent="0.3">
      <c r="A4415" s="286"/>
      <c r="B4415" s="62"/>
      <c r="C4415" s="62"/>
      <c r="D4415" s="61"/>
    </row>
    <row r="4416" spans="1:4" ht="15.75" x14ac:dyDescent="0.25">
      <c r="A4416" s="285"/>
      <c r="B4416" s="59"/>
      <c r="C4416" s="59"/>
      <c r="D4416" s="60"/>
    </row>
    <row r="4417" spans="1:4" ht="16.5" thickBot="1" x14ac:dyDescent="0.3">
      <c r="A4417" s="286"/>
      <c r="B4417" s="62"/>
      <c r="C4417" s="62"/>
      <c r="D4417" s="61"/>
    </row>
    <row r="4418" spans="1:4" ht="16.5" thickBot="1" x14ac:dyDescent="0.3">
      <c r="A4418" s="57"/>
      <c r="B4418" s="36"/>
      <c r="C4418" s="36"/>
      <c r="D4418" s="36"/>
    </row>
    <row r="4419" spans="1:4" ht="15.75" thickBot="1" x14ac:dyDescent="0.3">
      <c r="A4419" s="287"/>
      <c r="B4419" s="288"/>
      <c r="C4419" s="288"/>
      <c r="D4419" s="289"/>
    </row>
    <row r="4420" spans="1:4" ht="18.75" x14ac:dyDescent="0.25">
      <c r="A4420" s="5"/>
      <c r="B4420" s="6"/>
      <c r="C4420" s="7"/>
      <c r="D4420" s="8"/>
    </row>
    <row r="4421" spans="1:4" ht="19.5" thickBot="1" x14ac:dyDescent="0.3">
      <c r="A4421" s="9"/>
      <c r="B4421" s="10"/>
      <c r="C4421" s="10"/>
      <c r="D4421" s="11"/>
    </row>
    <row r="4422" spans="1:4" ht="21.75" thickBot="1" x14ac:dyDescent="0.3">
      <c r="A4422" s="43"/>
      <c r="B4422" s="290"/>
      <c r="C4422" s="291"/>
      <c r="D4422" s="43"/>
    </row>
    <row r="4423" spans="1:4" ht="21.75" thickBot="1" x14ac:dyDescent="0.3">
      <c r="A4423" s="38"/>
      <c r="B4423" s="44"/>
      <c r="C4423" s="45"/>
      <c r="D4423" s="44"/>
    </row>
    <row r="4424" spans="1:4" ht="19.5" thickBot="1" x14ac:dyDescent="0.3">
      <c r="A4424" s="19"/>
      <c r="B4424" s="20"/>
      <c r="C4424" s="63"/>
      <c r="D4424" s="14"/>
    </row>
    <row r="4425" spans="1:4" ht="19.5" thickBot="1" x14ac:dyDescent="0.3">
      <c r="A4425" s="19"/>
      <c r="B4425" s="20"/>
      <c r="C4425" s="48"/>
      <c r="D4425" s="46"/>
    </row>
    <row r="4426" spans="1:4" ht="15.75" thickBot="1" x14ac:dyDescent="0.3">
      <c r="A4426" s="32"/>
      <c r="B4426" s="33"/>
      <c r="C4426" s="32"/>
      <c r="D4426" s="34"/>
    </row>
    <row r="4427" spans="1:4" ht="15.75" thickBot="1" x14ac:dyDescent="0.3">
      <c r="A4427" s="58"/>
      <c r="B4427" s="58"/>
      <c r="C4427" s="58"/>
      <c r="D4427" s="35"/>
    </row>
    <row r="4428" spans="1:4" ht="15.75" x14ac:dyDescent="0.25">
      <c r="A4428" s="285"/>
      <c r="B4428" s="59"/>
      <c r="C4428" s="59"/>
      <c r="D4428" s="60"/>
    </row>
    <row r="4429" spans="1:4" ht="16.5" thickBot="1" x14ac:dyDescent="0.3">
      <c r="A4429" s="286"/>
      <c r="B4429" s="62"/>
      <c r="C4429" s="62"/>
      <c r="D4429" s="61"/>
    </row>
    <row r="4430" spans="1:4" ht="15.75" x14ac:dyDescent="0.25">
      <c r="A4430" s="285"/>
      <c r="B4430" s="59"/>
      <c r="C4430" s="59"/>
      <c r="D4430" s="60"/>
    </row>
    <row r="4431" spans="1:4" ht="16.5" thickBot="1" x14ac:dyDescent="0.3">
      <c r="A4431" s="286"/>
      <c r="B4431" s="62"/>
      <c r="C4431" s="62"/>
      <c r="D4431" s="61"/>
    </row>
    <row r="4432" spans="1:4" ht="16.5" thickBot="1" x14ac:dyDescent="0.3">
      <c r="A4432" s="57"/>
      <c r="B4432" s="36"/>
      <c r="C4432" s="36"/>
      <c r="D4432" s="36"/>
    </row>
    <row r="4433" spans="1:4" ht="15.75" thickBot="1" x14ac:dyDescent="0.3">
      <c r="A4433" s="287"/>
      <c r="B4433" s="288"/>
      <c r="C4433" s="288"/>
      <c r="D4433" s="289"/>
    </row>
    <row r="4434" spans="1:4" ht="18.75" x14ac:dyDescent="0.25">
      <c r="A4434" s="5"/>
      <c r="B4434" s="6"/>
      <c r="C4434" s="7"/>
      <c r="D4434" s="8"/>
    </row>
    <row r="4435" spans="1:4" ht="19.5" thickBot="1" x14ac:dyDescent="0.3">
      <c r="A4435" s="9"/>
      <c r="B4435" s="10"/>
      <c r="C4435" s="10"/>
      <c r="D4435" s="11"/>
    </row>
    <row r="4436" spans="1:4" ht="21.75" thickBot="1" x14ac:dyDescent="0.3">
      <c r="A4436" s="43"/>
      <c r="B4436" s="290"/>
      <c r="C4436" s="291"/>
      <c r="D4436" s="43"/>
    </row>
    <row r="4437" spans="1:4" ht="21.75" thickBot="1" x14ac:dyDescent="0.3">
      <c r="A4437" s="38"/>
      <c r="B4437" s="44"/>
      <c r="C4437" s="45"/>
      <c r="D4437" s="44"/>
    </row>
    <row r="4438" spans="1:4" ht="19.5" thickBot="1" x14ac:dyDescent="0.3">
      <c r="A4438" s="19"/>
      <c r="B4438" s="20"/>
      <c r="C4438" s="63"/>
      <c r="D4438" s="14"/>
    </row>
    <row r="4439" spans="1:4" ht="19.5" thickBot="1" x14ac:dyDescent="0.3">
      <c r="A4439" s="19"/>
      <c r="B4439" s="20"/>
      <c r="C4439" s="63"/>
      <c r="D4439" s="14"/>
    </row>
    <row r="4440" spans="1:4" ht="19.5" thickBot="1" x14ac:dyDescent="0.3">
      <c r="A4440" s="19"/>
      <c r="B4440" s="20"/>
      <c r="C4440" s="48"/>
      <c r="D4440" s="46"/>
    </row>
    <row r="4441" spans="1:4" ht="15.75" thickBot="1" x14ac:dyDescent="0.3">
      <c r="A4441" s="32"/>
      <c r="B4441" s="33"/>
      <c r="C4441" s="32"/>
      <c r="D4441" s="34"/>
    </row>
    <row r="4442" spans="1:4" ht="15.75" thickBot="1" x14ac:dyDescent="0.3">
      <c r="A4442" s="58"/>
      <c r="B4442" s="58"/>
      <c r="C4442" s="58"/>
      <c r="D4442" s="35"/>
    </row>
    <row r="4443" spans="1:4" ht="15.75" x14ac:dyDescent="0.25">
      <c r="A4443" s="285"/>
      <c r="B4443" s="59"/>
      <c r="C4443" s="59"/>
      <c r="D4443" s="60"/>
    </row>
    <row r="4444" spans="1:4" ht="16.5" thickBot="1" x14ac:dyDescent="0.3">
      <c r="A4444" s="286"/>
      <c r="B4444" s="62"/>
      <c r="C4444" s="62"/>
      <c r="D4444" s="61"/>
    </row>
    <row r="4445" spans="1:4" ht="15.75" x14ac:dyDescent="0.25">
      <c r="A4445" s="285"/>
      <c r="B4445" s="59"/>
      <c r="C4445" s="59"/>
      <c r="D4445" s="60"/>
    </row>
    <row r="4446" spans="1:4" ht="16.5" thickBot="1" x14ac:dyDescent="0.3">
      <c r="A4446" s="286"/>
      <c r="B4446" s="62"/>
      <c r="C4446" s="62"/>
      <c r="D4446" s="61"/>
    </row>
    <row r="4447" spans="1:4" ht="16.5" thickBot="1" x14ac:dyDescent="0.3">
      <c r="A4447" s="57"/>
      <c r="B4447" s="36"/>
      <c r="C4447" s="36"/>
      <c r="D4447" s="36"/>
    </row>
    <row r="4448" spans="1:4" ht="15.75" thickBot="1" x14ac:dyDescent="0.3">
      <c r="A4448" s="287"/>
      <c r="B4448" s="288"/>
      <c r="C4448" s="288"/>
      <c r="D4448" s="289"/>
    </row>
    <row r="4449" spans="1:4" ht="18.75" x14ac:dyDescent="0.25">
      <c r="A4449" s="5"/>
      <c r="B4449" s="6"/>
      <c r="C4449" s="7"/>
      <c r="D4449" s="8"/>
    </row>
    <row r="4450" spans="1:4" ht="19.5" thickBot="1" x14ac:dyDescent="0.3">
      <c r="A4450" s="9"/>
      <c r="B4450" s="10"/>
      <c r="C4450" s="10"/>
      <c r="D4450" s="11"/>
    </row>
    <row r="4451" spans="1:4" ht="21.75" thickBot="1" x14ac:dyDescent="0.3">
      <c r="A4451" s="43"/>
      <c r="B4451" s="290"/>
      <c r="C4451" s="291"/>
      <c r="D4451" s="43"/>
    </row>
    <row r="4452" spans="1:4" ht="21.75" thickBot="1" x14ac:dyDescent="0.3">
      <c r="A4452" s="38"/>
      <c r="B4452" s="44"/>
      <c r="C4452" s="45"/>
      <c r="D4452" s="44"/>
    </row>
    <row r="4453" spans="1:4" ht="19.5" thickBot="1" x14ac:dyDescent="0.3">
      <c r="A4453" s="19"/>
      <c r="B4453" s="20"/>
      <c r="C4453" s="63"/>
      <c r="D4453" s="14"/>
    </row>
    <row r="4454" spans="1:4" ht="19.5" thickBot="1" x14ac:dyDescent="0.3">
      <c r="A4454" s="19"/>
      <c r="B4454" s="20"/>
      <c r="C4454" s="48"/>
      <c r="D4454" s="46"/>
    </row>
    <row r="4455" spans="1:4" ht="15.75" thickBot="1" x14ac:dyDescent="0.3">
      <c r="A4455" s="32"/>
      <c r="B4455" s="33"/>
      <c r="C4455" s="32"/>
      <c r="D4455" s="34"/>
    </row>
    <row r="4456" spans="1:4" ht="15.75" thickBot="1" x14ac:dyDescent="0.3">
      <c r="A4456" s="58"/>
      <c r="B4456" s="58"/>
      <c r="C4456" s="58"/>
      <c r="D4456" s="35"/>
    </row>
    <row r="4457" spans="1:4" ht="15.75" x14ac:dyDescent="0.25">
      <c r="A4457" s="285"/>
      <c r="B4457" s="59"/>
      <c r="C4457" s="59"/>
      <c r="D4457" s="60"/>
    </row>
    <row r="4458" spans="1:4" ht="16.5" thickBot="1" x14ac:dyDescent="0.3">
      <c r="A4458" s="286"/>
      <c r="B4458" s="62"/>
      <c r="C4458" s="62"/>
      <c r="D4458" s="61"/>
    </row>
    <row r="4459" spans="1:4" ht="15.75" x14ac:dyDescent="0.25">
      <c r="A4459" s="285"/>
      <c r="B4459" s="59"/>
      <c r="C4459" s="59"/>
      <c r="D4459" s="60"/>
    </row>
    <row r="4460" spans="1:4" ht="16.5" thickBot="1" x14ac:dyDescent="0.3">
      <c r="A4460" s="286"/>
      <c r="B4460" s="62"/>
      <c r="C4460" s="62"/>
      <c r="D4460" s="61"/>
    </row>
    <row r="4461" spans="1:4" ht="16.5" thickBot="1" x14ac:dyDescent="0.3">
      <c r="A4461" s="57"/>
      <c r="B4461" s="36"/>
      <c r="C4461" s="36"/>
      <c r="D4461" s="36"/>
    </row>
    <row r="4462" spans="1:4" ht="15.75" thickBot="1" x14ac:dyDescent="0.3">
      <c r="A4462" s="287"/>
      <c r="B4462" s="288"/>
      <c r="C4462" s="288"/>
      <c r="D4462" s="289"/>
    </row>
    <row r="4463" spans="1:4" ht="18.75" x14ac:dyDescent="0.25">
      <c r="A4463" s="5"/>
      <c r="B4463" s="6"/>
      <c r="C4463" s="7"/>
      <c r="D4463" s="8"/>
    </row>
    <row r="4464" spans="1:4" ht="19.5" thickBot="1" x14ac:dyDescent="0.3">
      <c r="A4464" s="9"/>
      <c r="B4464" s="10"/>
      <c r="C4464" s="10"/>
      <c r="D4464" s="11"/>
    </row>
    <row r="4465" spans="1:4" ht="21.75" thickBot="1" x14ac:dyDescent="0.3">
      <c r="A4465" s="43"/>
      <c r="B4465" s="290"/>
      <c r="C4465" s="291"/>
      <c r="D4465" s="43"/>
    </row>
    <row r="4466" spans="1:4" ht="21.75" thickBot="1" x14ac:dyDescent="0.3">
      <c r="A4466" s="38"/>
      <c r="B4466" s="44"/>
      <c r="C4466" s="45"/>
      <c r="D4466" s="44"/>
    </row>
    <row r="4467" spans="1:4" ht="19.5" thickBot="1" x14ac:dyDescent="0.3">
      <c r="A4467" s="19"/>
      <c r="B4467" s="20"/>
      <c r="C4467" s="63"/>
      <c r="D4467" s="14"/>
    </row>
    <row r="4468" spans="1:4" ht="19.5" thickBot="1" x14ac:dyDescent="0.3">
      <c r="A4468" s="19"/>
      <c r="B4468" s="20"/>
      <c r="C4468" s="63"/>
      <c r="D4468" s="14"/>
    </row>
    <row r="4469" spans="1:4" ht="19.5" thickBot="1" x14ac:dyDescent="0.3">
      <c r="A4469" s="19"/>
      <c r="B4469" s="20"/>
      <c r="C4469" s="48"/>
      <c r="D4469" s="46"/>
    </row>
    <row r="4470" spans="1:4" ht="15.75" thickBot="1" x14ac:dyDescent="0.3">
      <c r="A4470" s="32"/>
      <c r="B4470" s="33"/>
      <c r="C4470" s="32"/>
      <c r="D4470" s="34"/>
    </row>
    <row r="4471" spans="1:4" ht="15.75" thickBot="1" x14ac:dyDescent="0.3">
      <c r="A4471" s="58"/>
      <c r="B4471" s="58"/>
      <c r="C4471" s="58"/>
      <c r="D4471" s="35"/>
    </row>
    <row r="4472" spans="1:4" ht="15.75" x14ac:dyDescent="0.25">
      <c r="A4472" s="285"/>
      <c r="B4472" s="59"/>
      <c r="C4472" s="59"/>
      <c r="D4472" s="60"/>
    </row>
    <row r="4473" spans="1:4" ht="16.5" thickBot="1" x14ac:dyDescent="0.3">
      <c r="A4473" s="286"/>
      <c r="B4473" s="62"/>
      <c r="C4473" s="62"/>
      <c r="D4473" s="61"/>
    </row>
    <row r="4474" spans="1:4" ht="15.75" x14ac:dyDescent="0.25">
      <c r="A4474" s="285"/>
      <c r="B4474" s="59"/>
      <c r="C4474" s="59"/>
      <c r="D4474" s="60"/>
    </row>
    <row r="4475" spans="1:4" ht="16.5" thickBot="1" x14ac:dyDescent="0.3">
      <c r="A4475" s="286"/>
      <c r="B4475" s="62"/>
      <c r="C4475" s="62"/>
      <c r="D4475" s="61"/>
    </row>
    <row r="4476" spans="1:4" ht="16.5" thickBot="1" x14ac:dyDescent="0.3">
      <c r="A4476" s="57"/>
      <c r="B4476" s="36"/>
      <c r="C4476" s="36"/>
      <c r="D4476" s="36"/>
    </row>
    <row r="4477" spans="1:4" ht="15.75" thickBot="1" x14ac:dyDescent="0.3">
      <c r="A4477" s="287"/>
      <c r="B4477" s="288"/>
      <c r="C4477" s="288"/>
      <c r="D4477" s="289"/>
    </row>
    <row r="4478" spans="1:4" ht="18.75" x14ac:dyDescent="0.25">
      <c r="A4478" s="5"/>
      <c r="B4478" s="6"/>
      <c r="C4478" s="7"/>
      <c r="D4478" s="8"/>
    </row>
    <row r="4479" spans="1:4" ht="19.5" thickBot="1" x14ac:dyDescent="0.3">
      <c r="A4479" s="9"/>
      <c r="B4479" s="10"/>
      <c r="C4479" s="10"/>
      <c r="D4479" s="11"/>
    </row>
    <row r="4480" spans="1:4" ht="21.75" thickBot="1" x14ac:dyDescent="0.3">
      <c r="A4480" s="43"/>
      <c r="B4480" s="290"/>
      <c r="C4480" s="291"/>
      <c r="D4480" s="43"/>
    </row>
    <row r="4481" spans="1:4" ht="21.75" thickBot="1" x14ac:dyDescent="0.3">
      <c r="A4481" s="38"/>
      <c r="B4481" s="44"/>
      <c r="C4481" s="45"/>
      <c r="D4481" s="44"/>
    </row>
    <row r="4482" spans="1:4" ht="19.5" thickBot="1" x14ac:dyDescent="0.3">
      <c r="A4482" s="19"/>
      <c r="B4482" s="20"/>
      <c r="C4482" s="63"/>
      <c r="D4482" s="14"/>
    </row>
    <row r="4483" spans="1:4" ht="19.5" thickBot="1" x14ac:dyDescent="0.3">
      <c r="A4483" s="19"/>
      <c r="B4483" s="20"/>
      <c r="C4483" s="48"/>
      <c r="D4483" s="46"/>
    </row>
    <row r="4484" spans="1:4" ht="15.75" thickBot="1" x14ac:dyDescent="0.3">
      <c r="A4484" s="32"/>
      <c r="B4484" s="33"/>
      <c r="C4484" s="32"/>
      <c r="D4484" s="34"/>
    </row>
    <row r="4485" spans="1:4" ht="15.75" thickBot="1" x14ac:dyDescent="0.3">
      <c r="A4485" s="58"/>
      <c r="B4485" s="58"/>
      <c r="C4485" s="58"/>
      <c r="D4485" s="35"/>
    </row>
    <row r="4486" spans="1:4" ht="15.75" x14ac:dyDescent="0.25">
      <c r="A4486" s="285"/>
      <c r="B4486" s="59"/>
      <c r="C4486" s="59"/>
      <c r="D4486" s="60"/>
    </row>
    <row r="4487" spans="1:4" ht="16.5" thickBot="1" x14ac:dyDescent="0.3">
      <c r="A4487" s="286"/>
      <c r="B4487" s="62"/>
      <c r="C4487" s="62"/>
      <c r="D4487" s="61"/>
    </row>
    <row r="4488" spans="1:4" ht="15.75" x14ac:dyDescent="0.25">
      <c r="A4488" s="285"/>
      <c r="B4488" s="59"/>
      <c r="C4488" s="59"/>
      <c r="D4488" s="60"/>
    </row>
    <row r="4489" spans="1:4" ht="16.5" thickBot="1" x14ac:dyDescent="0.3">
      <c r="A4489" s="286"/>
      <c r="B4489" s="62"/>
      <c r="C4489" s="62"/>
      <c r="D4489" s="61"/>
    </row>
    <row r="4490" spans="1:4" ht="16.5" thickBot="1" x14ac:dyDescent="0.3">
      <c r="A4490" s="57"/>
      <c r="B4490" s="36"/>
      <c r="C4490" s="36"/>
      <c r="D4490" s="36"/>
    </row>
    <row r="4491" spans="1:4" ht="15.75" thickBot="1" x14ac:dyDescent="0.3">
      <c r="A4491" s="287"/>
      <c r="B4491" s="288"/>
      <c r="C4491" s="288"/>
      <c r="D4491" s="289"/>
    </row>
    <row r="4492" spans="1:4" ht="18.75" x14ac:dyDescent="0.25">
      <c r="A4492" s="5"/>
      <c r="B4492" s="6"/>
      <c r="C4492" s="7"/>
      <c r="D4492" s="8"/>
    </row>
    <row r="4493" spans="1:4" ht="19.5" thickBot="1" x14ac:dyDescent="0.3">
      <c r="A4493" s="9"/>
      <c r="B4493" s="10"/>
      <c r="C4493" s="10"/>
      <c r="D4493" s="11"/>
    </row>
    <row r="4494" spans="1:4" ht="21.75" thickBot="1" x14ac:dyDescent="0.3">
      <c r="A4494" s="43"/>
      <c r="B4494" s="290"/>
      <c r="C4494" s="291"/>
      <c r="D4494" s="43"/>
    </row>
    <row r="4495" spans="1:4" ht="21.75" thickBot="1" x14ac:dyDescent="0.3">
      <c r="A4495" s="38"/>
      <c r="B4495" s="44"/>
      <c r="C4495" s="45"/>
      <c r="D4495" s="44"/>
    </row>
    <row r="4496" spans="1:4" ht="19.5" thickBot="1" x14ac:dyDescent="0.3">
      <c r="A4496" s="19"/>
      <c r="B4496" s="20"/>
      <c r="C4496" s="63"/>
      <c r="D4496" s="14"/>
    </row>
    <row r="4497" spans="1:4" ht="19.5" thickBot="1" x14ac:dyDescent="0.3">
      <c r="A4497" s="19"/>
      <c r="B4497" s="20"/>
      <c r="C4497" s="63"/>
      <c r="D4497" s="14"/>
    </row>
    <row r="4498" spans="1:4" ht="19.5" thickBot="1" x14ac:dyDescent="0.3">
      <c r="A4498" s="19"/>
      <c r="B4498" s="20"/>
      <c r="C4498" s="48"/>
      <c r="D4498" s="46"/>
    </row>
    <row r="4499" spans="1:4" ht="15.75" thickBot="1" x14ac:dyDescent="0.3">
      <c r="A4499" s="32"/>
      <c r="B4499" s="33"/>
      <c r="C4499" s="32"/>
      <c r="D4499" s="34"/>
    </row>
    <row r="4500" spans="1:4" ht="15.75" thickBot="1" x14ac:dyDescent="0.3">
      <c r="A4500" s="58"/>
      <c r="B4500" s="58"/>
      <c r="C4500" s="58"/>
      <c r="D4500" s="35"/>
    </row>
    <row r="4501" spans="1:4" ht="15.75" x14ac:dyDescent="0.25">
      <c r="A4501" s="285"/>
      <c r="B4501" s="59"/>
      <c r="C4501" s="59"/>
      <c r="D4501" s="60"/>
    </row>
    <row r="4502" spans="1:4" ht="16.5" thickBot="1" x14ac:dyDescent="0.3">
      <c r="A4502" s="286"/>
      <c r="B4502" s="62"/>
      <c r="C4502" s="62"/>
      <c r="D4502" s="61"/>
    </row>
    <row r="4503" spans="1:4" ht="15.75" x14ac:dyDescent="0.25">
      <c r="A4503" s="285"/>
      <c r="B4503" s="59"/>
      <c r="C4503" s="59"/>
      <c r="D4503" s="60"/>
    </row>
    <row r="4504" spans="1:4" ht="16.5" thickBot="1" x14ac:dyDescent="0.3">
      <c r="A4504" s="286"/>
      <c r="B4504" s="62"/>
      <c r="C4504" s="62"/>
      <c r="D4504" s="61"/>
    </row>
    <row r="4505" spans="1:4" ht="16.5" thickBot="1" x14ac:dyDescent="0.3">
      <c r="A4505" s="57"/>
      <c r="B4505" s="36"/>
      <c r="C4505" s="36"/>
      <c r="D4505" s="36"/>
    </row>
    <row r="4506" spans="1:4" ht="15.75" thickBot="1" x14ac:dyDescent="0.3">
      <c r="A4506" s="287"/>
      <c r="B4506" s="288"/>
      <c r="C4506" s="288"/>
      <c r="D4506" s="289"/>
    </row>
    <row r="4507" spans="1:4" ht="18.75" x14ac:dyDescent="0.25">
      <c r="A4507" s="5"/>
      <c r="B4507" s="6"/>
      <c r="C4507" s="7"/>
      <c r="D4507" s="8"/>
    </row>
    <row r="4508" spans="1:4" ht="19.5" thickBot="1" x14ac:dyDescent="0.3">
      <c r="A4508" s="9"/>
      <c r="B4508" s="10"/>
      <c r="C4508" s="10"/>
      <c r="D4508" s="11"/>
    </row>
    <row r="4509" spans="1:4" ht="21.75" thickBot="1" x14ac:dyDescent="0.3">
      <c r="A4509" s="43"/>
      <c r="B4509" s="290"/>
      <c r="C4509" s="291"/>
      <c r="D4509" s="43"/>
    </row>
    <row r="4510" spans="1:4" ht="21.75" thickBot="1" x14ac:dyDescent="0.3">
      <c r="A4510" s="38"/>
      <c r="B4510" s="44"/>
      <c r="C4510" s="45"/>
      <c r="D4510" s="44"/>
    </row>
    <row r="4511" spans="1:4" ht="19.5" thickBot="1" x14ac:dyDescent="0.3">
      <c r="A4511" s="19"/>
      <c r="B4511" s="20"/>
      <c r="C4511" s="63"/>
      <c r="D4511" s="14"/>
    </row>
    <row r="4512" spans="1:4" ht="19.5" thickBot="1" x14ac:dyDescent="0.3">
      <c r="A4512" s="19"/>
      <c r="B4512" s="20"/>
      <c r="C4512" s="48"/>
      <c r="D4512" s="46"/>
    </row>
    <row r="4513" spans="1:4" ht="15.75" thickBot="1" x14ac:dyDescent="0.3">
      <c r="A4513" s="32"/>
      <c r="B4513" s="33"/>
      <c r="C4513" s="32"/>
      <c r="D4513" s="34"/>
    </row>
    <row r="4514" spans="1:4" ht="15.75" thickBot="1" x14ac:dyDescent="0.3">
      <c r="A4514" s="58"/>
      <c r="B4514" s="58"/>
      <c r="C4514" s="58"/>
      <c r="D4514" s="35"/>
    </row>
    <row r="4515" spans="1:4" ht="15.75" x14ac:dyDescent="0.25">
      <c r="A4515" s="285"/>
      <c r="B4515" s="59"/>
      <c r="C4515" s="59"/>
      <c r="D4515" s="60"/>
    </row>
    <row r="4516" spans="1:4" ht="16.5" thickBot="1" x14ac:dyDescent="0.3">
      <c r="A4516" s="286"/>
      <c r="B4516" s="62"/>
      <c r="C4516" s="62"/>
      <c r="D4516" s="61"/>
    </row>
    <row r="4517" spans="1:4" ht="15.75" x14ac:dyDescent="0.25">
      <c r="A4517" s="285"/>
      <c r="B4517" s="59"/>
      <c r="C4517" s="59"/>
      <c r="D4517" s="60"/>
    </row>
    <row r="4518" spans="1:4" ht="16.5" thickBot="1" x14ac:dyDescent="0.3">
      <c r="A4518" s="286"/>
      <c r="B4518" s="62"/>
      <c r="C4518" s="62"/>
      <c r="D4518" s="61"/>
    </row>
    <row r="4519" spans="1:4" ht="16.5" thickBot="1" x14ac:dyDescent="0.3">
      <c r="A4519" s="57"/>
      <c r="B4519" s="36"/>
      <c r="C4519" s="36"/>
      <c r="D4519" s="36"/>
    </row>
    <row r="4520" spans="1:4" ht="15.75" thickBot="1" x14ac:dyDescent="0.3">
      <c r="A4520" s="287"/>
      <c r="B4520" s="288"/>
      <c r="C4520" s="288"/>
      <c r="D4520" s="289"/>
    </row>
    <row r="4521" spans="1:4" ht="18.75" x14ac:dyDescent="0.25">
      <c r="A4521" s="5"/>
      <c r="B4521" s="6"/>
      <c r="C4521" s="7"/>
      <c r="D4521" s="8"/>
    </row>
    <row r="4522" spans="1:4" ht="19.5" thickBot="1" x14ac:dyDescent="0.3">
      <c r="A4522" s="9"/>
      <c r="B4522" s="10"/>
      <c r="C4522" s="10"/>
      <c r="D4522" s="11"/>
    </row>
    <row r="4523" spans="1:4" ht="21.75" thickBot="1" x14ac:dyDescent="0.3">
      <c r="A4523" s="43"/>
      <c r="B4523" s="290"/>
      <c r="C4523" s="291"/>
      <c r="D4523" s="43"/>
    </row>
    <row r="4524" spans="1:4" ht="21.75" thickBot="1" x14ac:dyDescent="0.3">
      <c r="A4524" s="38"/>
      <c r="B4524" s="44"/>
      <c r="C4524" s="45"/>
      <c r="D4524" s="44"/>
    </row>
    <row r="4525" spans="1:4" ht="19.5" thickBot="1" x14ac:dyDescent="0.3">
      <c r="A4525" s="19"/>
      <c r="B4525" s="20"/>
      <c r="C4525" s="63"/>
      <c r="D4525" s="14"/>
    </row>
    <row r="4526" spans="1:4" ht="19.5" thickBot="1" x14ac:dyDescent="0.3">
      <c r="A4526" s="19"/>
      <c r="B4526" s="20"/>
      <c r="C4526" s="63"/>
      <c r="D4526" s="14"/>
    </row>
    <row r="4527" spans="1:4" ht="19.5" thickBot="1" x14ac:dyDescent="0.3">
      <c r="A4527" s="19"/>
      <c r="B4527" s="20"/>
      <c r="C4527" s="48"/>
      <c r="D4527" s="46"/>
    </row>
    <row r="4528" spans="1:4" ht="15.75" thickBot="1" x14ac:dyDescent="0.3">
      <c r="A4528" s="32"/>
      <c r="B4528" s="33"/>
      <c r="C4528" s="32"/>
      <c r="D4528" s="34"/>
    </row>
    <row r="4529" spans="1:4" ht="15.75" thickBot="1" x14ac:dyDescent="0.3">
      <c r="A4529" s="58"/>
      <c r="B4529" s="58"/>
      <c r="C4529" s="58"/>
      <c r="D4529" s="35"/>
    </row>
    <row r="4530" spans="1:4" ht="15.75" x14ac:dyDescent="0.25">
      <c r="A4530" s="285"/>
      <c r="B4530" s="59"/>
      <c r="C4530" s="59"/>
      <c r="D4530" s="60"/>
    </row>
    <row r="4531" spans="1:4" ht="16.5" thickBot="1" x14ac:dyDescent="0.3">
      <c r="A4531" s="286"/>
      <c r="B4531" s="62"/>
      <c r="C4531" s="62"/>
      <c r="D4531" s="61"/>
    </row>
    <row r="4532" spans="1:4" ht="15.75" x14ac:dyDescent="0.25">
      <c r="A4532" s="285"/>
      <c r="B4532" s="59"/>
      <c r="C4532" s="59"/>
      <c r="D4532" s="60"/>
    </row>
    <row r="4533" spans="1:4" ht="16.5" thickBot="1" x14ac:dyDescent="0.3">
      <c r="A4533" s="286"/>
      <c r="B4533" s="62"/>
      <c r="C4533" s="62"/>
      <c r="D4533" s="61"/>
    </row>
    <row r="4534" spans="1:4" ht="16.5" thickBot="1" x14ac:dyDescent="0.3">
      <c r="A4534" s="57"/>
      <c r="B4534" s="36"/>
      <c r="C4534" s="36"/>
      <c r="D4534" s="36"/>
    </row>
    <row r="4535" spans="1:4" ht="15.75" thickBot="1" x14ac:dyDescent="0.3">
      <c r="A4535" s="287"/>
      <c r="B4535" s="288"/>
      <c r="C4535" s="288"/>
      <c r="D4535" s="289"/>
    </row>
    <row r="4536" spans="1:4" ht="18.75" x14ac:dyDescent="0.25">
      <c r="A4536" s="5"/>
      <c r="B4536" s="6"/>
      <c r="C4536" s="7"/>
      <c r="D4536" s="8"/>
    </row>
    <row r="4537" spans="1:4" ht="19.5" thickBot="1" x14ac:dyDescent="0.3">
      <c r="A4537" s="9"/>
      <c r="B4537" s="10"/>
      <c r="C4537" s="10"/>
      <c r="D4537" s="11"/>
    </row>
    <row r="4538" spans="1:4" ht="21.75" thickBot="1" x14ac:dyDescent="0.3">
      <c r="A4538" s="43"/>
      <c r="B4538" s="290"/>
      <c r="C4538" s="291"/>
      <c r="D4538" s="43"/>
    </row>
    <row r="4539" spans="1:4" ht="21.75" thickBot="1" x14ac:dyDescent="0.3">
      <c r="A4539" s="38"/>
      <c r="B4539" s="44"/>
      <c r="C4539" s="45"/>
      <c r="D4539" s="44"/>
    </row>
    <row r="4540" spans="1:4" ht="19.5" thickBot="1" x14ac:dyDescent="0.3">
      <c r="A4540" s="19"/>
      <c r="B4540" s="20"/>
      <c r="C4540" s="63"/>
      <c r="D4540" s="14"/>
    </row>
    <row r="4541" spans="1:4" ht="19.5" thickBot="1" x14ac:dyDescent="0.3">
      <c r="A4541" s="19"/>
      <c r="B4541" s="20"/>
      <c r="C4541" s="48"/>
      <c r="D4541" s="46"/>
    </row>
    <row r="4542" spans="1:4" ht="15.75" thickBot="1" x14ac:dyDescent="0.3">
      <c r="A4542" s="32"/>
      <c r="B4542" s="33"/>
      <c r="C4542" s="32"/>
      <c r="D4542" s="34"/>
    </row>
    <row r="4543" spans="1:4" ht="15.75" thickBot="1" x14ac:dyDescent="0.3">
      <c r="A4543" s="58"/>
      <c r="B4543" s="58"/>
      <c r="C4543" s="58"/>
      <c r="D4543" s="35"/>
    </row>
    <row r="4544" spans="1:4" ht="15.75" x14ac:dyDescent="0.25">
      <c r="A4544" s="285"/>
      <c r="B4544" s="59"/>
      <c r="C4544" s="59"/>
      <c r="D4544" s="60"/>
    </row>
    <row r="4545" spans="1:4" ht="16.5" thickBot="1" x14ac:dyDescent="0.3">
      <c r="A4545" s="286"/>
      <c r="B4545" s="62"/>
      <c r="C4545" s="62"/>
      <c r="D4545" s="61"/>
    </row>
    <row r="4546" spans="1:4" ht="15.75" x14ac:dyDescent="0.25">
      <c r="A4546" s="285"/>
      <c r="B4546" s="59"/>
      <c r="C4546" s="59"/>
      <c r="D4546" s="60"/>
    </row>
    <row r="4547" spans="1:4" ht="16.5" thickBot="1" x14ac:dyDescent="0.3">
      <c r="A4547" s="286"/>
      <c r="B4547" s="62"/>
      <c r="C4547" s="62"/>
      <c r="D4547" s="61"/>
    </row>
    <row r="4548" spans="1:4" ht="16.5" thickBot="1" x14ac:dyDescent="0.3">
      <c r="A4548" s="57"/>
      <c r="B4548" s="36"/>
      <c r="C4548" s="36"/>
      <c r="D4548" s="36"/>
    </row>
    <row r="4549" spans="1:4" ht="15.75" thickBot="1" x14ac:dyDescent="0.3">
      <c r="A4549" s="287"/>
      <c r="B4549" s="288"/>
      <c r="C4549" s="288"/>
      <c r="D4549" s="289"/>
    </row>
    <row r="4550" spans="1:4" ht="18.75" x14ac:dyDescent="0.25">
      <c r="A4550" s="5"/>
      <c r="B4550" s="6"/>
      <c r="C4550" s="7"/>
      <c r="D4550" s="8"/>
    </row>
    <row r="4551" spans="1:4" ht="19.5" thickBot="1" x14ac:dyDescent="0.3">
      <c r="A4551" s="9"/>
      <c r="B4551" s="10"/>
      <c r="C4551" s="10"/>
      <c r="D4551" s="11"/>
    </row>
    <row r="4552" spans="1:4" ht="21.75" thickBot="1" x14ac:dyDescent="0.3">
      <c r="A4552" s="43"/>
      <c r="B4552" s="290"/>
      <c r="C4552" s="291"/>
      <c r="D4552" s="43"/>
    </row>
    <row r="4553" spans="1:4" ht="21.75" thickBot="1" x14ac:dyDescent="0.3">
      <c r="A4553" s="38"/>
      <c r="B4553" s="44"/>
      <c r="C4553" s="45"/>
      <c r="D4553" s="44"/>
    </row>
    <row r="4554" spans="1:4" ht="19.5" thickBot="1" x14ac:dyDescent="0.3">
      <c r="A4554" s="19"/>
      <c r="B4554" s="20"/>
      <c r="C4554" s="63"/>
      <c r="D4554" s="14"/>
    </row>
    <row r="4555" spans="1:4" ht="19.5" thickBot="1" x14ac:dyDescent="0.3">
      <c r="A4555" s="19"/>
      <c r="B4555" s="20"/>
      <c r="C4555" s="63"/>
      <c r="D4555" s="14"/>
    </row>
    <row r="4556" spans="1:4" ht="19.5" thickBot="1" x14ac:dyDescent="0.3">
      <c r="A4556" s="19"/>
      <c r="B4556" s="20"/>
      <c r="C4556" s="48"/>
      <c r="D4556" s="46"/>
    </row>
    <row r="4557" spans="1:4" ht="15.75" thickBot="1" x14ac:dyDescent="0.3">
      <c r="A4557" s="32"/>
      <c r="B4557" s="33"/>
      <c r="C4557" s="32"/>
      <c r="D4557" s="34"/>
    </row>
    <row r="4558" spans="1:4" ht="15.75" thickBot="1" x14ac:dyDescent="0.3">
      <c r="A4558" s="58"/>
      <c r="B4558" s="58"/>
      <c r="C4558" s="58"/>
      <c r="D4558" s="35"/>
    </row>
    <row r="4559" spans="1:4" ht="15.75" x14ac:dyDescent="0.25">
      <c r="A4559" s="285"/>
      <c r="B4559" s="59"/>
      <c r="C4559" s="59"/>
      <c r="D4559" s="60"/>
    </row>
    <row r="4560" spans="1:4" ht="16.5" thickBot="1" x14ac:dyDescent="0.3">
      <c r="A4560" s="286"/>
      <c r="B4560" s="62"/>
      <c r="C4560" s="62"/>
      <c r="D4560" s="61"/>
    </row>
    <row r="4561" spans="1:4" ht="15.75" x14ac:dyDescent="0.25">
      <c r="A4561" s="285"/>
      <c r="B4561" s="59"/>
      <c r="C4561" s="59"/>
      <c r="D4561" s="60"/>
    </row>
    <row r="4562" spans="1:4" ht="16.5" thickBot="1" x14ac:dyDescent="0.3">
      <c r="A4562" s="286"/>
      <c r="B4562" s="62"/>
      <c r="C4562" s="62"/>
      <c r="D4562" s="61"/>
    </row>
    <row r="4563" spans="1:4" ht="16.5" thickBot="1" x14ac:dyDescent="0.3">
      <c r="A4563" s="57"/>
      <c r="B4563" s="36"/>
      <c r="C4563" s="36"/>
      <c r="D4563" s="36"/>
    </row>
    <row r="4564" spans="1:4" ht="15.75" thickBot="1" x14ac:dyDescent="0.3">
      <c r="A4564" s="287"/>
      <c r="B4564" s="288"/>
      <c r="C4564" s="288"/>
      <c r="D4564" s="289"/>
    </row>
    <row r="4565" spans="1:4" ht="18.75" x14ac:dyDescent="0.25">
      <c r="A4565" s="5"/>
      <c r="B4565" s="6"/>
      <c r="C4565" s="7"/>
      <c r="D4565" s="8"/>
    </row>
    <row r="4566" spans="1:4" ht="19.5" thickBot="1" x14ac:dyDescent="0.3">
      <c r="A4566" s="9"/>
      <c r="B4566" s="10"/>
      <c r="C4566" s="10"/>
      <c r="D4566" s="11"/>
    </row>
    <row r="4567" spans="1:4" ht="21.75" thickBot="1" x14ac:dyDescent="0.3">
      <c r="A4567" s="43"/>
      <c r="B4567" s="290"/>
      <c r="C4567" s="291"/>
      <c r="D4567" s="43"/>
    </row>
    <row r="4568" spans="1:4" ht="21.75" thickBot="1" x14ac:dyDescent="0.3">
      <c r="A4568" s="38"/>
      <c r="B4568" s="44"/>
      <c r="C4568" s="45"/>
      <c r="D4568" s="44"/>
    </row>
    <row r="4569" spans="1:4" ht="19.5" thickBot="1" x14ac:dyDescent="0.3">
      <c r="A4569" s="19"/>
      <c r="B4569" s="20"/>
      <c r="C4569" s="63"/>
      <c r="D4569" s="14"/>
    </row>
    <row r="4570" spans="1:4" ht="19.5" thickBot="1" x14ac:dyDescent="0.3">
      <c r="A4570" s="19"/>
      <c r="B4570" s="20"/>
      <c r="C4570" s="48"/>
      <c r="D4570" s="46"/>
    </row>
    <row r="4571" spans="1:4" ht="15.75" thickBot="1" x14ac:dyDescent="0.3">
      <c r="A4571" s="32"/>
      <c r="B4571" s="33"/>
      <c r="C4571" s="32"/>
      <c r="D4571" s="34"/>
    </row>
    <row r="4572" spans="1:4" ht="15.75" thickBot="1" x14ac:dyDescent="0.3">
      <c r="A4572" s="58"/>
      <c r="B4572" s="58"/>
      <c r="C4572" s="58"/>
      <c r="D4572" s="35"/>
    </row>
    <row r="4573" spans="1:4" ht="15.75" x14ac:dyDescent="0.25">
      <c r="A4573" s="285"/>
      <c r="B4573" s="59"/>
      <c r="C4573" s="59"/>
      <c r="D4573" s="60"/>
    </row>
    <row r="4574" spans="1:4" ht="16.5" thickBot="1" x14ac:dyDescent="0.3">
      <c r="A4574" s="286"/>
      <c r="B4574" s="62"/>
      <c r="C4574" s="62"/>
      <c r="D4574" s="61"/>
    </row>
    <row r="4575" spans="1:4" ht="15.75" x14ac:dyDescent="0.25">
      <c r="A4575" s="285"/>
      <c r="B4575" s="59"/>
      <c r="C4575" s="59"/>
      <c r="D4575" s="60"/>
    </row>
    <row r="4576" spans="1:4" ht="16.5" thickBot="1" x14ac:dyDescent="0.3">
      <c r="A4576" s="286"/>
      <c r="B4576" s="62"/>
      <c r="C4576" s="62"/>
      <c r="D4576" s="61"/>
    </row>
    <row r="4577" spans="1:4" ht="16.5" thickBot="1" x14ac:dyDescent="0.3">
      <c r="A4577" s="57"/>
      <c r="B4577" s="36"/>
      <c r="C4577" s="36"/>
      <c r="D4577" s="36"/>
    </row>
    <row r="4578" spans="1:4" ht="15.75" thickBot="1" x14ac:dyDescent="0.3">
      <c r="A4578" s="287"/>
      <c r="B4578" s="288"/>
      <c r="C4578" s="288"/>
      <c r="D4578" s="289"/>
    </row>
    <row r="4579" spans="1:4" ht="18.75" x14ac:dyDescent="0.25">
      <c r="A4579" s="5"/>
      <c r="B4579" s="6"/>
      <c r="C4579" s="7"/>
      <c r="D4579" s="8"/>
    </row>
    <row r="4580" spans="1:4" ht="19.5" thickBot="1" x14ac:dyDescent="0.3">
      <c r="A4580" s="9"/>
      <c r="B4580" s="10"/>
      <c r="C4580" s="10"/>
      <c r="D4580" s="11"/>
    </row>
    <row r="4581" spans="1:4" ht="21.75" thickBot="1" x14ac:dyDescent="0.3">
      <c r="A4581" s="43"/>
      <c r="B4581" s="290"/>
      <c r="C4581" s="291"/>
      <c r="D4581" s="43"/>
    </row>
    <row r="4582" spans="1:4" ht="21.75" thickBot="1" x14ac:dyDescent="0.3">
      <c r="A4582" s="38"/>
      <c r="B4582" s="44"/>
      <c r="C4582" s="45"/>
      <c r="D4582" s="44"/>
    </row>
    <row r="4583" spans="1:4" ht="19.5" thickBot="1" x14ac:dyDescent="0.3">
      <c r="A4583" s="19"/>
      <c r="B4583" s="20"/>
      <c r="C4583" s="63"/>
      <c r="D4583" s="14"/>
    </row>
    <row r="4584" spans="1:4" ht="19.5" thickBot="1" x14ac:dyDescent="0.3">
      <c r="A4584" s="19"/>
      <c r="B4584" s="20"/>
      <c r="C4584" s="63"/>
      <c r="D4584" s="14"/>
    </row>
    <row r="4585" spans="1:4" ht="19.5" thickBot="1" x14ac:dyDescent="0.3">
      <c r="A4585" s="19"/>
      <c r="B4585" s="20"/>
      <c r="C4585" s="48"/>
      <c r="D4585" s="46"/>
    </row>
    <row r="4586" spans="1:4" ht="15.75" thickBot="1" x14ac:dyDescent="0.3">
      <c r="A4586" s="32"/>
      <c r="B4586" s="33"/>
      <c r="C4586" s="32"/>
      <c r="D4586" s="34"/>
    </row>
    <row r="4587" spans="1:4" ht="15.75" thickBot="1" x14ac:dyDescent="0.3">
      <c r="A4587" s="58"/>
      <c r="B4587" s="58"/>
      <c r="C4587" s="58"/>
      <c r="D4587" s="35"/>
    </row>
    <row r="4588" spans="1:4" ht="15.75" x14ac:dyDescent="0.25">
      <c r="A4588" s="285"/>
      <c r="B4588" s="59"/>
      <c r="C4588" s="59"/>
      <c r="D4588" s="60"/>
    </row>
    <row r="4589" spans="1:4" ht="16.5" thickBot="1" x14ac:dyDescent="0.3">
      <c r="A4589" s="286"/>
      <c r="B4589" s="62"/>
      <c r="C4589" s="62"/>
      <c r="D4589" s="61"/>
    </row>
    <row r="4590" spans="1:4" ht="15.75" x14ac:dyDescent="0.25">
      <c r="A4590" s="285"/>
      <c r="B4590" s="59"/>
      <c r="C4590" s="59"/>
      <c r="D4590" s="60"/>
    </row>
    <row r="4591" spans="1:4" ht="16.5" thickBot="1" x14ac:dyDescent="0.3">
      <c r="A4591" s="286"/>
      <c r="B4591" s="62"/>
      <c r="C4591" s="62"/>
      <c r="D4591" s="61"/>
    </row>
    <row r="4592" spans="1:4" ht="16.5" thickBot="1" x14ac:dyDescent="0.3">
      <c r="A4592" s="57"/>
      <c r="B4592" s="36"/>
      <c r="C4592" s="36"/>
      <c r="D4592" s="36"/>
    </row>
    <row r="4593" spans="1:4" ht="15.75" thickBot="1" x14ac:dyDescent="0.3">
      <c r="A4593" s="287"/>
      <c r="B4593" s="288"/>
      <c r="C4593" s="288"/>
      <c r="D4593" s="289"/>
    </row>
    <row r="4594" spans="1:4" ht="18.75" x14ac:dyDescent="0.25">
      <c r="A4594" s="5"/>
      <c r="B4594" s="6"/>
      <c r="C4594" s="7"/>
      <c r="D4594" s="8"/>
    </row>
    <row r="4595" spans="1:4" ht="19.5" thickBot="1" x14ac:dyDescent="0.3">
      <c r="A4595" s="9"/>
      <c r="B4595" s="10"/>
      <c r="C4595" s="10"/>
      <c r="D4595" s="11"/>
    </row>
    <row r="4596" spans="1:4" ht="21.75" thickBot="1" x14ac:dyDescent="0.3">
      <c r="A4596" s="43"/>
      <c r="B4596" s="290"/>
      <c r="C4596" s="291"/>
      <c r="D4596" s="43"/>
    </row>
    <row r="4597" spans="1:4" ht="21.75" thickBot="1" x14ac:dyDescent="0.3">
      <c r="A4597" s="38"/>
      <c r="B4597" s="44"/>
      <c r="C4597" s="45"/>
      <c r="D4597" s="44"/>
    </row>
    <row r="4598" spans="1:4" ht="19.5" thickBot="1" x14ac:dyDescent="0.3">
      <c r="A4598" s="19"/>
      <c r="B4598" s="20"/>
      <c r="C4598" s="63"/>
      <c r="D4598" s="14"/>
    </row>
    <row r="4599" spans="1:4" ht="19.5" thickBot="1" x14ac:dyDescent="0.3">
      <c r="A4599" s="19"/>
      <c r="B4599" s="20"/>
      <c r="C4599" s="48"/>
      <c r="D4599" s="46"/>
    </row>
    <row r="4600" spans="1:4" ht="15.75" thickBot="1" x14ac:dyDescent="0.3">
      <c r="A4600" s="32"/>
      <c r="B4600" s="33"/>
      <c r="C4600" s="32"/>
      <c r="D4600" s="34"/>
    </row>
    <row r="4601" spans="1:4" ht="15.75" thickBot="1" x14ac:dyDescent="0.3">
      <c r="A4601" s="58"/>
      <c r="B4601" s="58"/>
      <c r="C4601" s="58"/>
      <c r="D4601" s="35"/>
    </row>
    <row r="4602" spans="1:4" ht="15.75" x14ac:dyDescent="0.25">
      <c r="A4602" s="285"/>
      <c r="B4602" s="59"/>
      <c r="C4602" s="59"/>
      <c r="D4602" s="60"/>
    </row>
    <row r="4603" spans="1:4" ht="16.5" thickBot="1" x14ac:dyDescent="0.3">
      <c r="A4603" s="286"/>
      <c r="B4603" s="62"/>
      <c r="C4603" s="62"/>
      <c r="D4603" s="61"/>
    </row>
    <row r="4604" spans="1:4" ht="15.75" x14ac:dyDescent="0.25">
      <c r="A4604" s="285"/>
      <c r="B4604" s="59"/>
      <c r="C4604" s="59"/>
      <c r="D4604" s="60"/>
    </row>
    <row r="4605" spans="1:4" ht="16.5" thickBot="1" x14ac:dyDescent="0.3">
      <c r="A4605" s="286"/>
      <c r="B4605" s="62"/>
      <c r="C4605" s="62"/>
      <c r="D4605" s="61"/>
    </row>
    <row r="4606" spans="1:4" ht="16.5" thickBot="1" x14ac:dyDescent="0.3">
      <c r="A4606" s="57"/>
      <c r="B4606" s="36"/>
      <c r="C4606" s="36"/>
      <c r="D4606" s="36"/>
    </row>
    <row r="4607" spans="1:4" ht="15.75" thickBot="1" x14ac:dyDescent="0.3">
      <c r="A4607" s="287"/>
      <c r="B4607" s="288"/>
      <c r="C4607" s="288"/>
      <c r="D4607" s="289"/>
    </row>
    <row r="4608" spans="1:4" ht="18.75" x14ac:dyDescent="0.25">
      <c r="A4608" s="5"/>
      <c r="B4608" s="6"/>
      <c r="C4608" s="7"/>
      <c r="D4608" s="8"/>
    </row>
    <row r="4609" spans="1:4" ht="19.5" thickBot="1" x14ac:dyDescent="0.3">
      <c r="A4609" s="9"/>
      <c r="B4609" s="10"/>
      <c r="C4609" s="10"/>
      <c r="D4609" s="11"/>
    </row>
    <row r="4610" spans="1:4" ht="21.75" thickBot="1" x14ac:dyDescent="0.3">
      <c r="A4610" s="43"/>
      <c r="B4610" s="290"/>
      <c r="C4610" s="291"/>
      <c r="D4610" s="43"/>
    </row>
    <row r="4611" spans="1:4" ht="21.75" thickBot="1" x14ac:dyDescent="0.3">
      <c r="A4611" s="38"/>
      <c r="B4611" s="44"/>
      <c r="C4611" s="45"/>
      <c r="D4611" s="44"/>
    </row>
    <row r="4612" spans="1:4" ht="19.5" thickBot="1" x14ac:dyDescent="0.3">
      <c r="A4612" s="19"/>
      <c r="B4612" s="20"/>
      <c r="C4612" s="63"/>
      <c r="D4612" s="14"/>
    </row>
    <row r="4613" spans="1:4" ht="19.5" thickBot="1" x14ac:dyDescent="0.3">
      <c r="A4613" s="19"/>
      <c r="B4613" s="20"/>
      <c r="C4613" s="63"/>
      <c r="D4613" s="14"/>
    </row>
    <row r="4614" spans="1:4" ht="19.5" thickBot="1" x14ac:dyDescent="0.3">
      <c r="A4614" s="19"/>
      <c r="B4614" s="20"/>
      <c r="C4614" s="48"/>
      <c r="D4614" s="46"/>
    </row>
    <row r="4615" spans="1:4" ht="15.75" thickBot="1" x14ac:dyDescent="0.3">
      <c r="A4615" s="32"/>
      <c r="B4615" s="33"/>
      <c r="C4615" s="32"/>
      <c r="D4615" s="34"/>
    </row>
    <row r="4616" spans="1:4" ht="15.75" thickBot="1" x14ac:dyDescent="0.3">
      <c r="A4616" s="58"/>
      <c r="B4616" s="58"/>
      <c r="C4616" s="58"/>
      <c r="D4616" s="35"/>
    </row>
    <row r="4617" spans="1:4" ht="15.75" x14ac:dyDescent="0.25">
      <c r="A4617" s="285"/>
      <c r="B4617" s="59"/>
      <c r="C4617" s="59"/>
      <c r="D4617" s="60"/>
    </row>
    <row r="4618" spans="1:4" ht="16.5" thickBot="1" x14ac:dyDescent="0.3">
      <c r="A4618" s="286"/>
      <c r="B4618" s="62"/>
      <c r="C4618" s="62"/>
      <c r="D4618" s="61"/>
    </row>
    <row r="4619" spans="1:4" ht="15.75" x14ac:dyDescent="0.25">
      <c r="A4619" s="285"/>
      <c r="B4619" s="59"/>
      <c r="C4619" s="59"/>
      <c r="D4619" s="60"/>
    </row>
    <row r="4620" spans="1:4" ht="16.5" thickBot="1" x14ac:dyDescent="0.3">
      <c r="A4620" s="286"/>
      <c r="B4620" s="62"/>
      <c r="C4620" s="62"/>
      <c r="D4620" s="61"/>
    </row>
    <row r="4621" spans="1:4" ht="16.5" thickBot="1" x14ac:dyDescent="0.3">
      <c r="A4621" s="57"/>
      <c r="B4621" s="36"/>
      <c r="C4621" s="36"/>
      <c r="D4621" s="36"/>
    </row>
    <row r="4622" spans="1:4" ht="15.75" thickBot="1" x14ac:dyDescent="0.3">
      <c r="A4622" s="287"/>
      <c r="B4622" s="288"/>
      <c r="C4622" s="288"/>
      <c r="D4622" s="289"/>
    </row>
    <row r="4623" spans="1:4" ht="18.75" x14ac:dyDescent="0.25">
      <c r="A4623" s="5"/>
      <c r="B4623" s="6"/>
      <c r="C4623" s="7"/>
      <c r="D4623" s="8"/>
    </row>
    <row r="4624" spans="1:4" ht="19.5" thickBot="1" x14ac:dyDescent="0.3">
      <c r="A4624" s="9"/>
      <c r="B4624" s="10"/>
      <c r="C4624" s="10"/>
      <c r="D4624" s="11"/>
    </row>
    <row r="4625" spans="1:4" ht="21.75" thickBot="1" x14ac:dyDescent="0.3">
      <c r="A4625" s="43"/>
      <c r="B4625" s="290"/>
      <c r="C4625" s="291"/>
      <c r="D4625" s="43"/>
    </row>
    <row r="4626" spans="1:4" ht="21.75" thickBot="1" x14ac:dyDescent="0.3">
      <c r="A4626" s="38"/>
      <c r="B4626" s="44"/>
      <c r="C4626" s="45"/>
      <c r="D4626" s="44"/>
    </row>
    <row r="4627" spans="1:4" ht="19.5" thickBot="1" x14ac:dyDescent="0.3">
      <c r="A4627" s="19"/>
      <c r="B4627" s="20"/>
      <c r="C4627" s="63"/>
      <c r="D4627" s="14"/>
    </row>
    <row r="4628" spans="1:4" ht="19.5" thickBot="1" x14ac:dyDescent="0.3">
      <c r="A4628" s="19"/>
      <c r="B4628" s="20"/>
      <c r="C4628" s="48"/>
      <c r="D4628" s="46"/>
    </row>
    <row r="4629" spans="1:4" ht="15.75" thickBot="1" x14ac:dyDescent="0.3">
      <c r="A4629" s="32"/>
      <c r="B4629" s="33"/>
      <c r="C4629" s="32"/>
      <c r="D4629" s="34"/>
    </row>
    <row r="4630" spans="1:4" ht="15.75" thickBot="1" x14ac:dyDescent="0.3">
      <c r="A4630" s="58"/>
      <c r="B4630" s="58"/>
      <c r="C4630" s="58"/>
      <c r="D4630" s="35"/>
    </row>
    <row r="4631" spans="1:4" ht="15.75" x14ac:dyDescent="0.25">
      <c r="A4631" s="285"/>
      <c r="B4631" s="59"/>
      <c r="C4631" s="59"/>
      <c r="D4631" s="60"/>
    </row>
    <row r="4632" spans="1:4" ht="16.5" thickBot="1" x14ac:dyDescent="0.3">
      <c r="A4632" s="286"/>
      <c r="B4632" s="62"/>
      <c r="C4632" s="62"/>
      <c r="D4632" s="61"/>
    </row>
    <row r="4633" spans="1:4" ht="15.75" x14ac:dyDescent="0.25">
      <c r="A4633" s="285"/>
      <c r="B4633" s="59"/>
      <c r="C4633" s="59"/>
      <c r="D4633" s="60"/>
    </row>
    <row r="4634" spans="1:4" ht="16.5" thickBot="1" x14ac:dyDescent="0.3">
      <c r="A4634" s="286"/>
      <c r="B4634" s="62"/>
      <c r="C4634" s="62"/>
      <c r="D4634" s="61"/>
    </row>
    <row r="4635" spans="1:4" ht="16.5" thickBot="1" x14ac:dyDescent="0.3">
      <c r="A4635" s="57"/>
      <c r="B4635" s="36"/>
      <c r="C4635" s="36"/>
      <c r="D4635" s="36"/>
    </row>
    <row r="4636" spans="1:4" ht="15.75" thickBot="1" x14ac:dyDescent="0.3">
      <c r="A4636" s="287"/>
      <c r="B4636" s="288"/>
      <c r="C4636" s="288"/>
      <c r="D4636" s="289"/>
    </row>
    <row r="4637" spans="1:4" ht="18.75" x14ac:dyDescent="0.25">
      <c r="A4637" s="5"/>
      <c r="B4637" s="6"/>
      <c r="C4637" s="7"/>
      <c r="D4637" s="8"/>
    </row>
    <row r="4638" spans="1:4" ht="19.5" thickBot="1" x14ac:dyDescent="0.3">
      <c r="A4638" s="9"/>
      <c r="B4638" s="10"/>
      <c r="C4638" s="10"/>
      <c r="D4638" s="11"/>
    </row>
    <row r="4639" spans="1:4" ht="21.75" thickBot="1" x14ac:dyDescent="0.3">
      <c r="A4639" s="43"/>
      <c r="B4639" s="290"/>
      <c r="C4639" s="291"/>
      <c r="D4639" s="43"/>
    </row>
    <row r="4640" spans="1:4" ht="21.75" thickBot="1" x14ac:dyDescent="0.3">
      <c r="A4640" s="38"/>
      <c r="B4640" s="44"/>
      <c r="C4640" s="45"/>
      <c r="D4640" s="44"/>
    </row>
    <row r="4641" spans="1:4" ht="19.5" thickBot="1" x14ac:dyDescent="0.3">
      <c r="A4641" s="19"/>
      <c r="B4641" s="20"/>
      <c r="C4641" s="63"/>
      <c r="D4641" s="14"/>
    </row>
    <row r="4642" spans="1:4" ht="19.5" thickBot="1" x14ac:dyDescent="0.3">
      <c r="A4642" s="19"/>
      <c r="B4642" s="20"/>
      <c r="C4642" s="63"/>
      <c r="D4642" s="14"/>
    </row>
    <row r="4643" spans="1:4" ht="19.5" thickBot="1" x14ac:dyDescent="0.3">
      <c r="A4643" s="19"/>
      <c r="B4643" s="20"/>
      <c r="C4643" s="48"/>
      <c r="D4643" s="46"/>
    </row>
    <row r="4644" spans="1:4" ht="15.75" thickBot="1" x14ac:dyDescent="0.3">
      <c r="A4644" s="32"/>
      <c r="B4644" s="33"/>
      <c r="C4644" s="32"/>
      <c r="D4644" s="34"/>
    </row>
    <row r="4645" spans="1:4" ht="15.75" thickBot="1" x14ac:dyDescent="0.3">
      <c r="A4645" s="58"/>
      <c r="B4645" s="58"/>
      <c r="C4645" s="58"/>
      <c r="D4645" s="35"/>
    </row>
    <row r="4646" spans="1:4" ht="15.75" x14ac:dyDescent="0.25">
      <c r="A4646" s="285"/>
      <c r="B4646" s="59"/>
      <c r="C4646" s="59"/>
      <c r="D4646" s="60"/>
    </row>
    <row r="4647" spans="1:4" ht="16.5" thickBot="1" x14ac:dyDescent="0.3">
      <c r="A4647" s="286"/>
      <c r="B4647" s="62"/>
      <c r="C4647" s="62"/>
      <c r="D4647" s="61"/>
    </row>
    <row r="4648" spans="1:4" ht="15.75" x14ac:dyDescent="0.25">
      <c r="A4648" s="285"/>
      <c r="B4648" s="59"/>
      <c r="C4648" s="59"/>
      <c r="D4648" s="60"/>
    </row>
    <row r="4649" spans="1:4" ht="16.5" thickBot="1" x14ac:dyDescent="0.3">
      <c r="A4649" s="286"/>
      <c r="B4649" s="62"/>
      <c r="C4649" s="62"/>
      <c r="D4649" s="61"/>
    </row>
    <row r="4650" spans="1:4" ht="16.5" thickBot="1" x14ac:dyDescent="0.3">
      <c r="A4650" s="57"/>
      <c r="B4650" s="36"/>
      <c r="C4650" s="36"/>
      <c r="D4650" s="36"/>
    </row>
    <row r="4651" spans="1:4" ht="15.75" thickBot="1" x14ac:dyDescent="0.3">
      <c r="A4651" s="287"/>
      <c r="B4651" s="288"/>
      <c r="C4651" s="288"/>
      <c r="D4651" s="289"/>
    </row>
    <row r="4652" spans="1:4" ht="18.75" x14ac:dyDescent="0.25">
      <c r="A4652" s="5"/>
      <c r="B4652" s="6"/>
      <c r="C4652" s="7"/>
      <c r="D4652" s="8"/>
    </row>
    <row r="4653" spans="1:4" ht="19.5" thickBot="1" x14ac:dyDescent="0.3">
      <c r="A4653" s="9"/>
      <c r="B4653" s="10"/>
      <c r="C4653" s="10"/>
      <c r="D4653" s="11"/>
    </row>
    <row r="4654" spans="1:4" ht="21.75" thickBot="1" x14ac:dyDescent="0.3">
      <c r="A4654" s="43"/>
      <c r="B4654" s="290"/>
      <c r="C4654" s="291"/>
      <c r="D4654" s="43"/>
    </row>
    <row r="4655" spans="1:4" ht="21.75" thickBot="1" x14ac:dyDescent="0.3">
      <c r="A4655" s="38"/>
      <c r="B4655" s="44"/>
      <c r="C4655" s="45"/>
      <c r="D4655" s="44"/>
    </row>
    <row r="4656" spans="1:4" ht="19.5" thickBot="1" x14ac:dyDescent="0.3">
      <c r="A4656" s="19"/>
      <c r="B4656" s="20"/>
      <c r="C4656" s="63"/>
      <c r="D4656" s="14"/>
    </row>
    <row r="4657" spans="1:4" ht="19.5" thickBot="1" x14ac:dyDescent="0.3">
      <c r="A4657" s="19"/>
      <c r="B4657" s="20"/>
      <c r="C4657" s="48"/>
      <c r="D4657" s="46"/>
    </row>
    <row r="4658" spans="1:4" ht="15.75" thickBot="1" x14ac:dyDescent="0.3">
      <c r="A4658" s="32"/>
      <c r="B4658" s="33"/>
      <c r="C4658" s="32"/>
      <c r="D4658" s="34"/>
    </row>
    <row r="4659" spans="1:4" ht="15.75" thickBot="1" x14ac:dyDescent="0.3">
      <c r="A4659" s="58"/>
      <c r="B4659" s="58"/>
      <c r="C4659" s="58"/>
      <c r="D4659" s="35"/>
    </row>
    <row r="4660" spans="1:4" ht="15.75" x14ac:dyDescent="0.25">
      <c r="A4660" s="285"/>
      <c r="B4660" s="59"/>
      <c r="C4660" s="59"/>
      <c r="D4660" s="60"/>
    </row>
    <row r="4661" spans="1:4" ht="16.5" thickBot="1" x14ac:dyDescent="0.3">
      <c r="A4661" s="286"/>
      <c r="B4661" s="62"/>
      <c r="C4661" s="62"/>
      <c r="D4661" s="61"/>
    </row>
    <row r="4662" spans="1:4" ht="15.75" x14ac:dyDescent="0.25">
      <c r="A4662" s="285"/>
      <c r="B4662" s="59"/>
      <c r="C4662" s="59"/>
      <c r="D4662" s="60"/>
    </row>
    <row r="4663" spans="1:4" ht="16.5" thickBot="1" x14ac:dyDescent="0.3">
      <c r="A4663" s="286"/>
      <c r="B4663" s="62"/>
      <c r="C4663" s="62"/>
      <c r="D4663" s="61"/>
    </row>
    <row r="4664" spans="1:4" ht="16.5" thickBot="1" x14ac:dyDescent="0.3">
      <c r="A4664" s="57"/>
      <c r="B4664" s="36"/>
      <c r="C4664" s="36"/>
      <c r="D4664" s="36"/>
    </row>
    <row r="4665" spans="1:4" ht="15.75" thickBot="1" x14ac:dyDescent="0.3">
      <c r="A4665" s="287"/>
      <c r="B4665" s="288"/>
      <c r="C4665" s="288"/>
      <c r="D4665" s="289"/>
    </row>
    <row r="4666" spans="1:4" ht="18.75" x14ac:dyDescent="0.25">
      <c r="A4666" s="5"/>
      <c r="B4666" s="6"/>
      <c r="C4666" s="7"/>
      <c r="D4666" s="8"/>
    </row>
    <row r="4667" spans="1:4" ht="19.5" thickBot="1" x14ac:dyDescent="0.3">
      <c r="A4667" s="9"/>
      <c r="B4667" s="10"/>
      <c r="C4667" s="10"/>
      <c r="D4667" s="11"/>
    </row>
    <row r="4668" spans="1:4" ht="21.75" thickBot="1" x14ac:dyDescent="0.3">
      <c r="A4668" s="43"/>
      <c r="B4668" s="290"/>
      <c r="C4668" s="291"/>
      <c r="D4668" s="43"/>
    </row>
    <row r="4669" spans="1:4" ht="21.75" thickBot="1" x14ac:dyDescent="0.3">
      <c r="A4669" s="38"/>
      <c r="B4669" s="44"/>
      <c r="C4669" s="45"/>
      <c r="D4669" s="44"/>
    </row>
    <row r="4670" spans="1:4" ht="19.5" thickBot="1" x14ac:dyDescent="0.3">
      <c r="A4670" s="19"/>
      <c r="B4670" s="20"/>
      <c r="C4670" s="63"/>
      <c r="D4670" s="14"/>
    </row>
    <row r="4671" spans="1:4" ht="19.5" thickBot="1" x14ac:dyDescent="0.3">
      <c r="A4671" s="19"/>
      <c r="B4671" s="20"/>
      <c r="C4671" s="63"/>
      <c r="D4671" s="14"/>
    </row>
    <row r="4672" spans="1:4" ht="19.5" thickBot="1" x14ac:dyDescent="0.3">
      <c r="A4672" s="19"/>
      <c r="B4672" s="20"/>
      <c r="C4672" s="48"/>
      <c r="D4672" s="46"/>
    </row>
    <row r="4673" spans="1:4" ht="15.75" thickBot="1" x14ac:dyDescent="0.3">
      <c r="A4673" s="32"/>
      <c r="B4673" s="33"/>
      <c r="C4673" s="32"/>
      <c r="D4673" s="34"/>
    </row>
    <row r="4674" spans="1:4" ht="15.75" thickBot="1" x14ac:dyDescent="0.3">
      <c r="A4674" s="58"/>
      <c r="B4674" s="58"/>
      <c r="C4674" s="58"/>
      <c r="D4674" s="35"/>
    </row>
    <row r="4675" spans="1:4" ht="15.75" x14ac:dyDescent="0.25">
      <c r="A4675" s="285"/>
      <c r="B4675" s="59"/>
      <c r="C4675" s="59"/>
      <c r="D4675" s="60"/>
    </row>
    <row r="4676" spans="1:4" ht="16.5" thickBot="1" x14ac:dyDescent="0.3">
      <c r="A4676" s="286"/>
      <c r="B4676" s="62"/>
      <c r="C4676" s="62"/>
      <c r="D4676" s="61"/>
    </row>
    <row r="4677" spans="1:4" ht="15.75" x14ac:dyDescent="0.25">
      <c r="A4677" s="285"/>
      <c r="B4677" s="59"/>
      <c r="C4677" s="59"/>
      <c r="D4677" s="60"/>
    </row>
    <row r="4678" spans="1:4" ht="16.5" thickBot="1" x14ac:dyDescent="0.3">
      <c r="A4678" s="286"/>
      <c r="B4678" s="62"/>
      <c r="C4678" s="62"/>
      <c r="D4678" s="61"/>
    </row>
    <row r="4679" spans="1:4" ht="16.5" thickBot="1" x14ac:dyDescent="0.3">
      <c r="A4679" s="57"/>
      <c r="B4679" s="36"/>
      <c r="C4679" s="36"/>
      <c r="D4679" s="36"/>
    </row>
    <row r="4680" spans="1:4" ht="15.75" thickBot="1" x14ac:dyDescent="0.3">
      <c r="A4680" s="287"/>
      <c r="B4680" s="288"/>
      <c r="C4680" s="288"/>
      <c r="D4680" s="289"/>
    </row>
    <row r="4681" spans="1:4" ht="18.75" x14ac:dyDescent="0.25">
      <c r="A4681" s="5"/>
      <c r="B4681" s="6"/>
      <c r="C4681" s="7"/>
      <c r="D4681" s="8"/>
    </row>
    <row r="4682" spans="1:4" ht="19.5" thickBot="1" x14ac:dyDescent="0.3">
      <c r="A4682" s="9"/>
      <c r="B4682" s="10"/>
      <c r="C4682" s="10"/>
      <c r="D4682" s="11"/>
    </row>
    <row r="4683" spans="1:4" ht="21.75" thickBot="1" x14ac:dyDescent="0.3">
      <c r="A4683" s="43"/>
      <c r="B4683" s="290"/>
      <c r="C4683" s="291"/>
      <c r="D4683" s="43"/>
    </row>
    <row r="4684" spans="1:4" ht="21.75" thickBot="1" x14ac:dyDescent="0.3">
      <c r="A4684" s="38"/>
      <c r="B4684" s="44"/>
      <c r="C4684" s="45"/>
      <c r="D4684" s="44"/>
    </row>
    <row r="4685" spans="1:4" ht="19.5" thickBot="1" x14ac:dyDescent="0.3">
      <c r="A4685" s="19"/>
      <c r="B4685" s="20"/>
      <c r="C4685" s="63"/>
      <c r="D4685" s="14"/>
    </row>
    <row r="4686" spans="1:4" ht="19.5" thickBot="1" x14ac:dyDescent="0.3">
      <c r="A4686" s="19"/>
      <c r="B4686" s="20"/>
      <c r="C4686" s="48"/>
      <c r="D4686" s="46"/>
    </row>
    <row r="4687" spans="1:4" ht="15.75" thickBot="1" x14ac:dyDescent="0.3">
      <c r="A4687" s="32"/>
      <c r="B4687" s="33"/>
      <c r="C4687" s="32"/>
      <c r="D4687" s="34"/>
    </row>
    <row r="4688" spans="1:4" ht="15.75" thickBot="1" x14ac:dyDescent="0.3">
      <c r="A4688" s="58"/>
      <c r="B4688" s="58"/>
      <c r="C4688" s="58"/>
      <c r="D4688" s="35"/>
    </row>
    <row r="4689" spans="1:4" ht="15.75" x14ac:dyDescent="0.25">
      <c r="A4689" s="285"/>
      <c r="B4689" s="59"/>
      <c r="C4689" s="59"/>
      <c r="D4689" s="60"/>
    </row>
    <row r="4690" spans="1:4" ht="16.5" thickBot="1" x14ac:dyDescent="0.3">
      <c r="A4690" s="286"/>
      <c r="B4690" s="62"/>
      <c r="C4690" s="62"/>
      <c r="D4690" s="61"/>
    </row>
    <row r="4691" spans="1:4" ht="15.75" x14ac:dyDescent="0.25">
      <c r="A4691" s="285"/>
      <c r="B4691" s="59"/>
      <c r="C4691" s="59"/>
      <c r="D4691" s="60"/>
    </row>
    <row r="4692" spans="1:4" ht="16.5" thickBot="1" x14ac:dyDescent="0.3">
      <c r="A4692" s="286"/>
      <c r="B4692" s="62"/>
      <c r="C4692" s="62"/>
      <c r="D4692" s="61"/>
    </row>
    <row r="4693" spans="1:4" ht="16.5" thickBot="1" x14ac:dyDescent="0.3">
      <c r="A4693" s="57"/>
      <c r="B4693" s="36"/>
      <c r="C4693" s="36"/>
      <c r="D4693" s="36"/>
    </row>
    <row r="4694" spans="1:4" ht="15.75" thickBot="1" x14ac:dyDescent="0.3">
      <c r="A4694" s="287"/>
      <c r="B4694" s="288"/>
      <c r="C4694" s="288"/>
      <c r="D4694" s="289"/>
    </row>
    <row r="4695" spans="1:4" ht="18.75" x14ac:dyDescent="0.25">
      <c r="A4695" s="5"/>
      <c r="B4695" s="6"/>
      <c r="C4695" s="7"/>
      <c r="D4695" s="8"/>
    </row>
    <row r="4696" spans="1:4" ht="19.5" thickBot="1" x14ac:dyDescent="0.3">
      <c r="A4696" s="9"/>
      <c r="B4696" s="10"/>
      <c r="C4696" s="10"/>
      <c r="D4696" s="11"/>
    </row>
    <row r="4697" spans="1:4" ht="21.75" thickBot="1" x14ac:dyDescent="0.3">
      <c r="A4697" s="43"/>
      <c r="B4697" s="290"/>
      <c r="C4697" s="291"/>
      <c r="D4697" s="43"/>
    </row>
    <row r="4698" spans="1:4" ht="21.75" thickBot="1" x14ac:dyDescent="0.3">
      <c r="A4698" s="38"/>
      <c r="B4698" s="44"/>
      <c r="C4698" s="45"/>
      <c r="D4698" s="44"/>
    </row>
    <row r="4699" spans="1:4" ht="19.5" thickBot="1" x14ac:dyDescent="0.3">
      <c r="A4699" s="19"/>
      <c r="B4699" s="20"/>
      <c r="C4699" s="63"/>
      <c r="D4699" s="14"/>
    </row>
    <row r="4700" spans="1:4" ht="19.5" thickBot="1" x14ac:dyDescent="0.3">
      <c r="A4700" s="19"/>
      <c r="B4700" s="20"/>
      <c r="C4700" s="63"/>
      <c r="D4700" s="14"/>
    </row>
    <row r="4701" spans="1:4" ht="19.5" thickBot="1" x14ac:dyDescent="0.3">
      <c r="A4701" s="19"/>
      <c r="B4701" s="20"/>
      <c r="C4701" s="48"/>
      <c r="D4701" s="46"/>
    </row>
    <row r="4702" spans="1:4" ht="15.75" thickBot="1" x14ac:dyDescent="0.3">
      <c r="A4702" s="32"/>
      <c r="B4702" s="33"/>
      <c r="C4702" s="32"/>
      <c r="D4702" s="34"/>
    </row>
    <row r="4703" spans="1:4" ht="15.75" thickBot="1" x14ac:dyDescent="0.3">
      <c r="A4703" s="58"/>
      <c r="B4703" s="58"/>
      <c r="C4703" s="58"/>
      <c r="D4703" s="35"/>
    </row>
    <row r="4704" spans="1:4" ht="15.75" x14ac:dyDescent="0.25">
      <c r="A4704" s="285"/>
      <c r="B4704" s="59"/>
      <c r="C4704" s="59"/>
      <c r="D4704" s="60"/>
    </row>
    <row r="4705" spans="1:4" ht="16.5" thickBot="1" x14ac:dyDescent="0.3">
      <c r="A4705" s="286"/>
      <c r="B4705" s="62"/>
      <c r="C4705" s="62"/>
      <c r="D4705" s="61"/>
    </row>
    <row r="4706" spans="1:4" ht="15.75" x14ac:dyDescent="0.25">
      <c r="A4706" s="285"/>
      <c r="B4706" s="59"/>
      <c r="C4706" s="59"/>
      <c r="D4706" s="60"/>
    </row>
    <row r="4707" spans="1:4" ht="16.5" thickBot="1" x14ac:dyDescent="0.3">
      <c r="A4707" s="286"/>
      <c r="B4707" s="62"/>
      <c r="C4707" s="62"/>
      <c r="D4707" s="61"/>
    </row>
    <row r="4708" spans="1:4" ht="16.5" thickBot="1" x14ac:dyDescent="0.3">
      <c r="A4708" s="57"/>
      <c r="B4708" s="36"/>
      <c r="C4708" s="36"/>
      <c r="D4708" s="36"/>
    </row>
    <row r="4709" spans="1:4" ht="15.75" thickBot="1" x14ac:dyDescent="0.3">
      <c r="A4709" s="287"/>
      <c r="B4709" s="288"/>
      <c r="C4709" s="288"/>
      <c r="D4709" s="289"/>
    </row>
    <row r="4710" spans="1:4" ht="18.75" x14ac:dyDescent="0.25">
      <c r="A4710" s="5"/>
      <c r="B4710" s="6"/>
      <c r="C4710" s="7"/>
      <c r="D4710" s="8"/>
    </row>
    <row r="4711" spans="1:4" ht="19.5" thickBot="1" x14ac:dyDescent="0.3">
      <c r="A4711" s="9"/>
      <c r="B4711" s="10"/>
      <c r="C4711" s="10"/>
      <c r="D4711" s="11"/>
    </row>
    <row r="4712" spans="1:4" ht="21.75" thickBot="1" x14ac:dyDescent="0.3">
      <c r="A4712" s="43"/>
      <c r="B4712" s="290"/>
      <c r="C4712" s="291"/>
      <c r="D4712" s="43"/>
    </row>
    <row r="4713" spans="1:4" ht="21.75" thickBot="1" x14ac:dyDescent="0.3">
      <c r="A4713" s="38"/>
      <c r="B4713" s="44"/>
      <c r="C4713" s="45"/>
      <c r="D4713" s="44"/>
    </row>
    <row r="4714" spans="1:4" ht="19.5" thickBot="1" x14ac:dyDescent="0.3">
      <c r="A4714" s="19"/>
      <c r="B4714" s="20"/>
      <c r="C4714" s="63"/>
      <c r="D4714" s="14"/>
    </row>
    <row r="4715" spans="1:4" ht="19.5" thickBot="1" x14ac:dyDescent="0.3">
      <c r="A4715" s="19"/>
      <c r="B4715" s="20"/>
      <c r="C4715" s="48"/>
      <c r="D4715" s="46"/>
    </row>
    <row r="4716" spans="1:4" ht="15.75" thickBot="1" x14ac:dyDescent="0.3">
      <c r="A4716" s="32"/>
      <c r="B4716" s="33"/>
      <c r="C4716" s="32"/>
      <c r="D4716" s="34"/>
    </row>
    <row r="4717" spans="1:4" ht="15.75" thickBot="1" x14ac:dyDescent="0.3">
      <c r="A4717" s="58"/>
      <c r="B4717" s="58"/>
      <c r="C4717" s="58"/>
      <c r="D4717" s="35"/>
    </row>
    <row r="4718" spans="1:4" ht="15.75" x14ac:dyDescent="0.25">
      <c r="A4718" s="285"/>
      <c r="B4718" s="59"/>
      <c r="C4718" s="59"/>
      <c r="D4718" s="60"/>
    </row>
    <row r="4719" spans="1:4" ht="16.5" thickBot="1" x14ac:dyDescent="0.3">
      <c r="A4719" s="286"/>
      <c r="B4719" s="62"/>
      <c r="C4719" s="62"/>
      <c r="D4719" s="61"/>
    </row>
    <row r="4720" spans="1:4" ht="15.75" x14ac:dyDescent="0.25">
      <c r="A4720" s="285"/>
      <c r="B4720" s="59"/>
      <c r="C4720" s="59"/>
      <c r="D4720" s="60"/>
    </row>
    <row r="4721" spans="1:4" ht="16.5" thickBot="1" x14ac:dyDescent="0.3">
      <c r="A4721" s="286"/>
      <c r="B4721" s="62"/>
      <c r="C4721" s="62"/>
      <c r="D4721" s="61"/>
    </row>
    <row r="4722" spans="1:4" ht="16.5" thickBot="1" x14ac:dyDescent="0.3">
      <c r="A4722" s="57"/>
      <c r="B4722" s="36"/>
      <c r="C4722" s="36"/>
      <c r="D4722" s="36"/>
    </row>
    <row r="4723" spans="1:4" ht="15.75" thickBot="1" x14ac:dyDescent="0.3">
      <c r="A4723" s="287"/>
      <c r="B4723" s="288"/>
      <c r="C4723" s="288"/>
      <c r="D4723" s="289"/>
    </row>
    <row r="4724" spans="1:4" ht="18.75" x14ac:dyDescent="0.25">
      <c r="A4724" s="5"/>
      <c r="B4724" s="6"/>
      <c r="C4724" s="7"/>
      <c r="D4724" s="8"/>
    </row>
    <row r="4725" spans="1:4" ht="19.5" thickBot="1" x14ac:dyDescent="0.3">
      <c r="A4725" s="9"/>
      <c r="B4725" s="10"/>
      <c r="C4725" s="10"/>
      <c r="D4725" s="11"/>
    </row>
    <row r="4726" spans="1:4" ht="21.75" thickBot="1" x14ac:dyDescent="0.3">
      <c r="A4726" s="43"/>
      <c r="B4726" s="290"/>
      <c r="C4726" s="291"/>
      <c r="D4726" s="43"/>
    </row>
    <row r="4727" spans="1:4" ht="21.75" thickBot="1" x14ac:dyDescent="0.3">
      <c r="A4727" s="38"/>
      <c r="B4727" s="44"/>
      <c r="C4727" s="45"/>
      <c r="D4727" s="44"/>
    </row>
    <row r="4728" spans="1:4" ht="19.5" thickBot="1" x14ac:dyDescent="0.3">
      <c r="A4728" s="19"/>
      <c r="B4728" s="20"/>
      <c r="C4728" s="63"/>
      <c r="D4728" s="14"/>
    </row>
    <row r="4729" spans="1:4" ht="19.5" thickBot="1" x14ac:dyDescent="0.3">
      <c r="A4729" s="19"/>
      <c r="B4729" s="20"/>
      <c r="C4729" s="63"/>
      <c r="D4729" s="14"/>
    </row>
    <row r="4730" spans="1:4" ht="19.5" thickBot="1" x14ac:dyDescent="0.3">
      <c r="A4730" s="19"/>
      <c r="B4730" s="20"/>
      <c r="C4730" s="48"/>
      <c r="D4730" s="46"/>
    </row>
    <row r="4731" spans="1:4" ht="15.75" thickBot="1" x14ac:dyDescent="0.3">
      <c r="A4731" s="32"/>
      <c r="B4731" s="33"/>
      <c r="C4731" s="32"/>
      <c r="D4731" s="34"/>
    </row>
    <row r="4732" spans="1:4" ht="15.75" thickBot="1" x14ac:dyDescent="0.3">
      <c r="A4732" s="58"/>
      <c r="B4732" s="58"/>
      <c r="C4732" s="58"/>
      <c r="D4732" s="35"/>
    </row>
    <row r="4733" spans="1:4" ht="15.75" x14ac:dyDescent="0.25">
      <c r="A4733" s="285"/>
      <c r="B4733" s="59"/>
      <c r="C4733" s="59"/>
      <c r="D4733" s="60"/>
    </row>
    <row r="4734" spans="1:4" ht="16.5" thickBot="1" x14ac:dyDescent="0.3">
      <c r="A4734" s="286"/>
      <c r="B4734" s="62"/>
      <c r="C4734" s="62"/>
      <c r="D4734" s="61"/>
    </row>
    <row r="4735" spans="1:4" ht="15.75" x14ac:dyDescent="0.25">
      <c r="A4735" s="285"/>
      <c r="B4735" s="59"/>
      <c r="C4735" s="59"/>
      <c r="D4735" s="60"/>
    </row>
    <row r="4736" spans="1:4" ht="16.5" thickBot="1" x14ac:dyDescent="0.3">
      <c r="A4736" s="286"/>
      <c r="B4736" s="62"/>
      <c r="C4736" s="62"/>
      <c r="D4736" s="61"/>
    </row>
    <row r="4737" spans="1:4" ht="16.5" thickBot="1" x14ac:dyDescent="0.3">
      <c r="A4737" s="57"/>
      <c r="B4737" s="36"/>
      <c r="C4737" s="36"/>
      <c r="D4737" s="36"/>
    </row>
    <row r="4738" spans="1:4" ht="15.75" thickBot="1" x14ac:dyDescent="0.3">
      <c r="A4738" s="287"/>
      <c r="B4738" s="288"/>
      <c r="C4738" s="288"/>
      <c r="D4738" s="289"/>
    </row>
    <row r="4739" spans="1:4" ht="18.75" x14ac:dyDescent="0.25">
      <c r="A4739" s="5"/>
      <c r="B4739" s="6"/>
      <c r="C4739" s="7"/>
      <c r="D4739" s="8"/>
    </row>
    <row r="4740" spans="1:4" ht="19.5" thickBot="1" x14ac:dyDescent="0.3">
      <c r="A4740" s="9"/>
      <c r="B4740" s="10"/>
      <c r="C4740" s="10"/>
      <c r="D4740" s="11"/>
    </row>
    <row r="4741" spans="1:4" ht="21.75" thickBot="1" x14ac:dyDescent="0.3">
      <c r="A4741" s="43"/>
      <c r="B4741" s="290"/>
      <c r="C4741" s="291"/>
      <c r="D4741" s="43"/>
    </row>
    <row r="4742" spans="1:4" ht="21.75" thickBot="1" x14ac:dyDescent="0.3">
      <c r="A4742" s="38"/>
      <c r="B4742" s="44"/>
      <c r="C4742" s="45"/>
      <c r="D4742" s="44"/>
    </row>
    <row r="4743" spans="1:4" ht="19.5" thickBot="1" x14ac:dyDescent="0.3">
      <c r="A4743" s="19"/>
      <c r="B4743" s="20"/>
      <c r="C4743" s="63"/>
      <c r="D4743" s="14"/>
    </row>
    <row r="4744" spans="1:4" ht="19.5" thickBot="1" x14ac:dyDescent="0.3">
      <c r="A4744" s="19"/>
      <c r="B4744" s="20"/>
      <c r="C4744" s="48"/>
      <c r="D4744" s="46"/>
    </row>
    <row r="4745" spans="1:4" ht="15.75" thickBot="1" x14ac:dyDescent="0.3">
      <c r="A4745" s="32"/>
      <c r="B4745" s="33"/>
      <c r="C4745" s="32"/>
      <c r="D4745" s="34"/>
    </row>
    <row r="4746" spans="1:4" ht="15.75" thickBot="1" x14ac:dyDescent="0.3">
      <c r="A4746" s="58"/>
      <c r="B4746" s="58"/>
      <c r="C4746" s="58"/>
      <c r="D4746" s="35"/>
    </row>
    <row r="4747" spans="1:4" ht="15.75" x14ac:dyDescent="0.25">
      <c r="A4747" s="285"/>
      <c r="B4747" s="59"/>
      <c r="C4747" s="59"/>
      <c r="D4747" s="60"/>
    </row>
    <row r="4748" spans="1:4" ht="16.5" thickBot="1" x14ac:dyDescent="0.3">
      <c r="A4748" s="286"/>
      <c r="B4748" s="62"/>
      <c r="C4748" s="62"/>
      <c r="D4748" s="61"/>
    </row>
    <row r="4749" spans="1:4" ht="15.75" x14ac:dyDescent="0.25">
      <c r="A4749" s="285"/>
      <c r="B4749" s="59"/>
      <c r="C4749" s="59"/>
      <c r="D4749" s="60"/>
    </row>
    <row r="4750" spans="1:4" ht="16.5" thickBot="1" x14ac:dyDescent="0.3">
      <c r="A4750" s="286"/>
      <c r="B4750" s="62"/>
      <c r="C4750" s="62"/>
      <c r="D4750" s="61"/>
    </row>
    <row r="4751" spans="1:4" ht="16.5" thickBot="1" x14ac:dyDescent="0.3">
      <c r="A4751" s="57"/>
      <c r="B4751" s="36"/>
      <c r="C4751" s="36"/>
      <c r="D4751" s="36"/>
    </row>
    <row r="4752" spans="1:4" ht="15.75" thickBot="1" x14ac:dyDescent="0.3">
      <c r="A4752" s="287"/>
      <c r="B4752" s="288"/>
      <c r="C4752" s="288"/>
      <c r="D4752" s="289"/>
    </row>
    <row r="4753" spans="1:4" ht="18.75" x14ac:dyDescent="0.25">
      <c r="A4753" s="5"/>
      <c r="B4753" s="6"/>
      <c r="C4753" s="7"/>
      <c r="D4753" s="8"/>
    </row>
    <row r="4754" spans="1:4" ht="19.5" thickBot="1" x14ac:dyDescent="0.3">
      <c r="A4754" s="9"/>
      <c r="B4754" s="10"/>
      <c r="C4754" s="10"/>
      <c r="D4754" s="11"/>
    </row>
    <row r="4755" spans="1:4" ht="21.75" thickBot="1" x14ac:dyDescent="0.3">
      <c r="A4755" s="43"/>
      <c r="B4755" s="290"/>
      <c r="C4755" s="291"/>
      <c r="D4755" s="43"/>
    </row>
    <row r="4756" spans="1:4" ht="21.75" thickBot="1" x14ac:dyDescent="0.3">
      <c r="A4756" s="38"/>
      <c r="B4756" s="44"/>
      <c r="C4756" s="45"/>
      <c r="D4756" s="44"/>
    </row>
    <row r="4757" spans="1:4" ht="19.5" thickBot="1" x14ac:dyDescent="0.3">
      <c r="A4757" s="19"/>
      <c r="B4757" s="20"/>
      <c r="C4757" s="63"/>
      <c r="D4757" s="14"/>
    </row>
    <row r="4758" spans="1:4" ht="19.5" thickBot="1" x14ac:dyDescent="0.3">
      <c r="A4758" s="19"/>
      <c r="B4758" s="20"/>
      <c r="C4758" s="63"/>
      <c r="D4758" s="14"/>
    </row>
    <row r="4759" spans="1:4" ht="19.5" thickBot="1" x14ac:dyDescent="0.3">
      <c r="A4759" s="19"/>
      <c r="B4759" s="20"/>
      <c r="C4759" s="48"/>
      <c r="D4759" s="46"/>
    </row>
    <row r="4760" spans="1:4" ht="15.75" thickBot="1" x14ac:dyDescent="0.3">
      <c r="A4760" s="32"/>
      <c r="B4760" s="33"/>
      <c r="C4760" s="32"/>
      <c r="D4760" s="34"/>
    </row>
    <row r="4761" spans="1:4" ht="15.75" thickBot="1" x14ac:dyDescent="0.3">
      <c r="A4761" s="58"/>
      <c r="B4761" s="58"/>
      <c r="C4761" s="58"/>
      <c r="D4761" s="35"/>
    </row>
    <row r="4762" spans="1:4" ht="15.75" x14ac:dyDescent="0.25">
      <c r="A4762" s="285"/>
      <c r="B4762" s="59"/>
      <c r="C4762" s="59"/>
      <c r="D4762" s="60"/>
    </row>
    <row r="4763" spans="1:4" ht="16.5" thickBot="1" x14ac:dyDescent="0.3">
      <c r="A4763" s="286"/>
      <c r="B4763" s="62"/>
      <c r="C4763" s="62"/>
      <c r="D4763" s="61"/>
    </row>
    <row r="4764" spans="1:4" ht="15.75" x14ac:dyDescent="0.25">
      <c r="A4764" s="285"/>
      <c r="B4764" s="59"/>
      <c r="C4764" s="59"/>
      <c r="D4764" s="60"/>
    </row>
    <row r="4765" spans="1:4" ht="16.5" thickBot="1" x14ac:dyDescent="0.3">
      <c r="A4765" s="286"/>
      <c r="B4765" s="62"/>
      <c r="C4765" s="62"/>
      <c r="D4765" s="61"/>
    </row>
    <row r="4766" spans="1:4" ht="16.5" thickBot="1" x14ac:dyDescent="0.3">
      <c r="A4766" s="57"/>
      <c r="B4766" s="36"/>
      <c r="C4766" s="36"/>
      <c r="D4766" s="36"/>
    </row>
    <row r="4767" spans="1:4" ht="15.75" thickBot="1" x14ac:dyDescent="0.3">
      <c r="A4767" s="287"/>
      <c r="B4767" s="288"/>
      <c r="C4767" s="288"/>
      <c r="D4767" s="289"/>
    </row>
    <row r="4768" spans="1:4" ht="18.75" x14ac:dyDescent="0.25">
      <c r="A4768" s="5"/>
      <c r="B4768" s="6"/>
      <c r="C4768" s="7"/>
      <c r="D4768" s="8"/>
    </row>
    <row r="4769" spans="1:4" ht="19.5" thickBot="1" x14ac:dyDescent="0.3">
      <c r="A4769" s="9"/>
      <c r="B4769" s="10"/>
      <c r="C4769" s="10"/>
      <c r="D4769" s="11"/>
    </row>
    <row r="4770" spans="1:4" ht="21.75" thickBot="1" x14ac:dyDescent="0.3">
      <c r="A4770" s="43"/>
      <c r="B4770" s="290"/>
      <c r="C4770" s="291"/>
      <c r="D4770" s="43"/>
    </row>
    <row r="4771" spans="1:4" ht="21.75" thickBot="1" x14ac:dyDescent="0.3">
      <c r="A4771" s="38"/>
      <c r="B4771" s="44"/>
      <c r="C4771" s="45"/>
      <c r="D4771" s="44"/>
    </row>
    <row r="4772" spans="1:4" ht="19.5" thickBot="1" x14ac:dyDescent="0.3">
      <c r="A4772" s="19"/>
      <c r="B4772" s="20"/>
      <c r="C4772" s="63"/>
      <c r="D4772" s="14"/>
    </row>
    <row r="4773" spans="1:4" ht="19.5" thickBot="1" x14ac:dyDescent="0.3">
      <c r="A4773" s="19"/>
      <c r="B4773" s="20"/>
      <c r="C4773" s="48"/>
      <c r="D4773" s="46"/>
    </row>
    <row r="4774" spans="1:4" ht="15.75" thickBot="1" x14ac:dyDescent="0.3">
      <c r="A4774" s="32"/>
      <c r="B4774" s="33"/>
      <c r="C4774" s="32"/>
      <c r="D4774" s="34"/>
    </row>
    <row r="4775" spans="1:4" ht="15.75" thickBot="1" x14ac:dyDescent="0.3">
      <c r="A4775" s="58"/>
      <c r="B4775" s="58"/>
      <c r="C4775" s="58"/>
      <c r="D4775" s="35"/>
    </row>
    <row r="4776" spans="1:4" ht="15.75" x14ac:dyDescent="0.25">
      <c r="A4776" s="285"/>
      <c r="B4776" s="59"/>
      <c r="C4776" s="59"/>
      <c r="D4776" s="60"/>
    </row>
    <row r="4777" spans="1:4" ht="16.5" thickBot="1" x14ac:dyDescent="0.3">
      <c r="A4777" s="286"/>
      <c r="B4777" s="62"/>
      <c r="C4777" s="62"/>
      <c r="D4777" s="61"/>
    </row>
    <row r="4778" spans="1:4" ht="15.75" x14ac:dyDescent="0.25">
      <c r="A4778" s="285"/>
      <c r="B4778" s="59"/>
      <c r="C4778" s="59"/>
      <c r="D4778" s="60"/>
    </row>
    <row r="4779" spans="1:4" ht="16.5" thickBot="1" x14ac:dyDescent="0.3">
      <c r="A4779" s="286"/>
      <c r="B4779" s="62"/>
      <c r="C4779" s="62"/>
      <c r="D4779" s="61"/>
    </row>
    <row r="4780" spans="1:4" ht="16.5" thickBot="1" x14ac:dyDescent="0.3">
      <c r="A4780" s="57"/>
      <c r="B4780" s="36"/>
      <c r="C4780" s="36"/>
      <c r="D4780" s="36"/>
    </row>
    <row r="4781" spans="1:4" ht="15.75" thickBot="1" x14ac:dyDescent="0.3">
      <c r="A4781" s="287"/>
      <c r="B4781" s="288"/>
      <c r="C4781" s="288"/>
      <c r="D4781" s="289"/>
    </row>
    <row r="4782" spans="1:4" ht="18.75" x14ac:dyDescent="0.25">
      <c r="A4782" s="5"/>
      <c r="B4782" s="6"/>
      <c r="C4782" s="7"/>
      <c r="D4782" s="8"/>
    </row>
    <row r="4783" spans="1:4" ht="19.5" thickBot="1" x14ac:dyDescent="0.3">
      <c r="A4783" s="9"/>
      <c r="B4783" s="10"/>
      <c r="C4783" s="10"/>
      <c r="D4783" s="11"/>
    </row>
    <row r="4784" spans="1:4" ht="21.75" thickBot="1" x14ac:dyDescent="0.3">
      <c r="A4784" s="43"/>
      <c r="B4784" s="290"/>
      <c r="C4784" s="291"/>
      <c r="D4784" s="43"/>
    </row>
    <row r="4785" spans="1:4" ht="21.75" thickBot="1" x14ac:dyDescent="0.3">
      <c r="A4785" s="38"/>
      <c r="B4785" s="44"/>
      <c r="C4785" s="45"/>
      <c r="D4785" s="44"/>
    </row>
    <row r="4786" spans="1:4" ht="19.5" thickBot="1" x14ac:dyDescent="0.3">
      <c r="A4786" s="19"/>
      <c r="B4786" s="20"/>
      <c r="C4786" s="63"/>
      <c r="D4786" s="14"/>
    </row>
    <row r="4787" spans="1:4" ht="19.5" thickBot="1" x14ac:dyDescent="0.3">
      <c r="A4787" s="19"/>
      <c r="B4787" s="20"/>
      <c r="C4787" s="63"/>
      <c r="D4787" s="14"/>
    </row>
    <row r="4788" spans="1:4" ht="19.5" thickBot="1" x14ac:dyDescent="0.3">
      <c r="A4788" s="19"/>
      <c r="B4788" s="20"/>
      <c r="C4788" s="48"/>
      <c r="D4788" s="46"/>
    </row>
    <row r="4789" spans="1:4" ht="15.75" thickBot="1" x14ac:dyDescent="0.3">
      <c r="A4789" s="32"/>
      <c r="B4789" s="33"/>
      <c r="C4789" s="32"/>
      <c r="D4789" s="34"/>
    </row>
    <row r="4790" spans="1:4" ht="15.75" thickBot="1" x14ac:dyDescent="0.3">
      <c r="A4790" s="58"/>
      <c r="B4790" s="58"/>
      <c r="C4790" s="58"/>
      <c r="D4790" s="35"/>
    </row>
    <row r="4791" spans="1:4" ht="15.75" x14ac:dyDescent="0.25">
      <c r="A4791" s="285"/>
      <c r="B4791" s="59"/>
      <c r="C4791" s="59"/>
      <c r="D4791" s="60"/>
    </row>
    <row r="4792" spans="1:4" ht="16.5" thickBot="1" x14ac:dyDescent="0.3">
      <c r="A4792" s="286"/>
      <c r="B4792" s="62"/>
      <c r="C4792" s="62"/>
      <c r="D4792" s="61"/>
    </row>
    <row r="4793" spans="1:4" ht="15.75" x14ac:dyDescent="0.25">
      <c r="A4793" s="285"/>
      <c r="B4793" s="59"/>
      <c r="C4793" s="59"/>
      <c r="D4793" s="60"/>
    </row>
    <row r="4794" spans="1:4" ht="16.5" thickBot="1" x14ac:dyDescent="0.3">
      <c r="A4794" s="286"/>
      <c r="B4794" s="62"/>
      <c r="C4794" s="62"/>
      <c r="D4794" s="61"/>
    </row>
    <row r="4795" spans="1:4" ht="16.5" thickBot="1" x14ac:dyDescent="0.3">
      <c r="A4795" s="57"/>
      <c r="B4795" s="36"/>
      <c r="C4795" s="36"/>
      <c r="D4795" s="36"/>
    </row>
    <row r="4796" spans="1:4" ht="15.75" thickBot="1" x14ac:dyDescent="0.3">
      <c r="A4796" s="287"/>
      <c r="B4796" s="288"/>
      <c r="C4796" s="288"/>
      <c r="D4796" s="289"/>
    </row>
    <row r="4797" spans="1:4" ht="18.75" x14ac:dyDescent="0.25">
      <c r="A4797" s="5"/>
      <c r="B4797" s="6"/>
      <c r="C4797" s="7"/>
      <c r="D4797" s="8"/>
    </row>
    <row r="4798" spans="1:4" ht="19.5" thickBot="1" x14ac:dyDescent="0.3">
      <c r="A4798" s="9"/>
      <c r="B4798" s="10"/>
      <c r="C4798" s="10"/>
      <c r="D4798" s="11"/>
    </row>
    <row r="4799" spans="1:4" ht="21.75" thickBot="1" x14ac:dyDescent="0.3">
      <c r="A4799" s="43"/>
      <c r="B4799" s="290"/>
      <c r="C4799" s="291"/>
      <c r="D4799" s="43"/>
    </row>
    <row r="4800" spans="1:4" ht="21.75" thickBot="1" x14ac:dyDescent="0.3">
      <c r="A4800" s="38"/>
      <c r="B4800" s="44"/>
      <c r="C4800" s="45"/>
      <c r="D4800" s="44"/>
    </row>
    <row r="4801" spans="1:4" ht="19.5" thickBot="1" x14ac:dyDescent="0.3">
      <c r="A4801" s="19"/>
      <c r="B4801" s="20"/>
      <c r="C4801" s="63"/>
      <c r="D4801" s="14"/>
    </row>
    <row r="4802" spans="1:4" ht="19.5" thickBot="1" x14ac:dyDescent="0.3">
      <c r="A4802" s="19"/>
      <c r="B4802" s="20"/>
      <c r="C4802" s="48"/>
      <c r="D4802" s="46"/>
    </row>
    <row r="4803" spans="1:4" ht="15.75" thickBot="1" x14ac:dyDescent="0.3">
      <c r="A4803" s="32"/>
      <c r="B4803" s="33"/>
      <c r="C4803" s="32"/>
      <c r="D4803" s="34"/>
    </row>
    <row r="4804" spans="1:4" ht="15.75" thickBot="1" x14ac:dyDescent="0.3">
      <c r="A4804" s="58"/>
      <c r="B4804" s="58"/>
      <c r="C4804" s="58"/>
      <c r="D4804" s="35"/>
    </row>
    <row r="4805" spans="1:4" ht="15.75" x14ac:dyDescent="0.25">
      <c r="A4805" s="285"/>
      <c r="B4805" s="59"/>
      <c r="C4805" s="59"/>
      <c r="D4805" s="60"/>
    </row>
    <row r="4806" spans="1:4" ht="16.5" thickBot="1" x14ac:dyDescent="0.3">
      <c r="A4806" s="286"/>
      <c r="B4806" s="62"/>
      <c r="C4806" s="62"/>
      <c r="D4806" s="61"/>
    </row>
    <row r="4807" spans="1:4" ht="15.75" x14ac:dyDescent="0.25">
      <c r="A4807" s="285"/>
      <c r="B4807" s="59"/>
      <c r="C4807" s="59"/>
      <c r="D4807" s="60"/>
    </row>
    <row r="4808" spans="1:4" ht="16.5" thickBot="1" x14ac:dyDescent="0.3">
      <c r="A4808" s="286"/>
      <c r="B4808" s="62"/>
      <c r="C4808" s="62"/>
      <c r="D4808" s="61"/>
    </row>
    <row r="4809" spans="1:4" ht="16.5" thickBot="1" x14ac:dyDescent="0.3">
      <c r="A4809" s="57"/>
      <c r="B4809" s="36"/>
      <c r="C4809" s="36"/>
      <c r="D4809" s="36"/>
    </row>
    <row r="4810" spans="1:4" ht="15.75" thickBot="1" x14ac:dyDescent="0.3">
      <c r="A4810" s="287"/>
      <c r="B4810" s="288"/>
      <c r="C4810" s="288"/>
      <c r="D4810" s="289"/>
    </row>
    <row r="4811" spans="1:4" ht="18.75" x14ac:dyDescent="0.25">
      <c r="A4811" s="5"/>
      <c r="B4811" s="6"/>
      <c r="C4811" s="7"/>
      <c r="D4811" s="8"/>
    </row>
    <row r="4812" spans="1:4" ht="19.5" thickBot="1" x14ac:dyDescent="0.3">
      <c r="A4812" s="9"/>
      <c r="B4812" s="10"/>
      <c r="C4812" s="10"/>
      <c r="D4812" s="11"/>
    </row>
    <row r="4813" spans="1:4" ht="21.75" thickBot="1" x14ac:dyDescent="0.3">
      <c r="A4813" s="43"/>
      <c r="B4813" s="290"/>
      <c r="C4813" s="291"/>
      <c r="D4813" s="43"/>
    </row>
    <row r="4814" spans="1:4" ht="21.75" thickBot="1" x14ac:dyDescent="0.3">
      <c r="A4814" s="38"/>
      <c r="B4814" s="44"/>
      <c r="C4814" s="45"/>
      <c r="D4814" s="44"/>
    </row>
    <row r="4815" spans="1:4" ht="19.5" thickBot="1" x14ac:dyDescent="0.3">
      <c r="A4815" s="19"/>
      <c r="B4815" s="20"/>
      <c r="C4815" s="63"/>
      <c r="D4815" s="14"/>
    </row>
    <row r="4816" spans="1:4" ht="19.5" thickBot="1" x14ac:dyDescent="0.3">
      <c r="A4816" s="19"/>
      <c r="B4816" s="20"/>
      <c r="C4816" s="63"/>
      <c r="D4816" s="14"/>
    </row>
    <row r="4817" spans="1:4" ht="19.5" thickBot="1" x14ac:dyDescent="0.3">
      <c r="A4817" s="19"/>
      <c r="B4817" s="20"/>
      <c r="C4817" s="48"/>
      <c r="D4817" s="46"/>
    </row>
    <row r="4818" spans="1:4" ht="15.75" thickBot="1" x14ac:dyDescent="0.3">
      <c r="A4818" s="32"/>
      <c r="B4818" s="33"/>
      <c r="C4818" s="32"/>
      <c r="D4818" s="34"/>
    </row>
    <row r="4819" spans="1:4" ht="15.75" thickBot="1" x14ac:dyDescent="0.3">
      <c r="A4819" s="58"/>
      <c r="B4819" s="58"/>
      <c r="C4819" s="58"/>
      <c r="D4819" s="35"/>
    </row>
    <row r="4820" spans="1:4" ht="15.75" x14ac:dyDescent="0.25">
      <c r="A4820" s="285"/>
      <c r="B4820" s="59"/>
      <c r="C4820" s="59"/>
      <c r="D4820" s="60"/>
    </row>
    <row r="4821" spans="1:4" ht="16.5" thickBot="1" x14ac:dyDescent="0.3">
      <c r="A4821" s="286"/>
      <c r="B4821" s="62"/>
      <c r="C4821" s="62"/>
      <c r="D4821" s="61"/>
    </row>
    <row r="4822" spans="1:4" ht="15.75" x14ac:dyDescent="0.25">
      <c r="A4822" s="285"/>
      <c r="B4822" s="59"/>
      <c r="C4822" s="59"/>
      <c r="D4822" s="60"/>
    </row>
    <row r="4823" spans="1:4" ht="16.5" thickBot="1" x14ac:dyDescent="0.3">
      <c r="A4823" s="286"/>
      <c r="B4823" s="62"/>
      <c r="C4823" s="62"/>
      <c r="D4823" s="61"/>
    </row>
    <row r="4824" spans="1:4" ht="16.5" thickBot="1" x14ac:dyDescent="0.3">
      <c r="A4824" s="57"/>
      <c r="B4824" s="36"/>
      <c r="C4824" s="36"/>
      <c r="D4824" s="36"/>
    </row>
    <row r="4825" spans="1:4" ht="15.75" thickBot="1" x14ac:dyDescent="0.3">
      <c r="A4825" s="287"/>
      <c r="B4825" s="288"/>
      <c r="C4825" s="288"/>
      <c r="D4825" s="289"/>
    </row>
    <row r="4826" spans="1:4" ht="18.75" x14ac:dyDescent="0.25">
      <c r="A4826" s="5"/>
      <c r="B4826" s="6"/>
      <c r="C4826" s="7"/>
      <c r="D4826" s="8"/>
    </row>
    <row r="4827" spans="1:4" ht="19.5" thickBot="1" x14ac:dyDescent="0.3">
      <c r="A4827" s="9"/>
      <c r="B4827" s="10"/>
      <c r="C4827" s="10"/>
      <c r="D4827" s="11"/>
    </row>
    <row r="4828" spans="1:4" ht="21.75" thickBot="1" x14ac:dyDescent="0.3">
      <c r="A4828" s="43"/>
      <c r="B4828" s="290"/>
      <c r="C4828" s="291"/>
      <c r="D4828" s="43"/>
    </row>
    <row r="4829" spans="1:4" ht="21.75" thickBot="1" x14ac:dyDescent="0.3">
      <c r="A4829" s="38"/>
      <c r="B4829" s="44"/>
      <c r="C4829" s="45"/>
      <c r="D4829" s="44"/>
    </row>
    <row r="4830" spans="1:4" ht="19.5" thickBot="1" x14ac:dyDescent="0.3">
      <c r="A4830" s="19"/>
      <c r="B4830" s="20"/>
      <c r="C4830" s="63"/>
      <c r="D4830" s="14"/>
    </row>
    <row r="4831" spans="1:4" ht="19.5" thickBot="1" x14ac:dyDescent="0.3">
      <c r="A4831" s="19"/>
      <c r="B4831" s="20"/>
      <c r="C4831" s="48"/>
      <c r="D4831" s="46"/>
    </row>
    <row r="4832" spans="1:4" ht="15.75" thickBot="1" x14ac:dyDescent="0.3">
      <c r="A4832" s="32"/>
      <c r="B4832" s="33"/>
      <c r="C4832" s="32"/>
      <c r="D4832" s="34"/>
    </row>
    <row r="4833" spans="1:4" ht="15.75" thickBot="1" x14ac:dyDescent="0.3">
      <c r="A4833" s="58"/>
      <c r="B4833" s="58"/>
      <c r="C4833" s="58"/>
      <c r="D4833" s="35"/>
    </row>
    <row r="4834" spans="1:4" ht="15.75" x14ac:dyDescent="0.25">
      <c r="A4834" s="285"/>
      <c r="B4834" s="59"/>
      <c r="C4834" s="59"/>
      <c r="D4834" s="60"/>
    </row>
    <row r="4835" spans="1:4" ht="16.5" thickBot="1" x14ac:dyDescent="0.3">
      <c r="A4835" s="286"/>
      <c r="B4835" s="62"/>
      <c r="C4835" s="62"/>
      <c r="D4835" s="61"/>
    </row>
    <row r="4836" spans="1:4" ht="15.75" x14ac:dyDescent="0.25">
      <c r="A4836" s="285"/>
      <c r="B4836" s="59"/>
      <c r="C4836" s="59"/>
      <c r="D4836" s="60"/>
    </row>
    <row r="4837" spans="1:4" ht="16.5" thickBot="1" x14ac:dyDescent="0.3">
      <c r="A4837" s="286"/>
      <c r="B4837" s="62"/>
      <c r="C4837" s="62"/>
      <c r="D4837" s="61"/>
    </row>
    <row r="4838" spans="1:4" ht="16.5" thickBot="1" x14ac:dyDescent="0.3">
      <c r="A4838" s="57"/>
      <c r="B4838" s="36"/>
      <c r="C4838" s="36"/>
      <c r="D4838" s="36"/>
    </row>
    <row r="4839" spans="1:4" ht="15.75" thickBot="1" x14ac:dyDescent="0.3">
      <c r="A4839" s="287"/>
      <c r="B4839" s="288"/>
      <c r="C4839" s="288"/>
      <c r="D4839" s="289"/>
    </row>
    <row r="4840" spans="1:4" ht="18.75" x14ac:dyDescent="0.25">
      <c r="A4840" s="5"/>
      <c r="B4840" s="6"/>
      <c r="C4840" s="7"/>
      <c r="D4840" s="8"/>
    </row>
    <row r="4841" spans="1:4" ht="19.5" thickBot="1" x14ac:dyDescent="0.3">
      <c r="A4841" s="9"/>
      <c r="B4841" s="10"/>
      <c r="C4841" s="10"/>
      <c r="D4841" s="11"/>
    </row>
    <row r="4842" spans="1:4" ht="21.75" thickBot="1" x14ac:dyDescent="0.3">
      <c r="A4842" s="43"/>
      <c r="B4842" s="290"/>
      <c r="C4842" s="291"/>
      <c r="D4842" s="43"/>
    </row>
    <row r="4843" spans="1:4" ht="21.75" thickBot="1" x14ac:dyDescent="0.3">
      <c r="A4843" s="38"/>
      <c r="B4843" s="44"/>
      <c r="C4843" s="45"/>
      <c r="D4843" s="44"/>
    </row>
    <row r="4844" spans="1:4" ht="19.5" thickBot="1" x14ac:dyDescent="0.3">
      <c r="A4844" s="19"/>
      <c r="B4844" s="20"/>
      <c r="C4844" s="63"/>
      <c r="D4844" s="14"/>
    </row>
    <row r="4845" spans="1:4" ht="19.5" thickBot="1" x14ac:dyDescent="0.3">
      <c r="A4845" s="19"/>
      <c r="B4845" s="20"/>
      <c r="C4845" s="63"/>
      <c r="D4845" s="14"/>
    </row>
    <row r="4846" spans="1:4" ht="19.5" thickBot="1" x14ac:dyDescent="0.3">
      <c r="A4846" s="19"/>
      <c r="B4846" s="20"/>
      <c r="C4846" s="48"/>
      <c r="D4846" s="46"/>
    </row>
    <row r="4847" spans="1:4" ht="15.75" thickBot="1" x14ac:dyDescent="0.3">
      <c r="A4847" s="32"/>
      <c r="B4847" s="33"/>
      <c r="C4847" s="32"/>
      <c r="D4847" s="34"/>
    </row>
    <row r="4848" spans="1:4" ht="15.75" thickBot="1" x14ac:dyDescent="0.3">
      <c r="A4848" s="58"/>
      <c r="B4848" s="58"/>
      <c r="C4848" s="58"/>
      <c r="D4848" s="35"/>
    </row>
    <row r="4849" spans="1:4" ht="15.75" x14ac:dyDescent="0.25">
      <c r="A4849" s="285"/>
      <c r="B4849" s="59"/>
      <c r="C4849" s="59"/>
      <c r="D4849" s="60"/>
    </row>
    <row r="4850" spans="1:4" ht="16.5" thickBot="1" x14ac:dyDescent="0.3">
      <c r="A4850" s="286"/>
      <c r="B4850" s="62"/>
      <c r="C4850" s="62"/>
      <c r="D4850" s="61"/>
    </row>
    <row r="4851" spans="1:4" ht="15.75" x14ac:dyDescent="0.25">
      <c r="A4851" s="285"/>
      <c r="B4851" s="59"/>
      <c r="C4851" s="59"/>
      <c r="D4851" s="60"/>
    </row>
    <row r="4852" spans="1:4" ht="16.5" thickBot="1" x14ac:dyDescent="0.3">
      <c r="A4852" s="286"/>
      <c r="B4852" s="62"/>
      <c r="C4852" s="62"/>
      <c r="D4852" s="61"/>
    </row>
    <row r="4853" spans="1:4" ht="16.5" thickBot="1" x14ac:dyDescent="0.3">
      <c r="A4853" s="57"/>
      <c r="B4853" s="36"/>
      <c r="C4853" s="36"/>
      <c r="D4853" s="36"/>
    </row>
    <row r="4854" spans="1:4" ht="15.75" thickBot="1" x14ac:dyDescent="0.3">
      <c r="A4854" s="287"/>
      <c r="B4854" s="288"/>
      <c r="C4854" s="288"/>
      <c r="D4854" s="289"/>
    </row>
    <row r="4855" spans="1:4" ht="18.75" x14ac:dyDescent="0.25">
      <c r="A4855" s="5"/>
      <c r="B4855" s="6"/>
      <c r="C4855" s="7"/>
      <c r="D4855" s="8"/>
    </row>
    <row r="4856" spans="1:4" ht="19.5" thickBot="1" x14ac:dyDescent="0.3">
      <c r="A4856" s="9"/>
      <c r="B4856" s="10"/>
      <c r="C4856" s="10"/>
      <c r="D4856" s="11"/>
    </row>
    <row r="4857" spans="1:4" ht="21.75" thickBot="1" x14ac:dyDescent="0.3">
      <c r="A4857" s="43"/>
      <c r="B4857" s="290"/>
      <c r="C4857" s="291"/>
      <c r="D4857" s="43"/>
    </row>
    <row r="4858" spans="1:4" ht="21.75" thickBot="1" x14ac:dyDescent="0.3">
      <c r="A4858" s="38"/>
      <c r="B4858" s="44"/>
      <c r="C4858" s="45"/>
      <c r="D4858" s="44"/>
    </row>
    <row r="4859" spans="1:4" ht="19.5" thickBot="1" x14ac:dyDescent="0.3">
      <c r="A4859" s="19"/>
      <c r="B4859" s="20"/>
      <c r="C4859" s="63"/>
      <c r="D4859" s="14"/>
    </row>
    <row r="4860" spans="1:4" ht="19.5" thickBot="1" x14ac:dyDescent="0.3">
      <c r="A4860" s="19"/>
      <c r="B4860" s="20"/>
      <c r="C4860" s="48"/>
      <c r="D4860" s="46"/>
    </row>
    <row r="4861" spans="1:4" ht="15.75" thickBot="1" x14ac:dyDescent="0.3">
      <c r="A4861" s="32"/>
      <c r="B4861" s="33"/>
      <c r="C4861" s="32"/>
      <c r="D4861" s="34"/>
    </row>
    <row r="4862" spans="1:4" ht="15.75" thickBot="1" x14ac:dyDescent="0.3">
      <c r="A4862" s="58"/>
      <c r="B4862" s="58"/>
      <c r="C4862" s="58"/>
      <c r="D4862" s="35"/>
    </row>
    <row r="4863" spans="1:4" ht="15.75" x14ac:dyDescent="0.25">
      <c r="A4863" s="285"/>
      <c r="B4863" s="59"/>
      <c r="C4863" s="59"/>
      <c r="D4863" s="60"/>
    </row>
    <row r="4864" spans="1:4" ht="16.5" thickBot="1" x14ac:dyDescent="0.3">
      <c r="A4864" s="286"/>
      <c r="B4864" s="62"/>
      <c r="C4864" s="62"/>
      <c r="D4864" s="61"/>
    </row>
    <row r="4865" spans="1:4" ht="15.75" x14ac:dyDescent="0.25">
      <c r="A4865" s="285"/>
      <c r="B4865" s="59"/>
      <c r="C4865" s="59"/>
      <c r="D4865" s="60"/>
    </row>
    <row r="4866" spans="1:4" ht="16.5" thickBot="1" x14ac:dyDescent="0.3">
      <c r="A4866" s="286"/>
      <c r="B4866" s="62"/>
      <c r="C4866" s="62"/>
      <c r="D4866" s="61"/>
    </row>
    <row r="4867" spans="1:4" ht="16.5" thickBot="1" x14ac:dyDescent="0.3">
      <c r="A4867" s="57"/>
      <c r="B4867" s="36"/>
      <c r="C4867" s="36"/>
      <c r="D4867" s="36"/>
    </row>
    <row r="4868" spans="1:4" ht="15.75" thickBot="1" x14ac:dyDescent="0.3">
      <c r="A4868" s="287"/>
      <c r="B4868" s="288"/>
      <c r="C4868" s="288"/>
      <c r="D4868" s="289"/>
    </row>
    <row r="4869" spans="1:4" ht="18.75" x14ac:dyDescent="0.25">
      <c r="A4869" s="5"/>
      <c r="B4869" s="6"/>
      <c r="C4869" s="7"/>
      <c r="D4869" s="8"/>
    </row>
    <row r="4870" spans="1:4" ht="19.5" thickBot="1" x14ac:dyDescent="0.3">
      <c r="A4870" s="9"/>
      <c r="B4870" s="10"/>
      <c r="C4870" s="10"/>
      <c r="D4870" s="11"/>
    </row>
    <row r="4871" spans="1:4" ht="21.75" thickBot="1" x14ac:dyDescent="0.3">
      <c r="A4871" s="43"/>
      <c r="B4871" s="290"/>
      <c r="C4871" s="291"/>
      <c r="D4871" s="43"/>
    </row>
    <row r="4872" spans="1:4" ht="21.75" thickBot="1" x14ac:dyDescent="0.3">
      <c r="A4872" s="38"/>
      <c r="B4872" s="44"/>
      <c r="C4872" s="45"/>
      <c r="D4872" s="44"/>
    </row>
    <row r="4873" spans="1:4" ht="19.5" thickBot="1" x14ac:dyDescent="0.3">
      <c r="A4873" s="19"/>
      <c r="B4873" s="20"/>
      <c r="C4873" s="63"/>
      <c r="D4873" s="14"/>
    </row>
    <row r="4874" spans="1:4" ht="19.5" thickBot="1" x14ac:dyDescent="0.3">
      <c r="A4874" s="19"/>
      <c r="B4874" s="20"/>
      <c r="C4874" s="63"/>
      <c r="D4874" s="14"/>
    </row>
    <row r="4875" spans="1:4" ht="19.5" thickBot="1" x14ac:dyDescent="0.3">
      <c r="A4875" s="19"/>
      <c r="B4875" s="20"/>
      <c r="C4875" s="48"/>
      <c r="D4875" s="46"/>
    </row>
    <row r="4876" spans="1:4" ht="15.75" thickBot="1" x14ac:dyDescent="0.3">
      <c r="A4876" s="32"/>
      <c r="B4876" s="33"/>
      <c r="C4876" s="32"/>
      <c r="D4876" s="34"/>
    </row>
    <row r="4877" spans="1:4" ht="15.75" thickBot="1" x14ac:dyDescent="0.3">
      <c r="A4877" s="58"/>
      <c r="B4877" s="58"/>
      <c r="C4877" s="58"/>
      <c r="D4877" s="35"/>
    </row>
    <row r="4878" spans="1:4" ht="15.75" x14ac:dyDescent="0.25">
      <c r="A4878" s="285"/>
      <c r="B4878" s="59"/>
      <c r="C4878" s="59"/>
      <c r="D4878" s="60"/>
    </row>
    <row r="4879" spans="1:4" ht="16.5" thickBot="1" x14ac:dyDescent="0.3">
      <c r="A4879" s="286"/>
      <c r="B4879" s="62"/>
      <c r="C4879" s="62"/>
      <c r="D4879" s="61"/>
    </row>
    <row r="4880" spans="1:4" ht="15.75" x14ac:dyDescent="0.25">
      <c r="A4880" s="285"/>
      <c r="B4880" s="59"/>
      <c r="C4880" s="59"/>
      <c r="D4880" s="60"/>
    </row>
    <row r="4881" spans="1:4" ht="16.5" thickBot="1" x14ac:dyDescent="0.3">
      <c r="A4881" s="286"/>
      <c r="B4881" s="62"/>
      <c r="C4881" s="62"/>
      <c r="D4881" s="61"/>
    </row>
    <row r="4882" spans="1:4" ht="16.5" thickBot="1" x14ac:dyDescent="0.3">
      <c r="A4882" s="57"/>
      <c r="B4882" s="36"/>
      <c r="C4882" s="36"/>
      <c r="D4882" s="36"/>
    </row>
    <row r="4883" spans="1:4" ht="15.75" thickBot="1" x14ac:dyDescent="0.3">
      <c r="A4883" s="287"/>
      <c r="B4883" s="288"/>
      <c r="C4883" s="288"/>
      <c r="D4883" s="289"/>
    </row>
    <row r="4884" spans="1:4" ht="18.75" x14ac:dyDescent="0.25">
      <c r="A4884" s="5"/>
      <c r="B4884" s="6"/>
      <c r="C4884" s="7"/>
      <c r="D4884" s="8"/>
    </row>
    <row r="4885" spans="1:4" ht="19.5" thickBot="1" x14ac:dyDescent="0.3">
      <c r="A4885" s="9"/>
      <c r="B4885" s="10"/>
      <c r="C4885" s="10"/>
      <c r="D4885" s="11"/>
    </row>
    <row r="4886" spans="1:4" ht="21.75" thickBot="1" x14ac:dyDescent="0.3">
      <c r="A4886" s="43"/>
      <c r="B4886" s="290"/>
      <c r="C4886" s="291"/>
      <c r="D4886" s="43"/>
    </row>
    <row r="4887" spans="1:4" ht="21.75" thickBot="1" x14ac:dyDescent="0.3">
      <c r="A4887" s="38"/>
      <c r="B4887" s="44"/>
      <c r="C4887" s="45"/>
      <c r="D4887" s="44"/>
    </row>
    <row r="4888" spans="1:4" ht="19.5" thickBot="1" x14ac:dyDescent="0.3">
      <c r="A4888" s="19"/>
      <c r="B4888" s="20"/>
      <c r="C4888" s="63"/>
      <c r="D4888" s="14"/>
    </row>
    <row r="4889" spans="1:4" ht="19.5" thickBot="1" x14ac:dyDescent="0.3">
      <c r="A4889" s="19"/>
      <c r="B4889" s="20"/>
      <c r="C4889" s="48"/>
      <c r="D4889" s="46"/>
    </row>
    <row r="4890" spans="1:4" ht="15.75" thickBot="1" x14ac:dyDescent="0.3">
      <c r="A4890" s="32"/>
      <c r="B4890" s="33"/>
      <c r="C4890" s="32"/>
      <c r="D4890" s="34"/>
    </row>
    <row r="4891" spans="1:4" ht="15.75" thickBot="1" x14ac:dyDescent="0.3">
      <c r="A4891" s="58"/>
      <c r="B4891" s="58"/>
      <c r="C4891" s="58"/>
      <c r="D4891" s="35"/>
    </row>
    <row r="4892" spans="1:4" ht="15.75" x14ac:dyDescent="0.25">
      <c r="A4892" s="285"/>
      <c r="B4892" s="59"/>
      <c r="C4892" s="59"/>
      <c r="D4892" s="60"/>
    </row>
    <row r="4893" spans="1:4" ht="16.5" thickBot="1" x14ac:dyDescent="0.3">
      <c r="A4893" s="286"/>
      <c r="B4893" s="62"/>
      <c r="C4893" s="62"/>
      <c r="D4893" s="61"/>
    </row>
    <row r="4894" spans="1:4" ht="15.75" x14ac:dyDescent="0.25">
      <c r="A4894" s="285"/>
      <c r="B4894" s="59"/>
      <c r="C4894" s="59"/>
      <c r="D4894" s="60"/>
    </row>
    <row r="4895" spans="1:4" ht="16.5" thickBot="1" x14ac:dyDescent="0.3">
      <c r="A4895" s="286"/>
      <c r="B4895" s="62"/>
      <c r="C4895" s="62"/>
      <c r="D4895" s="61"/>
    </row>
    <row r="4896" spans="1:4" ht="16.5" thickBot="1" x14ac:dyDescent="0.3">
      <c r="A4896" s="57"/>
      <c r="B4896" s="36"/>
      <c r="C4896" s="36"/>
      <c r="D4896" s="36"/>
    </row>
    <row r="4897" spans="1:4" ht="15.75" thickBot="1" x14ac:dyDescent="0.3">
      <c r="A4897" s="287"/>
      <c r="B4897" s="288"/>
      <c r="C4897" s="288"/>
      <c r="D4897" s="289"/>
    </row>
    <row r="4898" spans="1:4" ht="18.75" x14ac:dyDescent="0.25">
      <c r="A4898" s="5"/>
      <c r="B4898" s="6"/>
      <c r="C4898" s="7"/>
      <c r="D4898" s="8"/>
    </row>
    <row r="4899" spans="1:4" ht="19.5" thickBot="1" x14ac:dyDescent="0.3">
      <c r="A4899" s="9"/>
      <c r="B4899" s="10"/>
      <c r="C4899" s="10"/>
      <c r="D4899" s="11"/>
    </row>
    <row r="4900" spans="1:4" ht="21.75" thickBot="1" x14ac:dyDescent="0.3">
      <c r="A4900" s="43"/>
      <c r="B4900" s="290"/>
      <c r="C4900" s="291"/>
      <c r="D4900" s="43"/>
    </row>
    <row r="4901" spans="1:4" ht="21.75" thickBot="1" x14ac:dyDescent="0.3">
      <c r="A4901" s="38"/>
      <c r="B4901" s="44"/>
      <c r="C4901" s="45"/>
      <c r="D4901" s="44"/>
    </row>
    <row r="4902" spans="1:4" ht="19.5" thickBot="1" x14ac:dyDescent="0.3">
      <c r="A4902" s="19"/>
      <c r="B4902" s="20"/>
      <c r="C4902" s="63"/>
      <c r="D4902" s="14"/>
    </row>
    <row r="4903" spans="1:4" ht="19.5" thickBot="1" x14ac:dyDescent="0.3">
      <c r="A4903" s="19"/>
      <c r="B4903" s="20"/>
      <c r="C4903" s="63"/>
      <c r="D4903" s="14"/>
    </row>
    <row r="4904" spans="1:4" ht="19.5" thickBot="1" x14ac:dyDescent="0.3">
      <c r="A4904" s="19"/>
      <c r="B4904" s="20"/>
      <c r="C4904" s="48"/>
      <c r="D4904" s="46"/>
    </row>
    <row r="4905" spans="1:4" ht="15.75" thickBot="1" x14ac:dyDescent="0.3">
      <c r="A4905" s="32"/>
      <c r="B4905" s="33"/>
      <c r="C4905" s="32"/>
      <c r="D4905" s="34"/>
    </row>
    <row r="4906" spans="1:4" ht="15.75" thickBot="1" x14ac:dyDescent="0.3">
      <c r="A4906" s="58"/>
      <c r="B4906" s="58"/>
      <c r="C4906" s="58"/>
      <c r="D4906" s="35"/>
    </row>
    <row r="4907" spans="1:4" ht="15.75" x14ac:dyDescent="0.25">
      <c r="A4907" s="285"/>
      <c r="B4907" s="59"/>
      <c r="C4907" s="59"/>
      <c r="D4907" s="60"/>
    </row>
    <row r="4908" spans="1:4" ht="16.5" thickBot="1" x14ac:dyDescent="0.3">
      <c r="A4908" s="286"/>
      <c r="B4908" s="62"/>
      <c r="C4908" s="62"/>
      <c r="D4908" s="61"/>
    </row>
    <row r="4909" spans="1:4" ht="15.75" x14ac:dyDescent="0.25">
      <c r="A4909" s="285"/>
      <c r="B4909" s="59"/>
      <c r="C4909" s="59"/>
      <c r="D4909" s="60"/>
    </row>
    <row r="4910" spans="1:4" ht="16.5" thickBot="1" x14ac:dyDescent="0.3">
      <c r="A4910" s="286"/>
      <c r="B4910" s="62"/>
      <c r="C4910" s="62"/>
      <c r="D4910" s="61"/>
    </row>
    <row r="4911" spans="1:4" ht="16.5" thickBot="1" x14ac:dyDescent="0.3">
      <c r="A4911" s="57"/>
      <c r="B4911" s="36"/>
      <c r="C4911" s="36"/>
      <c r="D4911" s="36"/>
    </row>
    <row r="4912" spans="1:4" ht="15.75" thickBot="1" x14ac:dyDescent="0.3">
      <c r="A4912" s="287"/>
      <c r="B4912" s="288"/>
      <c r="C4912" s="288"/>
      <c r="D4912" s="289"/>
    </row>
    <row r="4913" spans="1:4" ht="18.75" x14ac:dyDescent="0.25">
      <c r="A4913" s="5"/>
      <c r="B4913" s="6"/>
      <c r="C4913" s="7"/>
      <c r="D4913" s="8"/>
    </row>
    <row r="4914" spans="1:4" ht="19.5" thickBot="1" x14ac:dyDescent="0.3">
      <c r="A4914" s="9"/>
      <c r="B4914" s="10"/>
      <c r="C4914" s="10"/>
      <c r="D4914" s="11"/>
    </row>
    <row r="4915" spans="1:4" ht="21.75" thickBot="1" x14ac:dyDescent="0.3">
      <c r="A4915" s="43"/>
      <c r="B4915" s="290"/>
      <c r="C4915" s="291"/>
      <c r="D4915" s="43"/>
    </row>
    <row r="4916" spans="1:4" ht="21.75" thickBot="1" x14ac:dyDescent="0.3">
      <c r="A4916" s="38"/>
      <c r="B4916" s="44"/>
      <c r="C4916" s="45"/>
      <c r="D4916" s="44"/>
    </row>
    <row r="4917" spans="1:4" ht="19.5" thickBot="1" x14ac:dyDescent="0.3">
      <c r="A4917" s="19"/>
      <c r="B4917" s="20"/>
      <c r="C4917" s="63"/>
      <c r="D4917" s="14"/>
    </row>
    <row r="4918" spans="1:4" ht="19.5" thickBot="1" x14ac:dyDescent="0.3">
      <c r="A4918" s="19"/>
      <c r="B4918" s="20"/>
      <c r="C4918" s="48"/>
      <c r="D4918" s="46"/>
    </row>
    <row r="4919" spans="1:4" ht="15.75" thickBot="1" x14ac:dyDescent="0.3">
      <c r="A4919" s="32"/>
      <c r="B4919" s="33"/>
      <c r="C4919" s="32"/>
      <c r="D4919" s="34"/>
    </row>
    <row r="4920" spans="1:4" ht="15.75" thickBot="1" x14ac:dyDescent="0.3">
      <c r="A4920" s="58"/>
      <c r="B4920" s="58"/>
      <c r="C4920" s="58"/>
      <c r="D4920" s="35"/>
    </row>
    <row r="4921" spans="1:4" ht="15.75" x14ac:dyDescent="0.25">
      <c r="A4921" s="285"/>
      <c r="B4921" s="59"/>
      <c r="C4921" s="59"/>
      <c r="D4921" s="60"/>
    </row>
    <row r="4922" spans="1:4" ht="16.5" thickBot="1" x14ac:dyDescent="0.3">
      <c r="A4922" s="286"/>
      <c r="B4922" s="62"/>
      <c r="C4922" s="62"/>
      <c r="D4922" s="61"/>
    </row>
    <row r="4923" spans="1:4" ht="15.75" x14ac:dyDescent="0.25">
      <c r="A4923" s="285"/>
      <c r="B4923" s="59"/>
      <c r="C4923" s="59"/>
      <c r="D4923" s="60"/>
    </row>
    <row r="4924" spans="1:4" ht="16.5" thickBot="1" x14ac:dyDescent="0.3">
      <c r="A4924" s="286"/>
      <c r="B4924" s="62"/>
      <c r="C4924" s="62"/>
      <c r="D4924" s="61"/>
    </row>
    <row r="4925" spans="1:4" ht="16.5" thickBot="1" x14ac:dyDescent="0.3">
      <c r="A4925" s="57"/>
      <c r="B4925" s="36"/>
      <c r="C4925" s="36"/>
      <c r="D4925" s="36"/>
    </row>
    <row r="4926" spans="1:4" ht="15.75" thickBot="1" x14ac:dyDescent="0.3">
      <c r="A4926" s="287"/>
      <c r="B4926" s="288"/>
      <c r="C4926" s="288"/>
      <c r="D4926" s="289"/>
    </row>
    <row r="4927" spans="1:4" ht="18.75" x14ac:dyDescent="0.25">
      <c r="A4927" s="5"/>
      <c r="B4927" s="6"/>
      <c r="C4927" s="7"/>
      <c r="D4927" s="8"/>
    </row>
    <row r="4928" spans="1:4" ht="19.5" thickBot="1" x14ac:dyDescent="0.3">
      <c r="A4928" s="9"/>
      <c r="B4928" s="10"/>
      <c r="C4928" s="10"/>
      <c r="D4928" s="11"/>
    </row>
    <row r="4929" spans="1:4" ht="21.75" thickBot="1" x14ac:dyDescent="0.3">
      <c r="A4929" s="43"/>
      <c r="B4929" s="290"/>
      <c r="C4929" s="291"/>
      <c r="D4929" s="43"/>
    </row>
    <row r="4930" spans="1:4" ht="21.75" thickBot="1" x14ac:dyDescent="0.3">
      <c r="A4930" s="38"/>
      <c r="B4930" s="44"/>
      <c r="C4930" s="45"/>
      <c r="D4930" s="44"/>
    </row>
    <row r="4931" spans="1:4" ht="19.5" thickBot="1" x14ac:dyDescent="0.3">
      <c r="A4931" s="19"/>
      <c r="B4931" s="20"/>
      <c r="C4931" s="63"/>
      <c r="D4931" s="14"/>
    </row>
    <row r="4932" spans="1:4" ht="19.5" thickBot="1" x14ac:dyDescent="0.3">
      <c r="A4932" s="19"/>
      <c r="B4932" s="20"/>
      <c r="C4932" s="63"/>
      <c r="D4932" s="14"/>
    </row>
    <row r="4933" spans="1:4" ht="19.5" thickBot="1" x14ac:dyDescent="0.3">
      <c r="A4933" s="19"/>
      <c r="B4933" s="20"/>
      <c r="C4933" s="48"/>
      <c r="D4933" s="46"/>
    </row>
    <row r="4934" spans="1:4" ht="15.75" thickBot="1" x14ac:dyDescent="0.3">
      <c r="A4934" s="32"/>
      <c r="B4934" s="33"/>
      <c r="C4934" s="32"/>
      <c r="D4934" s="34"/>
    </row>
    <row r="4935" spans="1:4" ht="15.75" thickBot="1" x14ac:dyDescent="0.3">
      <c r="A4935" s="58"/>
      <c r="B4935" s="58"/>
      <c r="C4935" s="58"/>
      <c r="D4935" s="35"/>
    </row>
    <row r="4936" spans="1:4" ht="15.75" x14ac:dyDescent="0.25">
      <c r="A4936" s="285"/>
      <c r="B4936" s="59"/>
      <c r="C4936" s="59"/>
      <c r="D4936" s="60"/>
    </row>
    <row r="4937" spans="1:4" ht="16.5" thickBot="1" x14ac:dyDescent="0.3">
      <c r="A4937" s="286"/>
      <c r="B4937" s="62"/>
      <c r="C4937" s="62"/>
      <c r="D4937" s="61"/>
    </row>
    <row r="4938" spans="1:4" ht="15.75" x14ac:dyDescent="0.25">
      <c r="A4938" s="285"/>
      <c r="B4938" s="59"/>
      <c r="C4938" s="59"/>
      <c r="D4938" s="60"/>
    </row>
    <row r="4939" spans="1:4" ht="16.5" thickBot="1" x14ac:dyDescent="0.3">
      <c r="A4939" s="286"/>
      <c r="B4939" s="62"/>
      <c r="C4939" s="62"/>
      <c r="D4939" s="61"/>
    </row>
    <row r="4940" spans="1:4" ht="16.5" thickBot="1" x14ac:dyDescent="0.3">
      <c r="A4940" s="57"/>
      <c r="B4940" s="36"/>
      <c r="C4940" s="36"/>
      <c r="D4940" s="36"/>
    </row>
    <row r="4941" spans="1:4" ht="15.75" thickBot="1" x14ac:dyDescent="0.3">
      <c r="A4941" s="287"/>
      <c r="B4941" s="288"/>
      <c r="C4941" s="288"/>
      <c r="D4941" s="289"/>
    </row>
    <row r="4942" spans="1:4" ht="18.75" x14ac:dyDescent="0.25">
      <c r="A4942" s="5"/>
      <c r="B4942" s="6"/>
      <c r="C4942" s="7"/>
      <c r="D4942" s="8"/>
    </row>
    <row r="4943" spans="1:4" ht="19.5" thickBot="1" x14ac:dyDescent="0.3">
      <c r="A4943" s="9"/>
      <c r="B4943" s="10"/>
      <c r="C4943" s="10"/>
      <c r="D4943" s="11"/>
    </row>
    <row r="4944" spans="1:4" ht="21.75" thickBot="1" x14ac:dyDescent="0.3">
      <c r="A4944" s="43"/>
      <c r="B4944" s="290"/>
      <c r="C4944" s="291"/>
      <c r="D4944" s="43"/>
    </row>
    <row r="4945" spans="1:4" ht="21.75" thickBot="1" x14ac:dyDescent="0.3">
      <c r="A4945" s="38"/>
      <c r="B4945" s="44"/>
      <c r="C4945" s="45"/>
      <c r="D4945" s="44"/>
    </row>
    <row r="4946" spans="1:4" ht="19.5" thickBot="1" x14ac:dyDescent="0.3">
      <c r="A4946" s="19"/>
      <c r="B4946" s="20"/>
      <c r="C4946" s="63"/>
      <c r="D4946" s="14"/>
    </row>
    <row r="4947" spans="1:4" ht="19.5" thickBot="1" x14ac:dyDescent="0.3">
      <c r="A4947" s="19"/>
      <c r="B4947" s="20"/>
      <c r="C4947" s="48"/>
      <c r="D4947" s="46"/>
    </row>
    <row r="4948" spans="1:4" ht="15.75" thickBot="1" x14ac:dyDescent="0.3">
      <c r="A4948" s="32"/>
      <c r="B4948" s="33"/>
      <c r="C4948" s="32"/>
      <c r="D4948" s="34"/>
    </row>
    <row r="4949" spans="1:4" ht="15.75" thickBot="1" x14ac:dyDescent="0.3">
      <c r="A4949" s="58"/>
      <c r="B4949" s="58"/>
      <c r="C4949" s="58"/>
      <c r="D4949" s="35"/>
    </row>
    <row r="4950" spans="1:4" ht="15.75" x14ac:dyDescent="0.25">
      <c r="A4950" s="285"/>
      <c r="B4950" s="59"/>
      <c r="C4950" s="59"/>
      <c r="D4950" s="60"/>
    </row>
    <row r="4951" spans="1:4" ht="16.5" thickBot="1" x14ac:dyDescent="0.3">
      <c r="A4951" s="286"/>
      <c r="B4951" s="62"/>
      <c r="C4951" s="62"/>
      <c r="D4951" s="61"/>
    </row>
    <row r="4952" spans="1:4" ht="15.75" x14ac:dyDescent="0.25">
      <c r="A4952" s="285"/>
      <c r="B4952" s="59"/>
      <c r="C4952" s="59"/>
      <c r="D4952" s="60"/>
    </row>
    <row r="4953" spans="1:4" ht="16.5" thickBot="1" x14ac:dyDescent="0.3">
      <c r="A4953" s="286"/>
      <c r="B4953" s="62"/>
      <c r="C4953" s="62"/>
      <c r="D4953" s="61"/>
    </row>
    <row r="4954" spans="1:4" ht="16.5" thickBot="1" x14ac:dyDescent="0.3">
      <c r="A4954" s="57"/>
      <c r="B4954" s="36"/>
      <c r="C4954" s="36"/>
      <c r="D4954" s="36"/>
    </row>
    <row r="4955" spans="1:4" ht="15.75" thickBot="1" x14ac:dyDescent="0.3">
      <c r="A4955" s="287"/>
      <c r="B4955" s="288"/>
      <c r="C4955" s="288"/>
      <c r="D4955" s="289"/>
    </row>
    <row r="4956" spans="1:4" ht="18.75" x14ac:dyDescent="0.25">
      <c r="A4956" s="5"/>
      <c r="B4956" s="6"/>
      <c r="C4956" s="7"/>
      <c r="D4956" s="8"/>
    </row>
    <row r="4957" spans="1:4" ht="19.5" thickBot="1" x14ac:dyDescent="0.3">
      <c r="A4957" s="9"/>
      <c r="B4957" s="10"/>
      <c r="C4957" s="10"/>
      <c r="D4957" s="11"/>
    </row>
    <row r="4958" spans="1:4" ht="21.75" thickBot="1" x14ac:dyDescent="0.3">
      <c r="A4958" s="43"/>
      <c r="B4958" s="290"/>
      <c r="C4958" s="291"/>
      <c r="D4958" s="43"/>
    </row>
    <row r="4959" spans="1:4" ht="21.75" thickBot="1" x14ac:dyDescent="0.3">
      <c r="A4959" s="38"/>
      <c r="B4959" s="44"/>
      <c r="C4959" s="45"/>
      <c r="D4959" s="44"/>
    </row>
    <row r="4960" spans="1:4" ht="19.5" thickBot="1" x14ac:dyDescent="0.3">
      <c r="A4960" s="19"/>
      <c r="B4960" s="20"/>
      <c r="C4960" s="63"/>
      <c r="D4960" s="14"/>
    </row>
    <row r="4961" spans="1:4" ht="19.5" thickBot="1" x14ac:dyDescent="0.3">
      <c r="A4961" s="19"/>
      <c r="B4961" s="20"/>
      <c r="C4961" s="63"/>
      <c r="D4961" s="14"/>
    </row>
    <row r="4962" spans="1:4" ht="19.5" thickBot="1" x14ac:dyDescent="0.3">
      <c r="A4962" s="19"/>
      <c r="B4962" s="20"/>
      <c r="C4962" s="48"/>
      <c r="D4962" s="46"/>
    </row>
    <row r="4963" spans="1:4" ht="15.75" thickBot="1" x14ac:dyDescent="0.3">
      <c r="A4963" s="32"/>
      <c r="B4963" s="33"/>
      <c r="C4963" s="32"/>
      <c r="D4963" s="34"/>
    </row>
    <row r="4964" spans="1:4" ht="15.75" thickBot="1" x14ac:dyDescent="0.3">
      <c r="A4964" s="58"/>
      <c r="B4964" s="58"/>
      <c r="C4964" s="58"/>
      <c r="D4964" s="35"/>
    </row>
    <row r="4965" spans="1:4" ht="15.75" x14ac:dyDescent="0.25">
      <c r="A4965" s="285"/>
      <c r="B4965" s="59"/>
      <c r="C4965" s="59"/>
      <c r="D4965" s="60"/>
    </row>
    <row r="4966" spans="1:4" ht="16.5" thickBot="1" x14ac:dyDescent="0.3">
      <c r="A4966" s="286"/>
      <c r="B4966" s="62"/>
      <c r="C4966" s="62"/>
      <c r="D4966" s="61"/>
    </row>
    <row r="4967" spans="1:4" ht="15.75" x14ac:dyDescent="0.25">
      <c r="A4967" s="285"/>
      <c r="B4967" s="59"/>
      <c r="C4967" s="59"/>
      <c r="D4967" s="60"/>
    </row>
    <row r="4968" spans="1:4" ht="16.5" thickBot="1" x14ac:dyDescent="0.3">
      <c r="A4968" s="286"/>
      <c r="B4968" s="62"/>
      <c r="C4968" s="62"/>
      <c r="D4968" s="61"/>
    </row>
    <row r="4969" spans="1:4" ht="16.5" thickBot="1" x14ac:dyDescent="0.3">
      <c r="A4969" s="57"/>
      <c r="B4969" s="36"/>
      <c r="C4969" s="36"/>
      <c r="D4969" s="36"/>
    </row>
    <row r="4970" spans="1:4" ht="15.75" thickBot="1" x14ac:dyDescent="0.3">
      <c r="A4970" s="287"/>
      <c r="B4970" s="288"/>
      <c r="C4970" s="288"/>
      <c r="D4970" s="289"/>
    </row>
    <row r="4971" spans="1:4" ht="18.75" x14ac:dyDescent="0.25">
      <c r="A4971" s="5"/>
      <c r="B4971" s="6"/>
      <c r="C4971" s="7"/>
      <c r="D4971" s="8"/>
    </row>
    <row r="4972" spans="1:4" ht="19.5" thickBot="1" x14ac:dyDescent="0.3">
      <c r="A4972" s="9"/>
      <c r="B4972" s="10"/>
      <c r="C4972" s="10"/>
      <c r="D4972" s="11"/>
    </row>
    <row r="4973" spans="1:4" ht="21.75" thickBot="1" x14ac:dyDescent="0.3">
      <c r="A4973" s="43"/>
      <c r="B4973" s="290"/>
      <c r="C4973" s="291"/>
      <c r="D4973" s="43"/>
    </row>
    <row r="4974" spans="1:4" ht="21.75" thickBot="1" x14ac:dyDescent="0.3">
      <c r="A4974" s="38"/>
      <c r="B4974" s="44"/>
      <c r="C4974" s="45"/>
      <c r="D4974" s="44"/>
    </row>
    <row r="4975" spans="1:4" ht="19.5" thickBot="1" x14ac:dyDescent="0.3">
      <c r="A4975" s="19"/>
      <c r="B4975" s="20"/>
      <c r="C4975" s="63"/>
      <c r="D4975" s="14"/>
    </row>
    <row r="4976" spans="1:4" ht="19.5" thickBot="1" x14ac:dyDescent="0.3">
      <c r="A4976" s="19"/>
      <c r="B4976" s="20"/>
      <c r="C4976" s="48"/>
      <c r="D4976" s="46"/>
    </row>
    <row r="4977" spans="1:4" ht="15.75" thickBot="1" x14ac:dyDescent="0.3">
      <c r="A4977" s="32"/>
      <c r="B4977" s="33"/>
      <c r="C4977" s="32"/>
      <c r="D4977" s="34"/>
    </row>
    <row r="4978" spans="1:4" ht="15.75" thickBot="1" x14ac:dyDescent="0.3">
      <c r="A4978" s="58"/>
      <c r="B4978" s="58"/>
      <c r="C4978" s="58"/>
      <c r="D4978" s="35"/>
    </row>
    <row r="4979" spans="1:4" ht="15.75" x14ac:dyDescent="0.25">
      <c r="A4979" s="285"/>
      <c r="B4979" s="59"/>
      <c r="C4979" s="59"/>
      <c r="D4979" s="60"/>
    </row>
    <row r="4980" spans="1:4" ht="16.5" thickBot="1" x14ac:dyDescent="0.3">
      <c r="A4980" s="286"/>
      <c r="B4980" s="62"/>
      <c r="C4980" s="62"/>
      <c r="D4980" s="61"/>
    </row>
    <row r="4981" spans="1:4" ht="15.75" x14ac:dyDescent="0.25">
      <c r="A4981" s="285"/>
      <c r="B4981" s="59"/>
      <c r="C4981" s="59"/>
      <c r="D4981" s="60"/>
    </row>
    <row r="4982" spans="1:4" ht="16.5" thickBot="1" x14ac:dyDescent="0.3">
      <c r="A4982" s="286"/>
      <c r="B4982" s="62"/>
      <c r="C4982" s="62"/>
      <c r="D4982" s="61"/>
    </row>
    <row r="4983" spans="1:4" ht="16.5" thickBot="1" x14ac:dyDescent="0.3">
      <c r="A4983" s="57"/>
      <c r="B4983" s="36"/>
      <c r="C4983" s="36"/>
      <c r="D4983" s="36"/>
    </row>
    <row r="4984" spans="1:4" ht="15.75" thickBot="1" x14ac:dyDescent="0.3">
      <c r="A4984" s="287"/>
      <c r="B4984" s="288"/>
      <c r="C4984" s="288"/>
      <c r="D4984" s="289"/>
    </row>
    <row r="4985" spans="1:4" ht="18.75" x14ac:dyDescent="0.25">
      <c r="A4985" s="5"/>
      <c r="B4985" s="6"/>
      <c r="C4985" s="7"/>
      <c r="D4985" s="8"/>
    </row>
    <row r="4986" spans="1:4" ht="19.5" thickBot="1" x14ac:dyDescent="0.3">
      <c r="A4986" s="9"/>
      <c r="B4986" s="10"/>
      <c r="C4986" s="10"/>
      <c r="D4986" s="11"/>
    </row>
    <row r="4987" spans="1:4" ht="21.75" thickBot="1" x14ac:dyDescent="0.3">
      <c r="A4987" s="43"/>
      <c r="B4987" s="290"/>
      <c r="C4987" s="291"/>
      <c r="D4987" s="43"/>
    </row>
    <row r="4988" spans="1:4" ht="21.75" thickBot="1" x14ac:dyDescent="0.3">
      <c r="A4988" s="38"/>
      <c r="B4988" s="44"/>
      <c r="C4988" s="45"/>
      <c r="D4988" s="44"/>
    </row>
    <row r="4989" spans="1:4" ht="19.5" thickBot="1" x14ac:dyDescent="0.3">
      <c r="A4989" s="19"/>
      <c r="B4989" s="20"/>
      <c r="C4989" s="63"/>
      <c r="D4989" s="14"/>
    </row>
    <row r="4990" spans="1:4" ht="19.5" thickBot="1" x14ac:dyDescent="0.3">
      <c r="A4990" s="19"/>
      <c r="B4990" s="20"/>
      <c r="C4990" s="63"/>
      <c r="D4990" s="14"/>
    </row>
    <row r="4991" spans="1:4" ht="19.5" thickBot="1" x14ac:dyDescent="0.3">
      <c r="A4991" s="19"/>
      <c r="B4991" s="20"/>
      <c r="C4991" s="48"/>
      <c r="D4991" s="46"/>
    </row>
    <row r="4992" spans="1:4" ht="15.75" thickBot="1" x14ac:dyDescent="0.3">
      <c r="A4992" s="32"/>
      <c r="B4992" s="33"/>
      <c r="C4992" s="32"/>
      <c r="D4992" s="34"/>
    </row>
    <row r="4993" spans="1:4" ht="15.75" thickBot="1" x14ac:dyDescent="0.3">
      <c r="A4993" s="58"/>
      <c r="B4993" s="58"/>
      <c r="C4993" s="58"/>
      <c r="D4993" s="35"/>
    </row>
    <row r="4994" spans="1:4" ht="15.75" x14ac:dyDescent="0.25">
      <c r="A4994" s="285"/>
      <c r="B4994" s="59"/>
      <c r="C4994" s="59"/>
      <c r="D4994" s="60"/>
    </row>
    <row r="4995" spans="1:4" ht="16.5" thickBot="1" x14ac:dyDescent="0.3">
      <c r="A4995" s="286"/>
      <c r="B4995" s="62"/>
      <c r="C4995" s="62"/>
      <c r="D4995" s="61"/>
    </row>
    <row r="4996" spans="1:4" ht="15.75" x14ac:dyDescent="0.25">
      <c r="A4996" s="285"/>
      <c r="B4996" s="59"/>
      <c r="C4996" s="59"/>
      <c r="D4996" s="60"/>
    </row>
    <row r="4997" spans="1:4" ht="16.5" thickBot="1" x14ac:dyDescent="0.3">
      <c r="A4997" s="286"/>
      <c r="B4997" s="62"/>
      <c r="C4997" s="62"/>
      <c r="D4997" s="61"/>
    </row>
    <row r="4998" spans="1:4" ht="16.5" thickBot="1" x14ac:dyDescent="0.3">
      <c r="A4998" s="57"/>
      <c r="B4998" s="36"/>
      <c r="C4998" s="36"/>
      <c r="D4998" s="36"/>
    </row>
    <row r="4999" spans="1:4" ht="15.75" thickBot="1" x14ac:dyDescent="0.3">
      <c r="A4999" s="287"/>
      <c r="B4999" s="288"/>
      <c r="C4999" s="288"/>
      <c r="D4999" s="289"/>
    </row>
    <row r="5000" spans="1:4" ht="18.75" x14ac:dyDescent="0.25">
      <c r="A5000" s="5"/>
      <c r="B5000" s="6"/>
      <c r="C5000" s="7"/>
      <c r="D5000" s="8"/>
    </row>
    <row r="5001" spans="1:4" ht="19.5" thickBot="1" x14ac:dyDescent="0.3">
      <c r="A5001" s="9"/>
      <c r="B5001" s="10"/>
      <c r="C5001" s="10"/>
      <c r="D5001" s="11"/>
    </row>
    <row r="5002" spans="1:4" ht="21.75" thickBot="1" x14ac:dyDescent="0.3">
      <c r="A5002" s="43"/>
      <c r="B5002" s="290"/>
      <c r="C5002" s="291"/>
      <c r="D5002" s="43"/>
    </row>
    <row r="5003" spans="1:4" ht="21.75" thickBot="1" x14ac:dyDescent="0.3">
      <c r="A5003" s="38"/>
      <c r="B5003" s="44"/>
      <c r="C5003" s="45"/>
      <c r="D5003" s="44"/>
    </row>
    <row r="5004" spans="1:4" ht="19.5" thickBot="1" x14ac:dyDescent="0.3">
      <c r="A5004" s="19"/>
      <c r="B5004" s="20"/>
      <c r="C5004" s="63"/>
      <c r="D5004" s="14"/>
    </row>
    <row r="5005" spans="1:4" ht="19.5" thickBot="1" x14ac:dyDescent="0.3">
      <c r="A5005" s="19"/>
      <c r="B5005" s="20"/>
      <c r="C5005" s="48"/>
      <c r="D5005" s="46"/>
    </row>
    <row r="5006" spans="1:4" ht="15.75" thickBot="1" x14ac:dyDescent="0.3">
      <c r="A5006" s="32"/>
      <c r="B5006" s="33"/>
      <c r="C5006" s="32"/>
      <c r="D5006" s="34"/>
    </row>
    <row r="5007" spans="1:4" ht="15.75" thickBot="1" x14ac:dyDescent="0.3">
      <c r="A5007" s="58"/>
      <c r="B5007" s="58"/>
      <c r="C5007" s="58"/>
      <c r="D5007" s="35"/>
    </row>
    <row r="5008" spans="1:4" ht="15.75" x14ac:dyDescent="0.25">
      <c r="A5008" s="285"/>
      <c r="B5008" s="59"/>
      <c r="C5008" s="59"/>
      <c r="D5008" s="60"/>
    </row>
    <row r="5009" spans="1:4" ht="16.5" thickBot="1" x14ac:dyDescent="0.3">
      <c r="A5009" s="286"/>
      <c r="B5009" s="62"/>
      <c r="C5009" s="62"/>
      <c r="D5009" s="61"/>
    </row>
    <row r="5010" spans="1:4" ht="15.75" x14ac:dyDescent="0.25">
      <c r="A5010" s="285"/>
      <c r="B5010" s="59"/>
      <c r="C5010" s="59"/>
      <c r="D5010" s="60"/>
    </row>
    <row r="5011" spans="1:4" ht="16.5" thickBot="1" x14ac:dyDescent="0.3">
      <c r="A5011" s="286"/>
      <c r="B5011" s="62"/>
      <c r="C5011" s="62"/>
      <c r="D5011" s="61"/>
    </row>
    <row r="5012" spans="1:4" ht="16.5" thickBot="1" x14ac:dyDescent="0.3">
      <c r="A5012" s="57"/>
      <c r="B5012" s="36"/>
      <c r="C5012" s="36"/>
      <c r="D5012" s="36"/>
    </row>
    <row r="5013" spans="1:4" ht="15.75" thickBot="1" x14ac:dyDescent="0.3">
      <c r="A5013" s="287"/>
      <c r="B5013" s="288"/>
      <c r="C5013" s="288"/>
      <c r="D5013" s="289"/>
    </row>
    <row r="5014" spans="1:4" ht="18.75" x14ac:dyDescent="0.25">
      <c r="A5014" s="5"/>
      <c r="B5014" s="6"/>
      <c r="C5014" s="7"/>
      <c r="D5014" s="8"/>
    </row>
    <row r="5015" spans="1:4" ht="19.5" thickBot="1" x14ac:dyDescent="0.3">
      <c r="A5015" s="9"/>
      <c r="B5015" s="10"/>
      <c r="C5015" s="10"/>
      <c r="D5015" s="11"/>
    </row>
    <row r="5016" spans="1:4" ht="21.75" thickBot="1" x14ac:dyDescent="0.3">
      <c r="A5016" s="43"/>
      <c r="B5016" s="290"/>
      <c r="C5016" s="291"/>
      <c r="D5016" s="43"/>
    </row>
    <row r="5017" spans="1:4" ht="21.75" thickBot="1" x14ac:dyDescent="0.3">
      <c r="A5017" s="38"/>
      <c r="B5017" s="44"/>
      <c r="C5017" s="45"/>
      <c r="D5017" s="44"/>
    </row>
    <row r="5018" spans="1:4" ht="19.5" thickBot="1" x14ac:dyDescent="0.3">
      <c r="A5018" s="19"/>
      <c r="B5018" s="20"/>
      <c r="C5018" s="63"/>
      <c r="D5018" s="14"/>
    </row>
    <row r="5019" spans="1:4" ht="19.5" thickBot="1" x14ac:dyDescent="0.3">
      <c r="A5019" s="19"/>
      <c r="B5019" s="20"/>
      <c r="C5019" s="63"/>
      <c r="D5019" s="14"/>
    </row>
    <row r="5020" spans="1:4" ht="19.5" thickBot="1" x14ac:dyDescent="0.3">
      <c r="A5020" s="19"/>
      <c r="B5020" s="20"/>
      <c r="C5020" s="48"/>
      <c r="D5020" s="46"/>
    </row>
    <row r="5021" spans="1:4" ht="15.75" thickBot="1" x14ac:dyDescent="0.3">
      <c r="A5021" s="32"/>
      <c r="B5021" s="33"/>
      <c r="C5021" s="32"/>
      <c r="D5021" s="34"/>
    </row>
    <row r="5022" spans="1:4" ht="15.75" thickBot="1" x14ac:dyDescent="0.3">
      <c r="A5022" s="58"/>
      <c r="B5022" s="58"/>
      <c r="C5022" s="58"/>
      <c r="D5022" s="35"/>
    </row>
    <row r="5023" spans="1:4" ht="15.75" x14ac:dyDescent="0.25">
      <c r="A5023" s="285"/>
      <c r="B5023" s="59"/>
      <c r="C5023" s="59"/>
      <c r="D5023" s="60"/>
    </row>
    <row r="5024" spans="1:4" ht="16.5" thickBot="1" x14ac:dyDescent="0.3">
      <c r="A5024" s="286"/>
      <c r="B5024" s="62"/>
      <c r="C5024" s="62"/>
      <c r="D5024" s="61"/>
    </row>
    <row r="5025" spans="1:4" ht="15.75" x14ac:dyDescent="0.25">
      <c r="A5025" s="285"/>
      <c r="B5025" s="59"/>
      <c r="C5025" s="59"/>
      <c r="D5025" s="60"/>
    </row>
    <row r="5026" spans="1:4" ht="16.5" thickBot="1" x14ac:dyDescent="0.3">
      <c r="A5026" s="286"/>
      <c r="B5026" s="62"/>
      <c r="C5026" s="62"/>
      <c r="D5026" s="61"/>
    </row>
    <row r="5027" spans="1:4" ht="16.5" thickBot="1" x14ac:dyDescent="0.3">
      <c r="A5027" s="57"/>
      <c r="B5027" s="36"/>
      <c r="C5027" s="36"/>
      <c r="D5027" s="36"/>
    </row>
    <row r="5028" spans="1:4" ht="15.75" thickBot="1" x14ac:dyDescent="0.3">
      <c r="A5028" s="287"/>
      <c r="B5028" s="288"/>
      <c r="C5028" s="288"/>
      <c r="D5028" s="289"/>
    </row>
    <row r="5029" spans="1:4" ht="18.75" x14ac:dyDescent="0.25">
      <c r="A5029" s="5"/>
      <c r="B5029" s="6"/>
      <c r="C5029" s="7"/>
      <c r="D5029" s="8"/>
    </row>
    <row r="5030" spans="1:4" ht="19.5" thickBot="1" x14ac:dyDescent="0.3">
      <c r="A5030" s="9"/>
      <c r="B5030" s="10"/>
      <c r="C5030" s="10"/>
      <c r="D5030" s="11"/>
    </row>
    <row r="5031" spans="1:4" ht="21.75" thickBot="1" x14ac:dyDescent="0.3">
      <c r="A5031" s="43"/>
      <c r="B5031" s="290"/>
      <c r="C5031" s="291"/>
      <c r="D5031" s="43"/>
    </row>
    <row r="5032" spans="1:4" ht="21.75" thickBot="1" x14ac:dyDescent="0.3">
      <c r="A5032" s="38"/>
      <c r="B5032" s="44"/>
      <c r="C5032" s="45"/>
      <c r="D5032" s="44"/>
    </row>
    <row r="5033" spans="1:4" ht="19.5" thickBot="1" x14ac:dyDescent="0.3">
      <c r="A5033" s="19"/>
      <c r="B5033" s="20"/>
      <c r="C5033" s="63"/>
      <c r="D5033" s="14"/>
    </row>
    <row r="5034" spans="1:4" ht="19.5" thickBot="1" x14ac:dyDescent="0.3">
      <c r="A5034" s="19"/>
      <c r="B5034" s="20"/>
      <c r="C5034" s="48"/>
      <c r="D5034" s="46"/>
    </row>
    <row r="5035" spans="1:4" ht="15.75" thickBot="1" x14ac:dyDescent="0.3">
      <c r="A5035" s="32"/>
      <c r="B5035" s="33"/>
      <c r="C5035" s="32"/>
      <c r="D5035" s="34"/>
    </row>
    <row r="5036" spans="1:4" ht="15.75" thickBot="1" x14ac:dyDescent="0.3">
      <c r="A5036" s="58"/>
      <c r="B5036" s="58"/>
      <c r="C5036" s="58"/>
      <c r="D5036" s="35"/>
    </row>
    <row r="5037" spans="1:4" ht="15.75" x14ac:dyDescent="0.25">
      <c r="A5037" s="285"/>
      <c r="B5037" s="59"/>
      <c r="C5037" s="59"/>
      <c r="D5037" s="60"/>
    </row>
    <row r="5038" spans="1:4" ht="16.5" thickBot="1" x14ac:dyDescent="0.3">
      <c r="A5038" s="286"/>
      <c r="B5038" s="62"/>
      <c r="C5038" s="62"/>
      <c r="D5038" s="61"/>
    </row>
    <row r="5039" spans="1:4" ht="15.75" x14ac:dyDescent="0.25">
      <c r="A5039" s="285"/>
      <c r="B5039" s="59"/>
      <c r="C5039" s="59"/>
      <c r="D5039" s="60"/>
    </row>
    <row r="5040" spans="1:4" ht="16.5" thickBot="1" x14ac:dyDescent="0.3">
      <c r="A5040" s="286"/>
      <c r="B5040" s="62"/>
      <c r="C5040" s="62"/>
      <c r="D5040" s="61"/>
    </row>
    <row r="5041" spans="1:4" ht="16.5" thickBot="1" x14ac:dyDescent="0.3">
      <c r="A5041" s="57"/>
      <c r="B5041" s="36"/>
      <c r="C5041" s="36"/>
      <c r="D5041" s="36"/>
    </row>
    <row r="5042" spans="1:4" ht="15.75" thickBot="1" x14ac:dyDescent="0.3">
      <c r="A5042" s="287"/>
      <c r="B5042" s="288"/>
      <c r="C5042" s="288"/>
      <c r="D5042" s="289"/>
    </row>
    <row r="5043" spans="1:4" ht="18.75" x14ac:dyDescent="0.25">
      <c r="A5043" s="5"/>
      <c r="B5043" s="6"/>
      <c r="C5043" s="7"/>
      <c r="D5043" s="8"/>
    </row>
    <row r="5044" spans="1:4" ht="19.5" thickBot="1" x14ac:dyDescent="0.3">
      <c r="A5044" s="9"/>
      <c r="B5044" s="10"/>
      <c r="C5044" s="10"/>
      <c r="D5044" s="11"/>
    </row>
    <row r="5045" spans="1:4" ht="21.75" thickBot="1" x14ac:dyDescent="0.3">
      <c r="A5045" s="43"/>
      <c r="B5045" s="290"/>
      <c r="C5045" s="291"/>
      <c r="D5045" s="43"/>
    </row>
    <row r="5046" spans="1:4" ht="21.75" thickBot="1" x14ac:dyDescent="0.3">
      <c r="A5046" s="38"/>
      <c r="B5046" s="44"/>
      <c r="C5046" s="45"/>
      <c r="D5046" s="44"/>
    </row>
    <row r="5047" spans="1:4" ht="19.5" thickBot="1" x14ac:dyDescent="0.3">
      <c r="A5047" s="19"/>
      <c r="B5047" s="20"/>
      <c r="C5047" s="63"/>
      <c r="D5047" s="14"/>
    </row>
    <row r="5048" spans="1:4" ht="19.5" thickBot="1" x14ac:dyDescent="0.3">
      <c r="A5048" s="19"/>
      <c r="B5048" s="20"/>
      <c r="C5048" s="63"/>
      <c r="D5048" s="14"/>
    </row>
    <row r="5049" spans="1:4" ht="19.5" thickBot="1" x14ac:dyDescent="0.3">
      <c r="A5049" s="19"/>
      <c r="B5049" s="20"/>
      <c r="C5049" s="48"/>
      <c r="D5049" s="46"/>
    </row>
    <row r="5050" spans="1:4" ht="15.75" thickBot="1" x14ac:dyDescent="0.3">
      <c r="A5050" s="32"/>
      <c r="B5050" s="33"/>
      <c r="C5050" s="32"/>
      <c r="D5050" s="34"/>
    </row>
    <row r="5051" spans="1:4" ht="15.75" thickBot="1" x14ac:dyDescent="0.3">
      <c r="A5051" s="58"/>
      <c r="B5051" s="58"/>
      <c r="C5051" s="58"/>
      <c r="D5051" s="35"/>
    </row>
    <row r="5052" spans="1:4" ht="15.75" x14ac:dyDescent="0.25">
      <c r="A5052" s="285"/>
      <c r="B5052" s="59"/>
      <c r="C5052" s="59"/>
      <c r="D5052" s="60"/>
    </row>
    <row r="5053" spans="1:4" ht="16.5" thickBot="1" x14ac:dyDescent="0.3">
      <c r="A5053" s="286"/>
      <c r="B5053" s="62"/>
      <c r="C5053" s="62"/>
      <c r="D5053" s="61"/>
    </row>
    <row r="5054" spans="1:4" ht="15.75" x14ac:dyDescent="0.25">
      <c r="A5054" s="285"/>
      <c r="B5054" s="59"/>
      <c r="C5054" s="59"/>
      <c r="D5054" s="60"/>
    </row>
    <row r="5055" spans="1:4" ht="16.5" thickBot="1" x14ac:dyDescent="0.3">
      <c r="A5055" s="286"/>
      <c r="B5055" s="62"/>
      <c r="C5055" s="62"/>
      <c r="D5055" s="61"/>
    </row>
    <row r="5056" spans="1:4" ht="16.5" thickBot="1" x14ac:dyDescent="0.3">
      <c r="A5056" s="57"/>
      <c r="B5056" s="36"/>
      <c r="C5056" s="36"/>
      <c r="D5056" s="36"/>
    </row>
    <row r="5057" spans="1:4" ht="15.75" thickBot="1" x14ac:dyDescent="0.3">
      <c r="A5057" s="287"/>
      <c r="B5057" s="288"/>
      <c r="C5057" s="288"/>
      <c r="D5057" s="289"/>
    </row>
    <row r="5058" spans="1:4" ht="18.75" x14ac:dyDescent="0.25">
      <c r="A5058" s="5"/>
      <c r="B5058" s="6"/>
      <c r="C5058" s="7"/>
      <c r="D5058" s="8"/>
    </row>
    <row r="5059" spans="1:4" ht="19.5" thickBot="1" x14ac:dyDescent="0.3">
      <c r="A5059" s="9"/>
      <c r="B5059" s="10"/>
      <c r="C5059" s="10"/>
      <c r="D5059" s="11"/>
    </row>
    <row r="5060" spans="1:4" ht="21.75" thickBot="1" x14ac:dyDescent="0.3">
      <c r="A5060" s="43"/>
      <c r="B5060" s="290"/>
      <c r="C5060" s="291"/>
      <c r="D5060" s="43"/>
    </row>
    <row r="5061" spans="1:4" ht="21.75" thickBot="1" x14ac:dyDescent="0.3">
      <c r="A5061" s="38"/>
      <c r="B5061" s="44"/>
      <c r="C5061" s="45"/>
      <c r="D5061" s="44"/>
    </row>
    <row r="5062" spans="1:4" ht="19.5" thickBot="1" x14ac:dyDescent="0.3">
      <c r="A5062" s="19"/>
      <c r="B5062" s="20"/>
      <c r="C5062" s="63"/>
      <c r="D5062" s="14"/>
    </row>
    <row r="5063" spans="1:4" ht="19.5" thickBot="1" x14ac:dyDescent="0.3">
      <c r="A5063" s="19"/>
      <c r="B5063" s="20"/>
      <c r="C5063" s="48"/>
      <c r="D5063" s="46"/>
    </row>
    <row r="5064" spans="1:4" ht="15.75" thickBot="1" x14ac:dyDescent="0.3">
      <c r="A5064" s="32"/>
      <c r="B5064" s="33"/>
      <c r="C5064" s="32"/>
      <c r="D5064" s="34"/>
    </row>
    <row r="5065" spans="1:4" ht="15.75" thickBot="1" x14ac:dyDescent="0.3">
      <c r="A5065" s="58"/>
      <c r="B5065" s="58"/>
      <c r="C5065" s="58"/>
      <c r="D5065" s="35"/>
    </row>
    <row r="5066" spans="1:4" ht="15.75" x14ac:dyDescent="0.25">
      <c r="A5066" s="285"/>
      <c r="B5066" s="59"/>
      <c r="C5066" s="59"/>
      <c r="D5066" s="60"/>
    </row>
    <row r="5067" spans="1:4" ht="16.5" thickBot="1" x14ac:dyDescent="0.3">
      <c r="A5067" s="286"/>
      <c r="B5067" s="62"/>
      <c r="C5067" s="62"/>
      <c r="D5067" s="61"/>
    </row>
    <row r="5068" spans="1:4" ht="15.75" x14ac:dyDescent="0.25">
      <c r="A5068" s="285"/>
      <c r="B5068" s="59"/>
      <c r="C5068" s="59"/>
      <c r="D5068" s="60"/>
    </row>
    <row r="5069" spans="1:4" ht="16.5" thickBot="1" x14ac:dyDescent="0.3">
      <c r="A5069" s="286"/>
      <c r="B5069" s="62"/>
      <c r="C5069" s="62"/>
      <c r="D5069" s="61"/>
    </row>
    <row r="5070" spans="1:4" ht="16.5" thickBot="1" x14ac:dyDescent="0.3">
      <c r="A5070" s="57"/>
      <c r="B5070" s="36"/>
      <c r="C5070" s="36"/>
      <c r="D5070" s="36"/>
    </row>
    <row r="5071" spans="1:4" ht="15.75" thickBot="1" x14ac:dyDescent="0.3">
      <c r="A5071" s="287"/>
      <c r="B5071" s="288"/>
      <c r="C5071" s="288"/>
      <c r="D5071" s="289"/>
    </row>
    <row r="5072" spans="1:4" ht="18.75" x14ac:dyDescent="0.25">
      <c r="A5072" s="5"/>
      <c r="B5072" s="6"/>
      <c r="C5072" s="7"/>
      <c r="D5072" s="8"/>
    </row>
    <row r="5073" spans="1:4" ht="19.5" thickBot="1" x14ac:dyDescent="0.3">
      <c r="A5073" s="9"/>
      <c r="B5073" s="10"/>
      <c r="C5073" s="10"/>
      <c r="D5073" s="11"/>
    </row>
    <row r="5074" spans="1:4" ht="21.75" thickBot="1" x14ac:dyDescent="0.3">
      <c r="A5074" s="43"/>
      <c r="B5074" s="290"/>
      <c r="C5074" s="291"/>
      <c r="D5074" s="43"/>
    </row>
    <row r="5075" spans="1:4" ht="21.75" thickBot="1" x14ac:dyDescent="0.3">
      <c r="A5075" s="38"/>
      <c r="B5075" s="44"/>
      <c r="C5075" s="45"/>
      <c r="D5075" s="44"/>
    </row>
    <row r="5076" spans="1:4" ht="19.5" thickBot="1" x14ac:dyDescent="0.3">
      <c r="A5076" s="19"/>
      <c r="B5076" s="20"/>
      <c r="C5076" s="63"/>
      <c r="D5076" s="14"/>
    </row>
    <row r="5077" spans="1:4" ht="19.5" thickBot="1" x14ac:dyDescent="0.3">
      <c r="A5077" s="19"/>
      <c r="B5077" s="20"/>
      <c r="C5077" s="63"/>
      <c r="D5077" s="14"/>
    </row>
    <row r="5078" spans="1:4" ht="19.5" thickBot="1" x14ac:dyDescent="0.3">
      <c r="A5078" s="19"/>
      <c r="B5078" s="20"/>
      <c r="C5078" s="48"/>
      <c r="D5078" s="46"/>
    </row>
    <row r="5079" spans="1:4" ht="15.75" thickBot="1" x14ac:dyDescent="0.3">
      <c r="A5079" s="32"/>
      <c r="B5079" s="33"/>
      <c r="C5079" s="32"/>
      <c r="D5079" s="34"/>
    </row>
    <row r="5080" spans="1:4" ht="15.75" thickBot="1" x14ac:dyDescent="0.3">
      <c r="A5080" s="58"/>
      <c r="B5080" s="58"/>
      <c r="C5080" s="58"/>
      <c r="D5080" s="35"/>
    </row>
    <row r="5081" spans="1:4" ht="15.75" x14ac:dyDescent="0.25">
      <c r="A5081" s="285"/>
      <c r="B5081" s="59"/>
      <c r="C5081" s="59"/>
      <c r="D5081" s="60"/>
    </row>
    <row r="5082" spans="1:4" ht="16.5" thickBot="1" x14ac:dyDescent="0.3">
      <c r="A5082" s="286"/>
      <c r="B5082" s="62"/>
      <c r="C5082" s="62"/>
      <c r="D5082" s="61"/>
    </row>
    <row r="5083" spans="1:4" ht="15.75" x14ac:dyDescent="0.25">
      <c r="A5083" s="285"/>
      <c r="B5083" s="59"/>
      <c r="C5083" s="59"/>
      <c r="D5083" s="60"/>
    </row>
    <row r="5084" spans="1:4" ht="16.5" thickBot="1" x14ac:dyDescent="0.3">
      <c r="A5084" s="286"/>
      <c r="B5084" s="62"/>
      <c r="C5084" s="62"/>
      <c r="D5084" s="61"/>
    </row>
    <row r="5085" spans="1:4" ht="16.5" thickBot="1" x14ac:dyDescent="0.3">
      <c r="A5085" s="57"/>
      <c r="B5085" s="36"/>
      <c r="C5085" s="36"/>
      <c r="D5085" s="36"/>
    </row>
    <row r="5086" spans="1:4" ht="15.75" thickBot="1" x14ac:dyDescent="0.3">
      <c r="A5086" s="287"/>
      <c r="B5086" s="288"/>
      <c r="C5086" s="288"/>
      <c r="D5086" s="289"/>
    </row>
    <row r="5087" spans="1:4" ht="18.75" x14ac:dyDescent="0.25">
      <c r="A5087" s="5"/>
      <c r="B5087" s="6"/>
      <c r="C5087" s="7"/>
      <c r="D5087" s="8"/>
    </row>
    <row r="5088" spans="1:4" ht="19.5" thickBot="1" x14ac:dyDescent="0.3">
      <c r="A5088" s="9"/>
      <c r="B5088" s="10"/>
      <c r="C5088" s="10"/>
      <c r="D5088" s="11"/>
    </row>
    <row r="5089" spans="1:4" ht="21.75" thickBot="1" x14ac:dyDescent="0.3">
      <c r="A5089" s="43"/>
      <c r="B5089" s="290"/>
      <c r="C5089" s="291"/>
      <c r="D5089" s="43"/>
    </row>
    <row r="5090" spans="1:4" ht="21.75" thickBot="1" x14ac:dyDescent="0.3">
      <c r="A5090" s="38"/>
      <c r="B5090" s="44"/>
      <c r="C5090" s="45"/>
      <c r="D5090" s="44"/>
    </row>
    <row r="5091" spans="1:4" ht="19.5" thickBot="1" x14ac:dyDescent="0.3">
      <c r="A5091" s="19"/>
      <c r="B5091" s="20"/>
      <c r="C5091" s="63"/>
      <c r="D5091" s="14"/>
    </row>
    <row r="5092" spans="1:4" ht="19.5" thickBot="1" x14ac:dyDescent="0.3">
      <c r="A5092" s="19"/>
      <c r="B5092" s="20"/>
      <c r="C5092" s="48"/>
      <c r="D5092" s="46"/>
    </row>
    <row r="5093" spans="1:4" ht="15.75" thickBot="1" x14ac:dyDescent="0.3">
      <c r="A5093" s="32"/>
      <c r="B5093" s="33"/>
      <c r="C5093" s="32"/>
      <c r="D5093" s="34"/>
    </row>
    <row r="5094" spans="1:4" ht="15.75" thickBot="1" x14ac:dyDescent="0.3">
      <c r="A5094" s="58"/>
      <c r="B5094" s="58"/>
      <c r="C5094" s="58"/>
      <c r="D5094" s="35"/>
    </row>
    <row r="5095" spans="1:4" ht="15.75" x14ac:dyDescent="0.25">
      <c r="A5095" s="285"/>
      <c r="B5095" s="59"/>
      <c r="C5095" s="59"/>
      <c r="D5095" s="60"/>
    </row>
    <row r="5096" spans="1:4" ht="16.5" thickBot="1" x14ac:dyDescent="0.3">
      <c r="A5096" s="286"/>
      <c r="B5096" s="62"/>
      <c r="C5096" s="62"/>
      <c r="D5096" s="61"/>
    </row>
    <row r="5097" spans="1:4" ht="15.75" x14ac:dyDescent="0.25">
      <c r="A5097" s="285"/>
      <c r="B5097" s="59"/>
      <c r="C5097" s="59"/>
      <c r="D5097" s="60"/>
    </row>
    <row r="5098" spans="1:4" ht="16.5" thickBot="1" x14ac:dyDescent="0.3">
      <c r="A5098" s="286"/>
      <c r="B5098" s="62"/>
      <c r="C5098" s="62"/>
      <c r="D5098" s="61"/>
    </row>
    <row r="5099" spans="1:4" ht="16.5" thickBot="1" x14ac:dyDescent="0.3">
      <c r="A5099" s="57"/>
      <c r="B5099" s="36"/>
      <c r="C5099" s="36"/>
      <c r="D5099" s="36"/>
    </row>
    <row r="5100" spans="1:4" ht="15.75" thickBot="1" x14ac:dyDescent="0.3">
      <c r="A5100" s="287"/>
      <c r="B5100" s="288"/>
      <c r="C5100" s="288"/>
      <c r="D5100" s="289"/>
    </row>
    <row r="5101" spans="1:4" ht="18.75" x14ac:dyDescent="0.25">
      <c r="A5101" s="5"/>
      <c r="B5101" s="6"/>
      <c r="C5101" s="7"/>
      <c r="D5101" s="8"/>
    </row>
    <row r="5102" spans="1:4" ht="19.5" thickBot="1" x14ac:dyDescent="0.3">
      <c r="A5102" s="9"/>
      <c r="B5102" s="10"/>
      <c r="C5102" s="10"/>
      <c r="D5102" s="11"/>
    </row>
    <row r="5103" spans="1:4" ht="21.75" thickBot="1" x14ac:dyDescent="0.3">
      <c r="A5103" s="43"/>
      <c r="B5103" s="290"/>
      <c r="C5103" s="291"/>
      <c r="D5103" s="43"/>
    </row>
    <row r="5104" spans="1:4" ht="21.75" thickBot="1" x14ac:dyDescent="0.3">
      <c r="A5104" s="38"/>
      <c r="B5104" s="44"/>
      <c r="C5104" s="45"/>
      <c r="D5104" s="44"/>
    </row>
    <row r="5105" spans="1:4" ht="19.5" thickBot="1" x14ac:dyDescent="0.3">
      <c r="A5105" s="19"/>
      <c r="B5105" s="20"/>
      <c r="C5105" s="63"/>
      <c r="D5105" s="14"/>
    </row>
    <row r="5106" spans="1:4" ht="19.5" thickBot="1" x14ac:dyDescent="0.3">
      <c r="A5106" s="19"/>
      <c r="B5106" s="20"/>
      <c r="C5106" s="63"/>
      <c r="D5106" s="14"/>
    </row>
    <row r="5107" spans="1:4" ht="19.5" thickBot="1" x14ac:dyDescent="0.3">
      <c r="A5107" s="19"/>
      <c r="B5107" s="20"/>
      <c r="C5107" s="48"/>
      <c r="D5107" s="46"/>
    </row>
    <row r="5108" spans="1:4" ht="15.75" thickBot="1" x14ac:dyDescent="0.3">
      <c r="A5108" s="32"/>
      <c r="B5108" s="33"/>
      <c r="C5108" s="32"/>
      <c r="D5108" s="34"/>
    </row>
    <row r="5109" spans="1:4" ht="15.75" thickBot="1" x14ac:dyDescent="0.3">
      <c r="A5109" s="58"/>
      <c r="B5109" s="58"/>
      <c r="C5109" s="58"/>
      <c r="D5109" s="35"/>
    </row>
    <row r="5110" spans="1:4" ht="15.75" x14ac:dyDescent="0.25">
      <c r="A5110" s="285"/>
      <c r="B5110" s="59"/>
      <c r="C5110" s="59"/>
      <c r="D5110" s="60"/>
    </row>
    <row r="5111" spans="1:4" ht="16.5" thickBot="1" x14ac:dyDescent="0.3">
      <c r="A5111" s="286"/>
      <c r="B5111" s="62"/>
      <c r="C5111" s="62"/>
      <c r="D5111" s="61"/>
    </row>
    <row r="5112" spans="1:4" ht="15.75" x14ac:dyDescent="0.25">
      <c r="A5112" s="285"/>
      <c r="B5112" s="59"/>
      <c r="C5112" s="59"/>
      <c r="D5112" s="60"/>
    </row>
    <row r="5113" spans="1:4" ht="16.5" thickBot="1" x14ac:dyDescent="0.3">
      <c r="A5113" s="286"/>
      <c r="B5113" s="62"/>
      <c r="C5113" s="62"/>
      <c r="D5113" s="61"/>
    </row>
    <row r="5114" spans="1:4" ht="16.5" thickBot="1" x14ac:dyDescent="0.3">
      <c r="A5114" s="57"/>
      <c r="B5114" s="36"/>
      <c r="C5114" s="36"/>
      <c r="D5114" s="36"/>
    </row>
    <row r="5115" spans="1:4" ht="15.75" thickBot="1" x14ac:dyDescent="0.3">
      <c r="A5115" s="287"/>
      <c r="B5115" s="288"/>
      <c r="C5115" s="288"/>
      <c r="D5115" s="289"/>
    </row>
    <row r="5116" spans="1:4" ht="18.75" x14ac:dyDescent="0.25">
      <c r="A5116" s="5"/>
      <c r="B5116" s="6"/>
      <c r="C5116" s="7"/>
      <c r="D5116" s="8"/>
    </row>
    <row r="5117" spans="1:4" ht="19.5" thickBot="1" x14ac:dyDescent="0.3">
      <c r="A5117" s="9"/>
      <c r="B5117" s="10"/>
      <c r="C5117" s="10"/>
      <c r="D5117" s="11"/>
    </row>
    <row r="5118" spans="1:4" ht="21.75" thickBot="1" x14ac:dyDescent="0.3">
      <c r="A5118" s="43"/>
      <c r="B5118" s="290"/>
      <c r="C5118" s="291"/>
      <c r="D5118" s="43"/>
    </row>
    <row r="5119" spans="1:4" ht="21.75" thickBot="1" x14ac:dyDescent="0.3">
      <c r="A5119" s="38"/>
      <c r="B5119" s="44"/>
      <c r="C5119" s="45"/>
      <c r="D5119" s="44"/>
    </row>
    <row r="5120" spans="1:4" ht="19.5" thickBot="1" x14ac:dyDescent="0.3">
      <c r="A5120" s="19"/>
      <c r="B5120" s="20"/>
      <c r="C5120" s="63"/>
      <c r="D5120" s="14"/>
    </row>
    <row r="5121" spans="1:4" ht="19.5" thickBot="1" x14ac:dyDescent="0.3">
      <c r="A5121" s="19"/>
      <c r="B5121" s="20"/>
      <c r="C5121" s="48"/>
      <c r="D5121" s="46"/>
    </row>
    <row r="5122" spans="1:4" ht="15.75" thickBot="1" x14ac:dyDescent="0.3">
      <c r="A5122" s="32"/>
      <c r="B5122" s="33"/>
      <c r="C5122" s="32"/>
      <c r="D5122" s="34"/>
    </row>
    <row r="5123" spans="1:4" ht="15.75" thickBot="1" x14ac:dyDescent="0.3">
      <c r="A5123" s="58"/>
      <c r="B5123" s="58"/>
      <c r="C5123" s="58"/>
      <c r="D5123" s="35"/>
    </row>
    <row r="5124" spans="1:4" ht="15.75" x14ac:dyDescent="0.25">
      <c r="A5124" s="285"/>
      <c r="B5124" s="59"/>
      <c r="C5124" s="59"/>
      <c r="D5124" s="60"/>
    </row>
    <row r="5125" spans="1:4" ht="16.5" thickBot="1" x14ac:dyDescent="0.3">
      <c r="A5125" s="286"/>
      <c r="B5125" s="62"/>
      <c r="C5125" s="62"/>
      <c r="D5125" s="61"/>
    </row>
    <row r="5126" spans="1:4" ht="15.75" x14ac:dyDescent="0.25">
      <c r="A5126" s="285"/>
      <c r="B5126" s="59"/>
      <c r="C5126" s="59"/>
      <c r="D5126" s="60"/>
    </row>
    <row r="5127" spans="1:4" ht="16.5" thickBot="1" x14ac:dyDescent="0.3">
      <c r="A5127" s="286"/>
      <c r="B5127" s="62"/>
      <c r="C5127" s="62"/>
      <c r="D5127" s="61"/>
    </row>
    <row r="5128" spans="1:4" ht="16.5" thickBot="1" x14ac:dyDescent="0.3">
      <c r="A5128" s="57"/>
      <c r="B5128" s="36"/>
      <c r="C5128" s="36"/>
      <c r="D5128" s="36"/>
    </row>
    <row r="5129" spans="1:4" ht="15.75" thickBot="1" x14ac:dyDescent="0.3">
      <c r="A5129" s="287"/>
      <c r="B5129" s="288"/>
      <c r="C5129" s="288"/>
      <c r="D5129" s="289"/>
    </row>
    <row r="5130" spans="1:4" ht="18.75" x14ac:dyDescent="0.25">
      <c r="A5130" s="5"/>
      <c r="B5130" s="6"/>
      <c r="C5130" s="7"/>
      <c r="D5130" s="8"/>
    </row>
    <row r="5131" spans="1:4" ht="19.5" thickBot="1" x14ac:dyDescent="0.3">
      <c r="A5131" s="9"/>
      <c r="B5131" s="10"/>
      <c r="C5131" s="10"/>
      <c r="D5131" s="11"/>
    </row>
    <row r="5132" spans="1:4" ht="21.75" thickBot="1" x14ac:dyDescent="0.3">
      <c r="A5132" s="43"/>
      <c r="B5132" s="290"/>
      <c r="C5132" s="291"/>
      <c r="D5132" s="43"/>
    </row>
    <row r="5133" spans="1:4" ht="21.75" thickBot="1" x14ac:dyDescent="0.3">
      <c r="A5133" s="38"/>
      <c r="B5133" s="44"/>
      <c r="C5133" s="45"/>
      <c r="D5133" s="44"/>
    </row>
    <row r="5134" spans="1:4" ht="19.5" thickBot="1" x14ac:dyDescent="0.3">
      <c r="A5134" s="19"/>
      <c r="B5134" s="20"/>
      <c r="C5134" s="63"/>
      <c r="D5134" s="14"/>
    </row>
    <row r="5135" spans="1:4" ht="19.5" thickBot="1" x14ac:dyDescent="0.3">
      <c r="A5135" s="19"/>
      <c r="B5135" s="20"/>
      <c r="C5135" s="63"/>
      <c r="D5135" s="14"/>
    </row>
    <row r="5136" spans="1:4" ht="19.5" thickBot="1" x14ac:dyDescent="0.3">
      <c r="A5136" s="19"/>
      <c r="B5136" s="20"/>
      <c r="C5136" s="48"/>
      <c r="D5136" s="46"/>
    </row>
    <row r="5137" spans="1:4" ht="15.75" thickBot="1" x14ac:dyDescent="0.3">
      <c r="A5137" s="32"/>
      <c r="B5137" s="33"/>
      <c r="C5137" s="32"/>
      <c r="D5137" s="34"/>
    </row>
    <row r="5138" spans="1:4" ht="15.75" thickBot="1" x14ac:dyDescent="0.3">
      <c r="A5138" s="58"/>
      <c r="B5138" s="58"/>
      <c r="C5138" s="58"/>
      <c r="D5138" s="35"/>
    </row>
    <row r="5139" spans="1:4" ht="15.75" x14ac:dyDescent="0.25">
      <c r="A5139" s="285"/>
      <c r="B5139" s="59"/>
      <c r="C5139" s="59"/>
      <c r="D5139" s="60"/>
    </row>
    <row r="5140" spans="1:4" ht="16.5" thickBot="1" x14ac:dyDescent="0.3">
      <c r="A5140" s="286"/>
      <c r="B5140" s="62"/>
      <c r="C5140" s="62"/>
      <c r="D5140" s="61"/>
    </row>
    <row r="5141" spans="1:4" ht="15.75" x14ac:dyDescent="0.25">
      <c r="A5141" s="285"/>
      <c r="B5141" s="59"/>
      <c r="C5141" s="59"/>
      <c r="D5141" s="60"/>
    </row>
    <row r="5142" spans="1:4" ht="16.5" thickBot="1" x14ac:dyDescent="0.3">
      <c r="A5142" s="286"/>
      <c r="B5142" s="62"/>
      <c r="C5142" s="62"/>
      <c r="D5142" s="61"/>
    </row>
    <row r="5143" spans="1:4" ht="16.5" thickBot="1" x14ac:dyDescent="0.3">
      <c r="A5143" s="57"/>
      <c r="B5143" s="36"/>
      <c r="C5143" s="36"/>
      <c r="D5143" s="36"/>
    </row>
    <row r="5144" spans="1:4" ht="15.75" thickBot="1" x14ac:dyDescent="0.3">
      <c r="A5144" s="287"/>
      <c r="B5144" s="288"/>
      <c r="C5144" s="288"/>
      <c r="D5144" s="289"/>
    </row>
    <row r="5145" spans="1:4" ht="18.75" x14ac:dyDescent="0.25">
      <c r="A5145" s="5"/>
      <c r="B5145" s="6"/>
      <c r="C5145" s="7"/>
      <c r="D5145" s="8"/>
    </row>
    <row r="5146" spans="1:4" ht="19.5" thickBot="1" x14ac:dyDescent="0.3">
      <c r="A5146" s="9"/>
      <c r="B5146" s="10"/>
      <c r="C5146" s="10"/>
      <c r="D5146" s="11"/>
    </row>
    <row r="5147" spans="1:4" ht="21.75" thickBot="1" x14ac:dyDescent="0.3">
      <c r="A5147" s="43"/>
      <c r="B5147" s="290"/>
      <c r="C5147" s="291"/>
      <c r="D5147" s="43"/>
    </row>
    <row r="5148" spans="1:4" ht="21.75" thickBot="1" x14ac:dyDescent="0.3">
      <c r="A5148" s="38"/>
      <c r="B5148" s="44"/>
      <c r="C5148" s="45"/>
      <c r="D5148" s="44"/>
    </row>
    <row r="5149" spans="1:4" ht="19.5" thickBot="1" x14ac:dyDescent="0.3">
      <c r="A5149" s="19"/>
      <c r="B5149" s="20"/>
      <c r="C5149" s="63"/>
      <c r="D5149" s="14"/>
    </row>
    <row r="5150" spans="1:4" ht="19.5" thickBot="1" x14ac:dyDescent="0.3">
      <c r="A5150" s="19"/>
      <c r="B5150" s="20"/>
      <c r="C5150" s="48"/>
      <c r="D5150" s="46"/>
    </row>
    <row r="5151" spans="1:4" ht="15.75" thickBot="1" x14ac:dyDescent="0.3">
      <c r="A5151" s="32"/>
      <c r="B5151" s="33"/>
      <c r="C5151" s="32"/>
      <c r="D5151" s="34"/>
    </row>
    <row r="5152" spans="1:4" ht="15.75" thickBot="1" x14ac:dyDescent="0.3">
      <c r="A5152" s="58"/>
      <c r="B5152" s="58"/>
      <c r="C5152" s="58"/>
      <c r="D5152" s="35"/>
    </row>
    <row r="5153" spans="1:4" ht="15.75" x14ac:dyDescent="0.25">
      <c r="A5153" s="285"/>
      <c r="B5153" s="59"/>
      <c r="C5153" s="59"/>
      <c r="D5153" s="60"/>
    </row>
    <row r="5154" spans="1:4" ht="16.5" thickBot="1" x14ac:dyDescent="0.3">
      <c r="A5154" s="286"/>
      <c r="B5154" s="62"/>
      <c r="C5154" s="62"/>
      <c r="D5154" s="61"/>
    </row>
    <row r="5155" spans="1:4" ht="15.75" x14ac:dyDescent="0.25">
      <c r="A5155" s="285"/>
      <c r="B5155" s="59"/>
      <c r="C5155" s="59"/>
      <c r="D5155" s="60"/>
    </row>
    <row r="5156" spans="1:4" ht="16.5" thickBot="1" x14ac:dyDescent="0.3">
      <c r="A5156" s="286"/>
      <c r="B5156" s="62"/>
      <c r="C5156" s="62"/>
      <c r="D5156" s="61"/>
    </row>
    <row r="5157" spans="1:4" ht="16.5" thickBot="1" x14ac:dyDescent="0.3">
      <c r="A5157" s="57"/>
      <c r="B5157" s="36"/>
      <c r="C5157" s="36"/>
      <c r="D5157" s="36"/>
    </row>
    <row r="5158" spans="1:4" ht="15.75" thickBot="1" x14ac:dyDescent="0.3">
      <c r="A5158" s="287"/>
      <c r="B5158" s="288"/>
      <c r="C5158" s="288"/>
      <c r="D5158" s="289"/>
    </row>
    <row r="5159" spans="1:4" ht="18.75" x14ac:dyDescent="0.25">
      <c r="A5159" s="5"/>
      <c r="B5159" s="6"/>
      <c r="C5159" s="7"/>
      <c r="D5159" s="8"/>
    </row>
    <row r="5160" spans="1:4" ht="19.5" thickBot="1" x14ac:dyDescent="0.3">
      <c r="A5160" s="9"/>
      <c r="B5160" s="10"/>
      <c r="C5160" s="10"/>
      <c r="D5160" s="11"/>
    </row>
    <row r="5161" spans="1:4" ht="21.75" thickBot="1" x14ac:dyDescent="0.3">
      <c r="A5161" s="43"/>
      <c r="B5161" s="290"/>
      <c r="C5161" s="291"/>
      <c r="D5161" s="43"/>
    </row>
    <row r="5162" spans="1:4" ht="21.75" thickBot="1" x14ac:dyDescent="0.3">
      <c r="A5162" s="38"/>
      <c r="B5162" s="44"/>
      <c r="C5162" s="45"/>
      <c r="D5162" s="44"/>
    </row>
    <row r="5163" spans="1:4" ht="19.5" thickBot="1" x14ac:dyDescent="0.3">
      <c r="A5163" s="19"/>
      <c r="B5163" s="20"/>
      <c r="C5163" s="63"/>
      <c r="D5163" s="14"/>
    </row>
    <row r="5164" spans="1:4" ht="19.5" thickBot="1" x14ac:dyDescent="0.3">
      <c r="A5164" s="19"/>
      <c r="B5164" s="20"/>
      <c r="C5164" s="63"/>
      <c r="D5164" s="14"/>
    </row>
    <row r="5165" spans="1:4" ht="19.5" thickBot="1" x14ac:dyDescent="0.3">
      <c r="A5165" s="19"/>
      <c r="B5165" s="20"/>
      <c r="C5165" s="48"/>
      <c r="D5165" s="46"/>
    </row>
    <row r="5166" spans="1:4" ht="15.75" thickBot="1" x14ac:dyDescent="0.3">
      <c r="A5166" s="32"/>
      <c r="B5166" s="33"/>
      <c r="C5166" s="32"/>
      <c r="D5166" s="34"/>
    </row>
    <row r="5167" spans="1:4" ht="15.75" thickBot="1" x14ac:dyDescent="0.3">
      <c r="A5167" s="58"/>
      <c r="B5167" s="58"/>
      <c r="C5167" s="58"/>
      <c r="D5167" s="35"/>
    </row>
    <row r="5168" spans="1:4" ht="15.75" x14ac:dyDescent="0.25">
      <c r="A5168" s="285"/>
      <c r="B5168" s="59"/>
      <c r="C5168" s="59"/>
      <c r="D5168" s="60"/>
    </row>
    <row r="5169" spans="1:4" ht="16.5" thickBot="1" x14ac:dyDescent="0.3">
      <c r="A5169" s="286"/>
      <c r="B5169" s="62"/>
      <c r="C5169" s="62"/>
      <c r="D5169" s="61"/>
    </row>
    <row r="5170" spans="1:4" ht="15.75" x14ac:dyDescent="0.25">
      <c r="A5170" s="285"/>
      <c r="B5170" s="59"/>
      <c r="C5170" s="59"/>
      <c r="D5170" s="60"/>
    </row>
    <row r="5171" spans="1:4" ht="16.5" thickBot="1" x14ac:dyDescent="0.3">
      <c r="A5171" s="286"/>
      <c r="B5171" s="62"/>
      <c r="C5171" s="62"/>
      <c r="D5171" s="61"/>
    </row>
    <row r="5172" spans="1:4" ht="16.5" thickBot="1" x14ac:dyDescent="0.3">
      <c r="A5172" s="57"/>
      <c r="B5172" s="36"/>
      <c r="C5172" s="36"/>
      <c r="D5172" s="36"/>
    </row>
    <row r="5173" spans="1:4" ht="15.75" thickBot="1" x14ac:dyDescent="0.3">
      <c r="A5173" s="287"/>
      <c r="B5173" s="288"/>
      <c r="C5173" s="288"/>
      <c r="D5173" s="289"/>
    </row>
    <row r="5174" spans="1:4" ht="18.75" x14ac:dyDescent="0.25">
      <c r="A5174" s="5"/>
      <c r="B5174" s="6"/>
      <c r="C5174" s="7"/>
      <c r="D5174" s="8"/>
    </row>
    <row r="5175" spans="1:4" ht="19.5" thickBot="1" x14ac:dyDescent="0.3">
      <c r="A5175" s="9"/>
      <c r="B5175" s="10"/>
      <c r="C5175" s="10"/>
      <c r="D5175" s="11"/>
    </row>
    <row r="5176" spans="1:4" ht="21.75" thickBot="1" x14ac:dyDescent="0.3">
      <c r="A5176" s="43"/>
      <c r="B5176" s="290"/>
      <c r="C5176" s="291"/>
      <c r="D5176" s="43"/>
    </row>
    <row r="5177" spans="1:4" ht="21.75" thickBot="1" x14ac:dyDescent="0.3">
      <c r="A5177" s="38"/>
      <c r="B5177" s="44"/>
      <c r="C5177" s="45"/>
      <c r="D5177" s="44"/>
    </row>
    <row r="5178" spans="1:4" ht="19.5" thickBot="1" x14ac:dyDescent="0.3">
      <c r="A5178" s="19"/>
      <c r="B5178" s="20"/>
      <c r="C5178" s="63"/>
      <c r="D5178" s="14"/>
    </row>
    <row r="5179" spans="1:4" ht="19.5" thickBot="1" x14ac:dyDescent="0.3">
      <c r="A5179" s="19"/>
      <c r="B5179" s="20"/>
      <c r="C5179" s="48"/>
      <c r="D5179" s="46"/>
    </row>
    <row r="5180" spans="1:4" ht="15.75" thickBot="1" x14ac:dyDescent="0.3">
      <c r="A5180" s="32"/>
      <c r="B5180" s="33"/>
      <c r="C5180" s="32"/>
      <c r="D5180" s="34"/>
    </row>
    <row r="5181" spans="1:4" ht="15.75" thickBot="1" x14ac:dyDescent="0.3">
      <c r="A5181" s="58"/>
      <c r="B5181" s="58"/>
      <c r="C5181" s="58"/>
      <c r="D5181" s="35"/>
    </row>
    <row r="5182" spans="1:4" ht="15.75" x14ac:dyDescent="0.25">
      <c r="A5182" s="285"/>
      <c r="B5182" s="59"/>
      <c r="C5182" s="59"/>
      <c r="D5182" s="60"/>
    </row>
    <row r="5183" spans="1:4" ht="16.5" thickBot="1" x14ac:dyDescent="0.3">
      <c r="A5183" s="286"/>
      <c r="B5183" s="62"/>
      <c r="C5183" s="62"/>
      <c r="D5183" s="61"/>
    </row>
    <row r="5184" spans="1:4" ht="15.75" x14ac:dyDescent="0.25">
      <c r="A5184" s="285"/>
      <c r="B5184" s="59"/>
      <c r="C5184" s="59"/>
      <c r="D5184" s="60"/>
    </row>
    <row r="5185" spans="1:4" ht="16.5" thickBot="1" x14ac:dyDescent="0.3">
      <c r="A5185" s="286"/>
      <c r="B5185" s="62"/>
      <c r="C5185" s="62"/>
      <c r="D5185" s="61"/>
    </row>
    <row r="5186" spans="1:4" ht="16.5" thickBot="1" x14ac:dyDescent="0.3">
      <c r="A5186" s="57"/>
      <c r="B5186" s="36"/>
      <c r="C5186" s="36"/>
      <c r="D5186" s="36"/>
    </row>
    <row r="5187" spans="1:4" ht="15.75" thickBot="1" x14ac:dyDescent="0.3">
      <c r="A5187" s="287"/>
      <c r="B5187" s="288"/>
      <c r="C5187" s="288"/>
      <c r="D5187" s="289"/>
    </row>
    <row r="5188" spans="1:4" ht="18.75" x14ac:dyDescent="0.25">
      <c r="A5188" s="5"/>
      <c r="B5188" s="6"/>
      <c r="C5188" s="7"/>
      <c r="D5188" s="8"/>
    </row>
    <row r="5189" spans="1:4" ht="19.5" thickBot="1" x14ac:dyDescent="0.3">
      <c r="A5189" s="9"/>
      <c r="B5189" s="10"/>
      <c r="C5189" s="10"/>
      <c r="D5189" s="11"/>
    </row>
    <row r="5190" spans="1:4" ht="21.75" thickBot="1" x14ac:dyDescent="0.3">
      <c r="A5190" s="43"/>
      <c r="B5190" s="290"/>
      <c r="C5190" s="291"/>
      <c r="D5190" s="43"/>
    </row>
    <row r="5191" spans="1:4" ht="21.75" thickBot="1" x14ac:dyDescent="0.3">
      <c r="A5191" s="38"/>
      <c r="B5191" s="44"/>
      <c r="C5191" s="45"/>
      <c r="D5191" s="44"/>
    </row>
    <row r="5192" spans="1:4" ht="19.5" thickBot="1" x14ac:dyDescent="0.3">
      <c r="A5192" s="19"/>
      <c r="B5192" s="20"/>
      <c r="C5192" s="63"/>
      <c r="D5192" s="14"/>
    </row>
    <row r="5193" spans="1:4" ht="19.5" thickBot="1" x14ac:dyDescent="0.3">
      <c r="A5193" s="19"/>
      <c r="B5193" s="20"/>
      <c r="C5193" s="63"/>
      <c r="D5193" s="14"/>
    </row>
    <row r="5194" spans="1:4" ht="19.5" thickBot="1" x14ac:dyDescent="0.3">
      <c r="A5194" s="19"/>
      <c r="B5194" s="20"/>
      <c r="C5194" s="48"/>
      <c r="D5194" s="46"/>
    </row>
    <row r="5195" spans="1:4" ht="15.75" thickBot="1" x14ac:dyDescent="0.3">
      <c r="A5195" s="32"/>
      <c r="B5195" s="33"/>
      <c r="C5195" s="32"/>
      <c r="D5195" s="34"/>
    </row>
    <row r="5196" spans="1:4" ht="15.75" thickBot="1" x14ac:dyDescent="0.3">
      <c r="A5196" s="58"/>
      <c r="B5196" s="58"/>
      <c r="C5196" s="58"/>
      <c r="D5196" s="35"/>
    </row>
    <row r="5197" spans="1:4" ht="15.75" x14ac:dyDescent="0.25">
      <c r="A5197" s="285"/>
      <c r="B5197" s="59"/>
      <c r="C5197" s="59"/>
      <c r="D5197" s="60"/>
    </row>
    <row r="5198" spans="1:4" ht="16.5" thickBot="1" x14ac:dyDescent="0.3">
      <c r="A5198" s="286"/>
      <c r="B5198" s="62"/>
      <c r="C5198" s="62"/>
      <c r="D5198" s="61"/>
    </row>
    <row r="5199" spans="1:4" ht="15.75" x14ac:dyDescent="0.25">
      <c r="A5199" s="285"/>
      <c r="B5199" s="59"/>
      <c r="C5199" s="59"/>
      <c r="D5199" s="60"/>
    </row>
    <row r="5200" spans="1:4" ht="16.5" thickBot="1" x14ac:dyDescent="0.3">
      <c r="A5200" s="286"/>
      <c r="B5200" s="62"/>
      <c r="C5200" s="62"/>
      <c r="D5200" s="61"/>
    </row>
    <row r="5201" spans="1:4" ht="16.5" thickBot="1" x14ac:dyDescent="0.3">
      <c r="A5201" s="57"/>
      <c r="B5201" s="36"/>
      <c r="C5201" s="36"/>
      <c r="D5201" s="36"/>
    </row>
    <row r="5202" spans="1:4" ht="15.75" thickBot="1" x14ac:dyDescent="0.3">
      <c r="A5202" s="287"/>
      <c r="B5202" s="288"/>
      <c r="C5202" s="288"/>
      <c r="D5202" s="289"/>
    </row>
    <row r="5203" spans="1:4" ht="18.75" x14ac:dyDescent="0.25">
      <c r="A5203" s="5"/>
      <c r="B5203" s="6"/>
      <c r="C5203" s="7"/>
      <c r="D5203" s="8"/>
    </row>
    <row r="5204" spans="1:4" ht="19.5" thickBot="1" x14ac:dyDescent="0.3">
      <c r="A5204" s="9"/>
      <c r="B5204" s="10"/>
      <c r="C5204" s="10"/>
      <c r="D5204" s="11"/>
    </row>
    <row r="5205" spans="1:4" ht="21.75" thickBot="1" x14ac:dyDescent="0.3">
      <c r="A5205" s="43"/>
      <c r="B5205" s="290"/>
      <c r="C5205" s="291"/>
      <c r="D5205" s="43"/>
    </row>
    <row r="5206" spans="1:4" ht="21.75" thickBot="1" x14ac:dyDescent="0.3">
      <c r="A5206" s="38"/>
      <c r="B5206" s="44"/>
      <c r="C5206" s="45"/>
      <c r="D5206" s="44"/>
    </row>
    <row r="5207" spans="1:4" ht="19.5" thickBot="1" x14ac:dyDescent="0.3">
      <c r="A5207" s="19"/>
      <c r="B5207" s="20"/>
      <c r="C5207" s="63"/>
      <c r="D5207" s="14"/>
    </row>
    <row r="5208" spans="1:4" ht="19.5" thickBot="1" x14ac:dyDescent="0.3">
      <c r="A5208" s="19"/>
      <c r="B5208" s="20"/>
      <c r="C5208" s="48"/>
      <c r="D5208" s="46"/>
    </row>
    <row r="5209" spans="1:4" ht="15.75" thickBot="1" x14ac:dyDescent="0.3">
      <c r="A5209" s="32"/>
      <c r="B5209" s="33"/>
      <c r="C5209" s="32"/>
      <c r="D5209" s="34"/>
    </row>
    <row r="5210" spans="1:4" ht="15.75" thickBot="1" x14ac:dyDescent="0.3">
      <c r="A5210" s="58"/>
      <c r="B5210" s="58"/>
      <c r="C5210" s="58"/>
      <c r="D5210" s="35"/>
    </row>
    <row r="5211" spans="1:4" ht="15.75" x14ac:dyDescent="0.25">
      <c r="A5211" s="285"/>
      <c r="B5211" s="59"/>
      <c r="C5211" s="59"/>
      <c r="D5211" s="60"/>
    </row>
    <row r="5212" spans="1:4" ht="16.5" thickBot="1" x14ac:dyDescent="0.3">
      <c r="A5212" s="286"/>
      <c r="B5212" s="62"/>
      <c r="C5212" s="62"/>
      <c r="D5212" s="61"/>
    </row>
    <row r="5213" spans="1:4" ht="15.75" x14ac:dyDescent="0.25">
      <c r="A5213" s="285"/>
      <c r="B5213" s="59"/>
      <c r="C5213" s="59"/>
      <c r="D5213" s="60"/>
    </row>
    <row r="5214" spans="1:4" ht="16.5" thickBot="1" x14ac:dyDescent="0.3">
      <c r="A5214" s="286"/>
      <c r="B5214" s="62"/>
      <c r="C5214" s="62"/>
      <c r="D5214" s="61"/>
    </row>
    <row r="5215" spans="1:4" ht="16.5" thickBot="1" x14ac:dyDescent="0.3">
      <c r="A5215" s="57"/>
      <c r="B5215" s="36"/>
      <c r="C5215" s="36"/>
      <c r="D5215" s="36"/>
    </row>
    <row r="5216" spans="1:4" ht="15.75" thickBot="1" x14ac:dyDescent="0.3">
      <c r="A5216" s="287"/>
      <c r="B5216" s="288"/>
      <c r="C5216" s="288"/>
      <c r="D5216" s="289"/>
    </row>
    <row r="5217" spans="1:4" ht="18.75" x14ac:dyDescent="0.25">
      <c r="A5217" s="5"/>
      <c r="B5217" s="6"/>
      <c r="C5217" s="7"/>
      <c r="D5217" s="8"/>
    </row>
    <row r="5218" spans="1:4" ht="19.5" thickBot="1" x14ac:dyDescent="0.3">
      <c r="A5218" s="9"/>
      <c r="B5218" s="10"/>
      <c r="C5218" s="10"/>
      <c r="D5218" s="11"/>
    </row>
    <row r="5219" spans="1:4" ht="21.75" thickBot="1" x14ac:dyDescent="0.3">
      <c r="A5219" s="43"/>
      <c r="B5219" s="290"/>
      <c r="C5219" s="291"/>
      <c r="D5219" s="43"/>
    </row>
    <row r="5220" spans="1:4" ht="21.75" thickBot="1" x14ac:dyDescent="0.3">
      <c r="A5220" s="38"/>
      <c r="B5220" s="44"/>
      <c r="C5220" s="45"/>
      <c r="D5220" s="44"/>
    </row>
    <row r="5221" spans="1:4" ht="19.5" thickBot="1" x14ac:dyDescent="0.3">
      <c r="A5221" s="19"/>
      <c r="B5221" s="20"/>
      <c r="C5221" s="63"/>
      <c r="D5221" s="14"/>
    </row>
    <row r="5222" spans="1:4" ht="19.5" thickBot="1" x14ac:dyDescent="0.3">
      <c r="A5222" s="19"/>
      <c r="B5222" s="20"/>
      <c r="C5222" s="63"/>
      <c r="D5222" s="14"/>
    </row>
    <row r="5223" spans="1:4" ht="19.5" thickBot="1" x14ac:dyDescent="0.3">
      <c r="A5223" s="19"/>
      <c r="B5223" s="20"/>
      <c r="C5223" s="48"/>
      <c r="D5223" s="46"/>
    </row>
    <row r="5224" spans="1:4" ht="15.75" thickBot="1" x14ac:dyDescent="0.3">
      <c r="A5224" s="32"/>
      <c r="B5224" s="33"/>
      <c r="C5224" s="32"/>
      <c r="D5224" s="34"/>
    </row>
    <row r="5225" spans="1:4" ht="15.75" thickBot="1" x14ac:dyDescent="0.3">
      <c r="A5225" s="58"/>
      <c r="B5225" s="58"/>
      <c r="C5225" s="58"/>
      <c r="D5225" s="35"/>
    </row>
    <row r="5226" spans="1:4" ht="15.75" x14ac:dyDescent="0.25">
      <c r="A5226" s="285"/>
      <c r="B5226" s="59"/>
      <c r="C5226" s="59"/>
      <c r="D5226" s="60"/>
    </row>
    <row r="5227" spans="1:4" ht="16.5" thickBot="1" x14ac:dyDescent="0.3">
      <c r="A5227" s="286"/>
      <c r="B5227" s="62"/>
      <c r="C5227" s="62"/>
      <c r="D5227" s="61"/>
    </row>
    <row r="5228" spans="1:4" ht="15.75" x14ac:dyDescent="0.25">
      <c r="A5228" s="285"/>
      <c r="B5228" s="59"/>
      <c r="C5228" s="59"/>
      <c r="D5228" s="60"/>
    </row>
    <row r="5229" spans="1:4" ht="16.5" thickBot="1" x14ac:dyDescent="0.3">
      <c r="A5229" s="286"/>
      <c r="B5229" s="62"/>
      <c r="C5229" s="62"/>
      <c r="D5229" s="61"/>
    </row>
    <row r="5230" spans="1:4" ht="16.5" thickBot="1" x14ac:dyDescent="0.3">
      <c r="A5230" s="57"/>
      <c r="B5230" s="36"/>
      <c r="C5230" s="36"/>
      <c r="D5230" s="36"/>
    </row>
    <row r="5231" spans="1:4" ht="15.75" thickBot="1" x14ac:dyDescent="0.3">
      <c r="A5231" s="287"/>
      <c r="B5231" s="288"/>
      <c r="C5231" s="288"/>
      <c r="D5231" s="289"/>
    </row>
    <row r="5232" spans="1:4" ht="18.75" x14ac:dyDescent="0.25">
      <c r="A5232" s="5"/>
      <c r="B5232" s="6"/>
      <c r="C5232" s="7"/>
      <c r="D5232" s="8"/>
    </row>
    <row r="5233" spans="1:4" ht="19.5" thickBot="1" x14ac:dyDescent="0.3">
      <c r="A5233" s="9"/>
      <c r="B5233" s="10"/>
      <c r="C5233" s="10"/>
      <c r="D5233" s="11"/>
    </row>
    <row r="5234" spans="1:4" ht="21.75" thickBot="1" x14ac:dyDescent="0.3">
      <c r="A5234" s="43"/>
      <c r="B5234" s="290"/>
      <c r="C5234" s="291"/>
      <c r="D5234" s="43"/>
    </row>
    <row r="5235" spans="1:4" ht="21.75" thickBot="1" x14ac:dyDescent="0.3">
      <c r="A5235" s="38"/>
      <c r="B5235" s="44"/>
      <c r="C5235" s="45"/>
      <c r="D5235" s="44"/>
    </row>
    <row r="5236" spans="1:4" ht="19.5" thickBot="1" x14ac:dyDescent="0.3">
      <c r="A5236" s="19"/>
      <c r="B5236" s="20"/>
      <c r="C5236" s="63"/>
      <c r="D5236" s="14"/>
    </row>
    <row r="5237" spans="1:4" ht="19.5" thickBot="1" x14ac:dyDescent="0.3">
      <c r="A5237" s="19"/>
      <c r="B5237" s="20"/>
      <c r="C5237" s="48"/>
      <c r="D5237" s="46"/>
    </row>
    <row r="5238" spans="1:4" ht="15.75" thickBot="1" x14ac:dyDescent="0.3">
      <c r="A5238" s="32"/>
      <c r="B5238" s="33"/>
      <c r="C5238" s="32"/>
      <c r="D5238" s="34"/>
    </row>
    <row r="5239" spans="1:4" ht="15.75" thickBot="1" x14ac:dyDescent="0.3">
      <c r="A5239" s="58"/>
      <c r="B5239" s="58"/>
      <c r="C5239" s="58"/>
      <c r="D5239" s="35"/>
    </row>
    <row r="5240" spans="1:4" ht="15.75" x14ac:dyDescent="0.25">
      <c r="A5240" s="285"/>
      <c r="B5240" s="59"/>
      <c r="C5240" s="59"/>
      <c r="D5240" s="60"/>
    </row>
    <row r="5241" spans="1:4" ht="16.5" thickBot="1" x14ac:dyDescent="0.3">
      <c r="A5241" s="286"/>
      <c r="B5241" s="62"/>
      <c r="C5241" s="62"/>
      <c r="D5241" s="61"/>
    </row>
    <row r="5242" spans="1:4" ht="15.75" x14ac:dyDescent="0.25">
      <c r="A5242" s="285"/>
      <c r="B5242" s="59"/>
      <c r="C5242" s="59"/>
      <c r="D5242" s="60"/>
    </row>
    <row r="5243" spans="1:4" ht="16.5" thickBot="1" x14ac:dyDescent="0.3">
      <c r="A5243" s="286"/>
      <c r="B5243" s="62"/>
      <c r="C5243" s="62"/>
      <c r="D5243" s="61"/>
    </row>
    <row r="5244" spans="1:4" ht="16.5" thickBot="1" x14ac:dyDescent="0.3">
      <c r="A5244" s="57"/>
      <c r="B5244" s="36"/>
      <c r="C5244" s="36"/>
      <c r="D5244" s="36"/>
    </row>
    <row r="5245" spans="1:4" ht="15.75" thickBot="1" x14ac:dyDescent="0.3">
      <c r="A5245" s="287"/>
      <c r="B5245" s="288"/>
      <c r="C5245" s="288"/>
      <c r="D5245" s="289"/>
    </row>
    <row r="5246" spans="1:4" ht="18.75" x14ac:dyDescent="0.25">
      <c r="A5246" s="5"/>
      <c r="B5246" s="6"/>
      <c r="C5246" s="7"/>
      <c r="D5246" s="8"/>
    </row>
    <row r="5247" spans="1:4" ht="19.5" thickBot="1" x14ac:dyDescent="0.3">
      <c r="A5247" s="9"/>
      <c r="B5247" s="10"/>
      <c r="C5247" s="10"/>
      <c r="D5247" s="11"/>
    </row>
    <row r="5248" spans="1:4" ht="21.75" thickBot="1" x14ac:dyDescent="0.3">
      <c r="A5248" s="43"/>
      <c r="B5248" s="290"/>
      <c r="C5248" s="291"/>
      <c r="D5248" s="43"/>
    </row>
    <row r="5249" spans="1:4" ht="21.75" thickBot="1" x14ac:dyDescent="0.3">
      <c r="A5249" s="38"/>
      <c r="B5249" s="44"/>
      <c r="C5249" s="45"/>
      <c r="D5249" s="44"/>
    </row>
    <row r="5250" spans="1:4" ht="19.5" thickBot="1" x14ac:dyDescent="0.3">
      <c r="A5250" s="19"/>
      <c r="B5250" s="20"/>
      <c r="C5250" s="63"/>
      <c r="D5250" s="14"/>
    </row>
    <row r="5251" spans="1:4" ht="19.5" thickBot="1" x14ac:dyDescent="0.3">
      <c r="A5251" s="19"/>
      <c r="B5251" s="20"/>
      <c r="C5251" s="63"/>
      <c r="D5251" s="14"/>
    </row>
    <row r="5252" spans="1:4" ht="19.5" thickBot="1" x14ac:dyDescent="0.3">
      <c r="A5252" s="19"/>
      <c r="B5252" s="20"/>
      <c r="C5252" s="48"/>
      <c r="D5252" s="46"/>
    </row>
    <row r="5253" spans="1:4" ht="15.75" thickBot="1" x14ac:dyDescent="0.3">
      <c r="A5253" s="32"/>
      <c r="B5253" s="33"/>
      <c r="C5253" s="32"/>
      <c r="D5253" s="34"/>
    </row>
    <row r="5254" spans="1:4" ht="15.75" thickBot="1" x14ac:dyDescent="0.3">
      <c r="A5254" s="58"/>
      <c r="B5254" s="58"/>
      <c r="C5254" s="58"/>
      <c r="D5254" s="35"/>
    </row>
    <row r="5255" spans="1:4" ht="15.75" x14ac:dyDescent="0.25">
      <c r="A5255" s="285"/>
      <c r="B5255" s="59"/>
      <c r="C5255" s="59"/>
      <c r="D5255" s="60"/>
    </row>
    <row r="5256" spans="1:4" ht="16.5" thickBot="1" x14ac:dyDescent="0.3">
      <c r="A5256" s="286"/>
      <c r="B5256" s="62"/>
      <c r="C5256" s="62"/>
      <c r="D5256" s="61"/>
    </row>
    <row r="5257" spans="1:4" ht="15.75" x14ac:dyDescent="0.25">
      <c r="A5257" s="285"/>
      <c r="B5257" s="59"/>
      <c r="C5257" s="59"/>
      <c r="D5257" s="60"/>
    </row>
    <row r="5258" spans="1:4" ht="16.5" thickBot="1" x14ac:dyDescent="0.3">
      <c r="A5258" s="286"/>
      <c r="B5258" s="62"/>
      <c r="C5258" s="62"/>
      <c r="D5258" s="61"/>
    </row>
    <row r="5259" spans="1:4" ht="16.5" thickBot="1" x14ac:dyDescent="0.3">
      <c r="A5259" s="57"/>
      <c r="B5259" s="36"/>
      <c r="C5259" s="36"/>
      <c r="D5259" s="36"/>
    </row>
    <row r="5260" spans="1:4" ht="15.75" thickBot="1" x14ac:dyDescent="0.3">
      <c r="A5260" s="287"/>
      <c r="B5260" s="288"/>
      <c r="C5260" s="288"/>
      <c r="D5260" s="289"/>
    </row>
    <row r="5261" spans="1:4" ht="18.75" x14ac:dyDescent="0.25">
      <c r="A5261" s="5"/>
      <c r="B5261" s="6"/>
      <c r="C5261" s="7"/>
      <c r="D5261" s="8"/>
    </row>
    <row r="5262" spans="1:4" ht="19.5" thickBot="1" x14ac:dyDescent="0.3">
      <c r="A5262" s="9"/>
      <c r="B5262" s="10"/>
      <c r="C5262" s="10"/>
      <c r="D5262" s="11"/>
    </row>
    <row r="5263" spans="1:4" ht="21.75" thickBot="1" x14ac:dyDescent="0.3">
      <c r="A5263" s="43"/>
      <c r="B5263" s="290"/>
      <c r="C5263" s="291"/>
      <c r="D5263" s="43"/>
    </row>
    <row r="5264" spans="1:4" ht="21.75" thickBot="1" x14ac:dyDescent="0.3">
      <c r="A5264" s="38"/>
      <c r="B5264" s="44"/>
      <c r="C5264" s="45"/>
      <c r="D5264" s="44"/>
    </row>
    <row r="5265" spans="1:4" ht="19.5" thickBot="1" x14ac:dyDescent="0.3">
      <c r="A5265" s="19"/>
      <c r="B5265" s="20"/>
      <c r="C5265" s="63"/>
      <c r="D5265" s="14"/>
    </row>
    <row r="5266" spans="1:4" ht="19.5" thickBot="1" x14ac:dyDescent="0.3">
      <c r="A5266" s="19"/>
      <c r="B5266" s="20"/>
      <c r="C5266" s="48"/>
      <c r="D5266" s="46"/>
    </row>
    <row r="5267" spans="1:4" ht="15.75" thickBot="1" x14ac:dyDescent="0.3">
      <c r="A5267" s="32"/>
      <c r="B5267" s="33"/>
      <c r="C5267" s="32"/>
      <c r="D5267" s="34"/>
    </row>
    <row r="5268" spans="1:4" ht="15.75" thickBot="1" x14ac:dyDescent="0.3">
      <c r="A5268" s="58"/>
      <c r="B5268" s="58"/>
      <c r="C5268" s="58"/>
      <c r="D5268" s="35"/>
    </row>
    <row r="5269" spans="1:4" ht="15.75" x14ac:dyDescent="0.25">
      <c r="A5269" s="285"/>
      <c r="B5269" s="59"/>
      <c r="C5269" s="59"/>
      <c r="D5269" s="60"/>
    </row>
    <row r="5270" spans="1:4" ht="16.5" thickBot="1" x14ac:dyDescent="0.3">
      <c r="A5270" s="286"/>
      <c r="B5270" s="62"/>
      <c r="C5270" s="62"/>
      <c r="D5270" s="61"/>
    </row>
    <row r="5271" spans="1:4" ht="15.75" x14ac:dyDescent="0.25">
      <c r="A5271" s="285"/>
      <c r="B5271" s="59"/>
      <c r="C5271" s="59"/>
      <c r="D5271" s="60"/>
    </row>
    <row r="5272" spans="1:4" ht="16.5" thickBot="1" x14ac:dyDescent="0.3">
      <c r="A5272" s="286"/>
      <c r="B5272" s="62"/>
      <c r="C5272" s="62"/>
      <c r="D5272" s="61"/>
    </row>
    <row r="5273" spans="1:4" ht="16.5" thickBot="1" x14ac:dyDescent="0.3">
      <c r="A5273" s="57"/>
      <c r="B5273" s="36"/>
      <c r="C5273" s="36"/>
      <c r="D5273" s="36"/>
    </row>
    <row r="5274" spans="1:4" ht="15.75" thickBot="1" x14ac:dyDescent="0.3">
      <c r="A5274" s="287"/>
      <c r="B5274" s="288"/>
      <c r="C5274" s="288"/>
      <c r="D5274" s="289"/>
    </row>
    <row r="5275" spans="1:4" ht="18.75" x14ac:dyDescent="0.25">
      <c r="A5275" s="5"/>
      <c r="B5275" s="6"/>
      <c r="C5275" s="7"/>
      <c r="D5275" s="8"/>
    </row>
    <row r="5276" spans="1:4" ht="19.5" thickBot="1" x14ac:dyDescent="0.3">
      <c r="A5276" s="9"/>
      <c r="B5276" s="10"/>
      <c r="C5276" s="10"/>
      <c r="D5276" s="11"/>
    </row>
    <row r="5277" spans="1:4" ht="21.75" thickBot="1" x14ac:dyDescent="0.3">
      <c r="A5277" s="43"/>
      <c r="B5277" s="290"/>
      <c r="C5277" s="291"/>
      <c r="D5277" s="43"/>
    </row>
    <row r="5278" spans="1:4" ht="21.75" thickBot="1" x14ac:dyDescent="0.3">
      <c r="A5278" s="38"/>
      <c r="B5278" s="44"/>
      <c r="C5278" s="45"/>
      <c r="D5278" s="44"/>
    </row>
    <row r="5279" spans="1:4" ht="19.5" thickBot="1" x14ac:dyDescent="0.3">
      <c r="A5279" s="19"/>
      <c r="B5279" s="20"/>
      <c r="C5279" s="63"/>
      <c r="D5279" s="14"/>
    </row>
    <row r="5280" spans="1:4" ht="19.5" thickBot="1" x14ac:dyDescent="0.3">
      <c r="A5280" s="19"/>
      <c r="B5280" s="20"/>
      <c r="C5280" s="63"/>
      <c r="D5280" s="14"/>
    </row>
    <row r="5281" spans="1:4" ht="19.5" thickBot="1" x14ac:dyDescent="0.3">
      <c r="A5281" s="19"/>
      <c r="B5281" s="20"/>
      <c r="C5281" s="48"/>
      <c r="D5281" s="46"/>
    </row>
    <row r="5282" spans="1:4" ht="15.75" thickBot="1" x14ac:dyDescent="0.3">
      <c r="A5282" s="32"/>
      <c r="B5282" s="33"/>
      <c r="C5282" s="32"/>
      <c r="D5282" s="34"/>
    </row>
    <row r="5283" spans="1:4" ht="15.75" thickBot="1" x14ac:dyDescent="0.3">
      <c r="A5283" s="58"/>
      <c r="B5283" s="58"/>
      <c r="C5283" s="58"/>
      <c r="D5283" s="35"/>
    </row>
    <row r="5284" spans="1:4" ht="15.75" x14ac:dyDescent="0.25">
      <c r="A5284" s="285"/>
      <c r="B5284" s="59"/>
      <c r="C5284" s="59"/>
      <c r="D5284" s="60"/>
    </row>
    <row r="5285" spans="1:4" ht="16.5" thickBot="1" x14ac:dyDescent="0.3">
      <c r="A5285" s="286"/>
      <c r="B5285" s="62"/>
      <c r="C5285" s="62"/>
      <c r="D5285" s="61"/>
    </row>
    <row r="5286" spans="1:4" ht="15.75" x14ac:dyDescent="0.25">
      <c r="A5286" s="285"/>
      <c r="B5286" s="59"/>
      <c r="C5286" s="59"/>
      <c r="D5286" s="60"/>
    </row>
    <row r="5287" spans="1:4" ht="16.5" thickBot="1" x14ac:dyDescent="0.3">
      <c r="A5287" s="286"/>
      <c r="B5287" s="62"/>
      <c r="C5287" s="62"/>
      <c r="D5287" s="61"/>
    </row>
    <row r="5288" spans="1:4" ht="16.5" thickBot="1" x14ac:dyDescent="0.3">
      <c r="A5288" s="57"/>
      <c r="B5288" s="36"/>
      <c r="C5288" s="36"/>
      <c r="D5288" s="36"/>
    </row>
    <row r="5289" spans="1:4" ht="15.75" thickBot="1" x14ac:dyDescent="0.3">
      <c r="A5289" s="287"/>
      <c r="B5289" s="288"/>
      <c r="C5289" s="288"/>
      <c r="D5289" s="289"/>
    </row>
    <row r="5290" spans="1:4" ht="18.75" x14ac:dyDescent="0.25">
      <c r="A5290" s="5"/>
      <c r="B5290" s="6"/>
      <c r="C5290" s="7"/>
      <c r="D5290" s="8"/>
    </row>
    <row r="5291" spans="1:4" ht="19.5" thickBot="1" x14ac:dyDescent="0.3">
      <c r="A5291" s="9"/>
      <c r="B5291" s="10"/>
      <c r="C5291" s="10"/>
      <c r="D5291" s="11"/>
    </row>
    <row r="5292" spans="1:4" ht="21.75" thickBot="1" x14ac:dyDescent="0.3">
      <c r="A5292" s="43"/>
      <c r="B5292" s="290"/>
      <c r="C5292" s="291"/>
      <c r="D5292" s="43"/>
    </row>
    <row r="5293" spans="1:4" ht="21.75" thickBot="1" x14ac:dyDescent="0.3">
      <c r="A5293" s="38"/>
      <c r="B5293" s="44"/>
      <c r="C5293" s="45"/>
      <c r="D5293" s="44"/>
    </row>
    <row r="5294" spans="1:4" ht="19.5" thickBot="1" x14ac:dyDescent="0.3">
      <c r="A5294" s="19"/>
      <c r="B5294" s="20"/>
      <c r="C5294" s="63"/>
      <c r="D5294" s="14"/>
    </row>
    <row r="5295" spans="1:4" ht="19.5" thickBot="1" x14ac:dyDescent="0.3">
      <c r="A5295" s="19"/>
      <c r="B5295" s="20"/>
      <c r="C5295" s="48"/>
      <c r="D5295" s="46"/>
    </row>
    <row r="5296" spans="1:4" ht="15.75" thickBot="1" x14ac:dyDescent="0.3">
      <c r="A5296" s="32"/>
      <c r="B5296" s="33"/>
      <c r="C5296" s="32"/>
      <c r="D5296" s="34"/>
    </row>
    <row r="5297" spans="1:4" ht="15.75" thickBot="1" x14ac:dyDescent="0.3">
      <c r="A5297" s="58"/>
      <c r="B5297" s="58"/>
      <c r="C5297" s="58"/>
      <c r="D5297" s="35"/>
    </row>
    <row r="5298" spans="1:4" ht="15.75" x14ac:dyDescent="0.25">
      <c r="A5298" s="285"/>
      <c r="B5298" s="59"/>
      <c r="C5298" s="59"/>
      <c r="D5298" s="60"/>
    </row>
    <row r="5299" spans="1:4" ht="16.5" thickBot="1" x14ac:dyDescent="0.3">
      <c r="A5299" s="286"/>
      <c r="B5299" s="62"/>
      <c r="C5299" s="62"/>
      <c r="D5299" s="61"/>
    </row>
    <row r="5300" spans="1:4" ht="15.75" x14ac:dyDescent="0.25">
      <c r="A5300" s="285"/>
      <c r="B5300" s="59"/>
      <c r="C5300" s="59"/>
      <c r="D5300" s="60"/>
    </row>
    <row r="5301" spans="1:4" ht="16.5" thickBot="1" x14ac:dyDescent="0.3">
      <c r="A5301" s="286"/>
      <c r="B5301" s="62"/>
      <c r="C5301" s="62"/>
      <c r="D5301" s="61"/>
    </row>
    <row r="5302" spans="1:4" ht="16.5" thickBot="1" x14ac:dyDescent="0.3">
      <c r="A5302" s="57"/>
      <c r="B5302" s="36"/>
      <c r="C5302" s="36"/>
      <c r="D5302" s="36"/>
    </row>
    <row r="5303" spans="1:4" ht="15.75" thickBot="1" x14ac:dyDescent="0.3">
      <c r="A5303" s="287"/>
      <c r="B5303" s="288"/>
      <c r="C5303" s="288"/>
      <c r="D5303" s="289"/>
    </row>
    <row r="5304" spans="1:4" ht="18.75" x14ac:dyDescent="0.25">
      <c r="A5304" s="5"/>
      <c r="B5304" s="6"/>
      <c r="C5304" s="7"/>
      <c r="D5304" s="8"/>
    </row>
    <row r="5305" spans="1:4" ht="19.5" thickBot="1" x14ac:dyDescent="0.3">
      <c r="A5305" s="9"/>
      <c r="B5305" s="10"/>
      <c r="C5305" s="10"/>
      <c r="D5305" s="11"/>
    </row>
    <row r="5306" spans="1:4" ht="21.75" thickBot="1" x14ac:dyDescent="0.3">
      <c r="A5306" s="43"/>
      <c r="B5306" s="290"/>
      <c r="C5306" s="291"/>
      <c r="D5306" s="43"/>
    </row>
    <row r="5307" spans="1:4" ht="21.75" thickBot="1" x14ac:dyDescent="0.3">
      <c r="A5307" s="38"/>
      <c r="B5307" s="44"/>
      <c r="C5307" s="45"/>
      <c r="D5307" s="44"/>
    </row>
    <row r="5308" spans="1:4" ht="19.5" thickBot="1" x14ac:dyDescent="0.3">
      <c r="A5308" s="19"/>
      <c r="B5308" s="20"/>
      <c r="C5308" s="63"/>
      <c r="D5308" s="14"/>
    </row>
    <row r="5309" spans="1:4" ht="19.5" thickBot="1" x14ac:dyDescent="0.3">
      <c r="A5309" s="19"/>
      <c r="B5309" s="20"/>
      <c r="C5309" s="63"/>
      <c r="D5309" s="14"/>
    </row>
    <row r="5310" spans="1:4" ht="19.5" thickBot="1" x14ac:dyDescent="0.3">
      <c r="A5310" s="19"/>
      <c r="B5310" s="20"/>
      <c r="C5310" s="48"/>
      <c r="D5310" s="46"/>
    </row>
    <row r="5311" spans="1:4" ht="15.75" thickBot="1" x14ac:dyDescent="0.3">
      <c r="A5311" s="32"/>
      <c r="B5311" s="33"/>
      <c r="C5311" s="32"/>
      <c r="D5311" s="34"/>
    </row>
    <row r="5312" spans="1:4" ht="15.75" thickBot="1" x14ac:dyDescent="0.3">
      <c r="A5312" s="58"/>
      <c r="B5312" s="58"/>
      <c r="C5312" s="58"/>
      <c r="D5312" s="35"/>
    </row>
    <row r="5313" spans="1:4" ht="15.75" x14ac:dyDescent="0.25">
      <c r="A5313" s="285"/>
      <c r="B5313" s="59"/>
      <c r="C5313" s="59"/>
      <c r="D5313" s="60"/>
    </row>
    <row r="5314" spans="1:4" ht="16.5" thickBot="1" x14ac:dyDescent="0.3">
      <c r="A5314" s="286"/>
      <c r="B5314" s="62"/>
      <c r="C5314" s="62"/>
      <c r="D5314" s="61"/>
    </row>
    <row r="5315" spans="1:4" ht="15.75" x14ac:dyDescent="0.25">
      <c r="A5315" s="285"/>
      <c r="B5315" s="59"/>
      <c r="C5315" s="59"/>
      <c r="D5315" s="60"/>
    </row>
    <row r="5316" spans="1:4" ht="16.5" thickBot="1" x14ac:dyDescent="0.3">
      <c r="A5316" s="286"/>
      <c r="B5316" s="62"/>
      <c r="C5316" s="62"/>
      <c r="D5316" s="61"/>
    </row>
    <row r="5317" spans="1:4" ht="16.5" thickBot="1" x14ac:dyDescent="0.3">
      <c r="A5317" s="57"/>
      <c r="B5317" s="36"/>
      <c r="C5317" s="36"/>
      <c r="D5317" s="36"/>
    </row>
    <row r="5318" spans="1:4" ht="15.75" thickBot="1" x14ac:dyDescent="0.3">
      <c r="A5318" s="287"/>
      <c r="B5318" s="288"/>
      <c r="C5318" s="288"/>
      <c r="D5318" s="289"/>
    </row>
    <row r="5319" spans="1:4" ht="18.75" x14ac:dyDescent="0.25">
      <c r="A5319" s="5"/>
      <c r="B5319" s="6"/>
      <c r="C5319" s="7"/>
      <c r="D5319" s="8"/>
    </row>
    <row r="5320" spans="1:4" ht="19.5" thickBot="1" x14ac:dyDescent="0.3">
      <c r="A5320" s="9"/>
      <c r="B5320" s="10"/>
      <c r="C5320" s="10"/>
      <c r="D5320" s="11"/>
    </row>
    <row r="5321" spans="1:4" ht="21.75" thickBot="1" x14ac:dyDescent="0.3">
      <c r="A5321" s="43"/>
      <c r="B5321" s="290"/>
      <c r="C5321" s="291"/>
      <c r="D5321" s="43"/>
    </row>
    <row r="5322" spans="1:4" ht="21.75" thickBot="1" x14ac:dyDescent="0.3">
      <c r="A5322" s="38"/>
      <c r="B5322" s="44"/>
      <c r="C5322" s="45"/>
      <c r="D5322" s="44"/>
    </row>
    <row r="5323" spans="1:4" ht="19.5" thickBot="1" x14ac:dyDescent="0.3">
      <c r="A5323" s="19"/>
      <c r="B5323" s="20"/>
      <c r="C5323" s="63"/>
      <c r="D5323" s="14"/>
    </row>
    <row r="5324" spans="1:4" ht="19.5" thickBot="1" x14ac:dyDescent="0.3">
      <c r="A5324" s="19"/>
      <c r="B5324" s="20"/>
      <c r="C5324" s="48"/>
      <c r="D5324" s="46"/>
    </row>
    <row r="5325" spans="1:4" ht="15.75" thickBot="1" x14ac:dyDescent="0.3">
      <c r="A5325" s="32"/>
      <c r="B5325" s="33"/>
      <c r="C5325" s="32"/>
      <c r="D5325" s="34"/>
    </row>
    <row r="5326" spans="1:4" ht="15.75" thickBot="1" x14ac:dyDescent="0.3">
      <c r="A5326" s="58"/>
      <c r="B5326" s="58"/>
      <c r="C5326" s="58"/>
      <c r="D5326" s="35"/>
    </row>
    <row r="5327" spans="1:4" ht="15.75" x14ac:dyDescent="0.25">
      <c r="A5327" s="285"/>
      <c r="B5327" s="59"/>
      <c r="C5327" s="59"/>
      <c r="D5327" s="60"/>
    </row>
    <row r="5328" spans="1:4" ht="16.5" thickBot="1" x14ac:dyDescent="0.3">
      <c r="A5328" s="286"/>
      <c r="B5328" s="62"/>
      <c r="C5328" s="62"/>
      <c r="D5328" s="61"/>
    </row>
    <row r="5329" spans="1:4" ht="15.75" x14ac:dyDescent="0.25">
      <c r="A5329" s="285"/>
      <c r="B5329" s="59"/>
      <c r="C5329" s="59"/>
      <c r="D5329" s="60"/>
    </row>
    <row r="5330" spans="1:4" ht="16.5" thickBot="1" x14ac:dyDescent="0.3">
      <c r="A5330" s="286"/>
      <c r="B5330" s="62"/>
      <c r="C5330" s="62"/>
      <c r="D5330" s="61"/>
    </row>
    <row r="5331" spans="1:4" ht="16.5" thickBot="1" x14ac:dyDescent="0.3">
      <c r="A5331" s="57"/>
      <c r="B5331" s="36"/>
      <c r="C5331" s="36"/>
      <c r="D5331" s="36"/>
    </row>
    <row r="5332" spans="1:4" ht="15.75" thickBot="1" x14ac:dyDescent="0.3">
      <c r="A5332" s="287"/>
      <c r="B5332" s="288"/>
      <c r="C5332" s="288"/>
      <c r="D5332" s="289"/>
    </row>
    <row r="5333" spans="1:4" ht="18.75" x14ac:dyDescent="0.25">
      <c r="A5333" s="5"/>
      <c r="B5333" s="6"/>
      <c r="C5333" s="7"/>
      <c r="D5333" s="8"/>
    </row>
    <row r="5334" spans="1:4" ht="19.5" thickBot="1" x14ac:dyDescent="0.3">
      <c r="A5334" s="9"/>
      <c r="B5334" s="10"/>
      <c r="C5334" s="10"/>
      <c r="D5334" s="11"/>
    </row>
    <row r="5335" spans="1:4" ht="21.75" thickBot="1" x14ac:dyDescent="0.3">
      <c r="A5335" s="43"/>
      <c r="B5335" s="290"/>
      <c r="C5335" s="291"/>
      <c r="D5335" s="43"/>
    </row>
    <row r="5336" spans="1:4" ht="21.75" thickBot="1" x14ac:dyDescent="0.3">
      <c r="A5336" s="38"/>
      <c r="B5336" s="44"/>
      <c r="C5336" s="45"/>
      <c r="D5336" s="44"/>
    </row>
    <row r="5337" spans="1:4" ht="19.5" thickBot="1" x14ac:dyDescent="0.3">
      <c r="A5337" s="19"/>
      <c r="B5337" s="20"/>
      <c r="C5337" s="63"/>
      <c r="D5337" s="14"/>
    </row>
    <row r="5338" spans="1:4" ht="19.5" thickBot="1" x14ac:dyDescent="0.3">
      <c r="A5338" s="19"/>
      <c r="B5338" s="20"/>
      <c r="C5338" s="63"/>
      <c r="D5338" s="14"/>
    </row>
    <row r="5339" spans="1:4" ht="19.5" thickBot="1" x14ac:dyDescent="0.3">
      <c r="A5339" s="19"/>
      <c r="B5339" s="20"/>
      <c r="C5339" s="48"/>
      <c r="D5339" s="46"/>
    </row>
    <row r="5340" spans="1:4" ht="15.75" thickBot="1" x14ac:dyDescent="0.3">
      <c r="A5340" s="32"/>
      <c r="B5340" s="33"/>
      <c r="C5340" s="32"/>
      <c r="D5340" s="34"/>
    </row>
    <row r="5341" spans="1:4" ht="15.75" thickBot="1" x14ac:dyDescent="0.3">
      <c r="A5341" s="58"/>
      <c r="B5341" s="58"/>
      <c r="C5341" s="58"/>
      <c r="D5341" s="35"/>
    </row>
    <row r="5342" spans="1:4" ht="15.75" x14ac:dyDescent="0.25">
      <c r="A5342" s="285"/>
      <c r="B5342" s="59"/>
      <c r="C5342" s="59"/>
      <c r="D5342" s="60"/>
    </row>
    <row r="5343" spans="1:4" ht="16.5" thickBot="1" x14ac:dyDescent="0.3">
      <c r="A5343" s="286"/>
      <c r="B5343" s="62"/>
      <c r="C5343" s="62"/>
      <c r="D5343" s="61"/>
    </row>
    <row r="5344" spans="1:4" ht="15.75" x14ac:dyDescent="0.25">
      <c r="A5344" s="285"/>
      <c r="B5344" s="59"/>
      <c r="C5344" s="59"/>
      <c r="D5344" s="60"/>
    </row>
    <row r="5345" spans="1:4" ht="16.5" thickBot="1" x14ac:dyDescent="0.3">
      <c r="A5345" s="286"/>
      <c r="B5345" s="62"/>
      <c r="C5345" s="62"/>
      <c r="D5345" s="61"/>
    </row>
    <row r="5346" spans="1:4" ht="16.5" thickBot="1" x14ac:dyDescent="0.3">
      <c r="A5346" s="57"/>
      <c r="B5346" s="36"/>
      <c r="C5346" s="36"/>
      <c r="D5346" s="36"/>
    </row>
    <row r="5347" spans="1:4" ht="15.75" thickBot="1" x14ac:dyDescent="0.3">
      <c r="A5347" s="287"/>
      <c r="B5347" s="288"/>
      <c r="C5347" s="288"/>
      <c r="D5347" s="289"/>
    </row>
    <row r="5348" spans="1:4" ht="18.75" x14ac:dyDescent="0.25">
      <c r="A5348" s="5"/>
      <c r="B5348" s="6"/>
      <c r="C5348" s="7"/>
      <c r="D5348" s="8"/>
    </row>
    <row r="5349" spans="1:4" ht="19.5" thickBot="1" x14ac:dyDescent="0.3">
      <c r="A5349" s="9"/>
      <c r="B5349" s="10"/>
      <c r="C5349" s="10"/>
      <c r="D5349" s="11"/>
    </row>
    <row r="5350" spans="1:4" ht="21.75" thickBot="1" x14ac:dyDescent="0.3">
      <c r="A5350" s="43"/>
      <c r="B5350" s="290"/>
      <c r="C5350" s="291"/>
      <c r="D5350" s="43"/>
    </row>
    <row r="5351" spans="1:4" ht="21.75" thickBot="1" x14ac:dyDescent="0.3">
      <c r="A5351" s="38"/>
      <c r="B5351" s="44"/>
      <c r="C5351" s="45"/>
      <c r="D5351" s="44"/>
    </row>
    <row r="5352" spans="1:4" ht="19.5" thickBot="1" x14ac:dyDescent="0.3">
      <c r="A5352" s="19"/>
      <c r="B5352" s="20"/>
      <c r="C5352" s="63"/>
      <c r="D5352" s="14"/>
    </row>
    <row r="5353" spans="1:4" ht="19.5" thickBot="1" x14ac:dyDescent="0.3">
      <c r="A5353" s="19"/>
      <c r="B5353" s="20"/>
      <c r="C5353" s="48"/>
      <c r="D5353" s="46"/>
    </row>
    <row r="5354" spans="1:4" ht="15.75" thickBot="1" x14ac:dyDescent="0.3">
      <c r="A5354" s="32"/>
      <c r="B5354" s="33"/>
      <c r="C5354" s="32"/>
      <c r="D5354" s="34"/>
    </row>
    <row r="5355" spans="1:4" ht="15.75" thickBot="1" x14ac:dyDescent="0.3">
      <c r="A5355" s="58"/>
      <c r="B5355" s="58"/>
      <c r="C5355" s="58"/>
      <c r="D5355" s="35"/>
    </row>
    <row r="5356" spans="1:4" ht="15.75" x14ac:dyDescent="0.25">
      <c r="A5356" s="285"/>
      <c r="B5356" s="59"/>
      <c r="C5356" s="59"/>
      <c r="D5356" s="60"/>
    </row>
    <row r="5357" spans="1:4" ht="16.5" thickBot="1" x14ac:dyDescent="0.3">
      <c r="A5357" s="286"/>
      <c r="B5357" s="62"/>
      <c r="C5357" s="62"/>
      <c r="D5357" s="61"/>
    </row>
    <row r="5358" spans="1:4" ht="15.75" x14ac:dyDescent="0.25">
      <c r="A5358" s="285"/>
      <c r="B5358" s="59"/>
      <c r="C5358" s="59"/>
      <c r="D5358" s="60"/>
    </row>
    <row r="5359" spans="1:4" ht="16.5" thickBot="1" x14ac:dyDescent="0.3">
      <c r="A5359" s="286"/>
      <c r="B5359" s="62"/>
      <c r="C5359" s="62"/>
      <c r="D5359" s="61"/>
    </row>
    <row r="5360" spans="1:4" ht="16.5" thickBot="1" x14ac:dyDescent="0.3">
      <c r="A5360" s="57"/>
      <c r="B5360" s="36"/>
      <c r="C5360" s="36"/>
      <c r="D5360" s="36"/>
    </row>
    <row r="5361" spans="1:4" ht="15.75" thickBot="1" x14ac:dyDescent="0.3">
      <c r="A5361" s="287"/>
      <c r="B5361" s="288"/>
      <c r="C5361" s="288"/>
      <c r="D5361" s="289"/>
    </row>
    <row r="5362" spans="1:4" ht="18.75" x14ac:dyDescent="0.25">
      <c r="A5362" s="5"/>
      <c r="B5362" s="6"/>
      <c r="C5362" s="7"/>
      <c r="D5362" s="8"/>
    </row>
    <row r="5363" spans="1:4" ht="19.5" thickBot="1" x14ac:dyDescent="0.3">
      <c r="A5363" s="9"/>
      <c r="B5363" s="10"/>
      <c r="C5363" s="10"/>
      <c r="D5363" s="11"/>
    </row>
    <row r="5364" spans="1:4" ht="21.75" thickBot="1" x14ac:dyDescent="0.3">
      <c r="A5364" s="43"/>
      <c r="B5364" s="290"/>
      <c r="C5364" s="291"/>
      <c r="D5364" s="43"/>
    </row>
    <row r="5365" spans="1:4" ht="21.75" thickBot="1" x14ac:dyDescent="0.3">
      <c r="A5365" s="38"/>
      <c r="B5365" s="44"/>
      <c r="C5365" s="45"/>
      <c r="D5365" s="44"/>
    </row>
    <row r="5366" spans="1:4" ht="19.5" thickBot="1" x14ac:dyDescent="0.3">
      <c r="A5366" s="19"/>
      <c r="B5366" s="20"/>
      <c r="C5366" s="63"/>
      <c r="D5366" s="14"/>
    </row>
    <row r="5367" spans="1:4" ht="19.5" thickBot="1" x14ac:dyDescent="0.3">
      <c r="A5367" s="19"/>
      <c r="B5367" s="20"/>
      <c r="C5367" s="63"/>
      <c r="D5367" s="14"/>
    </row>
    <row r="5368" spans="1:4" ht="19.5" thickBot="1" x14ac:dyDescent="0.3">
      <c r="A5368" s="19"/>
      <c r="B5368" s="20"/>
      <c r="C5368" s="48"/>
      <c r="D5368" s="46"/>
    </row>
    <row r="5369" spans="1:4" ht="15.75" thickBot="1" x14ac:dyDescent="0.3">
      <c r="A5369" s="32"/>
      <c r="B5369" s="33"/>
      <c r="C5369" s="32"/>
      <c r="D5369" s="34"/>
    </row>
    <row r="5370" spans="1:4" ht="15.75" thickBot="1" x14ac:dyDescent="0.3">
      <c r="A5370" s="58"/>
      <c r="B5370" s="58"/>
      <c r="C5370" s="58"/>
      <c r="D5370" s="35"/>
    </row>
    <row r="5371" spans="1:4" ht="15.75" x14ac:dyDescent="0.25">
      <c r="A5371" s="285"/>
      <c r="B5371" s="59"/>
      <c r="C5371" s="59"/>
      <c r="D5371" s="60"/>
    </row>
    <row r="5372" spans="1:4" ht="16.5" thickBot="1" x14ac:dyDescent="0.3">
      <c r="A5372" s="286"/>
      <c r="B5372" s="62"/>
      <c r="C5372" s="62"/>
      <c r="D5372" s="61"/>
    </row>
    <row r="5373" spans="1:4" ht="15.75" x14ac:dyDescent="0.25">
      <c r="A5373" s="285"/>
      <c r="B5373" s="59"/>
      <c r="C5373" s="59"/>
      <c r="D5373" s="60"/>
    </row>
    <row r="5374" spans="1:4" ht="16.5" thickBot="1" x14ac:dyDescent="0.3">
      <c r="A5374" s="286"/>
      <c r="B5374" s="62"/>
      <c r="C5374" s="62"/>
      <c r="D5374" s="61"/>
    </row>
    <row r="5375" spans="1:4" ht="16.5" thickBot="1" x14ac:dyDescent="0.3">
      <c r="A5375" s="57"/>
      <c r="B5375" s="36"/>
      <c r="C5375" s="36"/>
      <c r="D5375" s="36"/>
    </row>
    <row r="5376" spans="1:4" ht="15.75" thickBot="1" x14ac:dyDescent="0.3">
      <c r="A5376" s="287"/>
      <c r="B5376" s="288"/>
      <c r="C5376" s="288"/>
      <c r="D5376" s="289"/>
    </row>
    <row r="5377" spans="1:4" ht="18.75" x14ac:dyDescent="0.25">
      <c r="A5377" s="5"/>
      <c r="B5377" s="6"/>
      <c r="C5377" s="7"/>
      <c r="D5377" s="8"/>
    </row>
    <row r="5378" spans="1:4" ht="19.5" thickBot="1" x14ac:dyDescent="0.3">
      <c r="A5378" s="9"/>
      <c r="B5378" s="10"/>
      <c r="C5378" s="10"/>
      <c r="D5378" s="11"/>
    </row>
    <row r="5379" spans="1:4" ht="21.75" thickBot="1" x14ac:dyDescent="0.3">
      <c r="A5379" s="43"/>
      <c r="B5379" s="290"/>
      <c r="C5379" s="291"/>
      <c r="D5379" s="43"/>
    </row>
    <row r="5380" spans="1:4" ht="21.75" thickBot="1" x14ac:dyDescent="0.3">
      <c r="A5380" s="38"/>
      <c r="B5380" s="44"/>
      <c r="C5380" s="45"/>
      <c r="D5380" s="44"/>
    </row>
    <row r="5381" spans="1:4" ht="19.5" thickBot="1" x14ac:dyDescent="0.3">
      <c r="A5381" s="19"/>
      <c r="B5381" s="20"/>
      <c r="C5381" s="63"/>
      <c r="D5381" s="14"/>
    </row>
    <row r="5382" spans="1:4" ht="19.5" thickBot="1" x14ac:dyDescent="0.3">
      <c r="A5382" s="19"/>
      <c r="B5382" s="20"/>
      <c r="C5382" s="48"/>
      <c r="D5382" s="46"/>
    </row>
    <row r="5383" spans="1:4" ht="15.75" thickBot="1" x14ac:dyDescent="0.3">
      <c r="A5383" s="32"/>
      <c r="B5383" s="33"/>
      <c r="C5383" s="32"/>
      <c r="D5383" s="34"/>
    </row>
    <row r="5384" spans="1:4" ht="15.75" thickBot="1" x14ac:dyDescent="0.3">
      <c r="A5384" s="58"/>
      <c r="B5384" s="58"/>
      <c r="C5384" s="58"/>
      <c r="D5384" s="35"/>
    </row>
    <row r="5385" spans="1:4" ht="15.75" x14ac:dyDescent="0.25">
      <c r="A5385" s="285"/>
      <c r="B5385" s="59"/>
      <c r="C5385" s="59"/>
      <c r="D5385" s="60"/>
    </row>
    <row r="5386" spans="1:4" ht="16.5" thickBot="1" x14ac:dyDescent="0.3">
      <c r="A5386" s="286"/>
      <c r="B5386" s="62"/>
      <c r="C5386" s="62"/>
      <c r="D5386" s="61"/>
    </row>
    <row r="5387" spans="1:4" ht="15.75" x14ac:dyDescent="0.25">
      <c r="A5387" s="285"/>
      <c r="B5387" s="59"/>
      <c r="C5387" s="59"/>
      <c r="D5387" s="60"/>
    </row>
    <row r="5388" spans="1:4" ht="16.5" thickBot="1" x14ac:dyDescent="0.3">
      <c r="A5388" s="286"/>
      <c r="B5388" s="62"/>
      <c r="C5388" s="62"/>
      <c r="D5388" s="61"/>
    </row>
    <row r="5389" spans="1:4" ht="16.5" thickBot="1" x14ac:dyDescent="0.3">
      <c r="A5389" s="57"/>
      <c r="B5389" s="36"/>
      <c r="C5389" s="36"/>
      <c r="D5389" s="36"/>
    </row>
    <row r="5390" spans="1:4" ht="15.75" thickBot="1" x14ac:dyDescent="0.3">
      <c r="A5390" s="287"/>
      <c r="B5390" s="288"/>
      <c r="C5390" s="288"/>
      <c r="D5390" s="289"/>
    </row>
    <row r="5391" spans="1:4" ht="18.75" x14ac:dyDescent="0.25">
      <c r="A5391" s="5"/>
      <c r="B5391" s="6"/>
      <c r="C5391" s="7"/>
      <c r="D5391" s="8"/>
    </row>
    <row r="5392" spans="1:4" ht="19.5" thickBot="1" x14ac:dyDescent="0.3">
      <c r="A5392" s="9"/>
      <c r="B5392" s="10"/>
      <c r="C5392" s="10"/>
      <c r="D5392" s="11"/>
    </row>
    <row r="5393" spans="1:4" ht="21.75" thickBot="1" x14ac:dyDescent="0.3">
      <c r="A5393" s="43"/>
      <c r="B5393" s="290"/>
      <c r="C5393" s="291"/>
      <c r="D5393" s="43"/>
    </row>
    <row r="5394" spans="1:4" ht="21.75" thickBot="1" x14ac:dyDescent="0.3">
      <c r="A5394" s="38"/>
      <c r="B5394" s="44"/>
      <c r="C5394" s="45"/>
      <c r="D5394" s="44"/>
    </row>
    <row r="5395" spans="1:4" ht="19.5" thickBot="1" x14ac:dyDescent="0.3">
      <c r="A5395" s="19"/>
      <c r="B5395" s="20"/>
      <c r="C5395" s="63"/>
      <c r="D5395" s="14"/>
    </row>
    <row r="5396" spans="1:4" ht="19.5" thickBot="1" x14ac:dyDescent="0.3">
      <c r="A5396" s="19"/>
      <c r="B5396" s="20"/>
      <c r="C5396" s="63"/>
      <c r="D5396" s="14"/>
    </row>
    <row r="5397" spans="1:4" ht="19.5" thickBot="1" x14ac:dyDescent="0.3">
      <c r="A5397" s="19"/>
      <c r="B5397" s="20"/>
      <c r="C5397" s="48"/>
      <c r="D5397" s="46"/>
    </row>
    <row r="5398" spans="1:4" ht="15.75" thickBot="1" x14ac:dyDescent="0.3">
      <c r="A5398" s="32"/>
      <c r="B5398" s="33"/>
      <c r="C5398" s="32"/>
      <c r="D5398" s="34"/>
    </row>
    <row r="5399" spans="1:4" ht="15.75" thickBot="1" x14ac:dyDescent="0.3">
      <c r="A5399" s="58"/>
      <c r="B5399" s="58"/>
      <c r="C5399" s="58"/>
      <c r="D5399" s="35"/>
    </row>
    <row r="5400" spans="1:4" ht="15.75" x14ac:dyDescent="0.25">
      <c r="A5400" s="285"/>
      <c r="B5400" s="59"/>
      <c r="C5400" s="59"/>
      <c r="D5400" s="60"/>
    </row>
    <row r="5401" spans="1:4" ht="16.5" thickBot="1" x14ac:dyDescent="0.3">
      <c r="A5401" s="286"/>
      <c r="B5401" s="62"/>
      <c r="C5401" s="62"/>
      <c r="D5401" s="61"/>
    </row>
    <row r="5402" spans="1:4" ht="15.75" x14ac:dyDescent="0.25">
      <c r="A5402" s="285"/>
      <c r="B5402" s="59"/>
      <c r="C5402" s="59"/>
      <c r="D5402" s="60"/>
    </row>
    <row r="5403" spans="1:4" ht="16.5" thickBot="1" x14ac:dyDescent="0.3">
      <c r="A5403" s="286"/>
      <c r="B5403" s="62"/>
      <c r="C5403" s="62"/>
      <c r="D5403" s="61"/>
    </row>
    <row r="5404" spans="1:4" ht="16.5" thickBot="1" x14ac:dyDescent="0.3">
      <c r="A5404" s="57"/>
      <c r="B5404" s="36"/>
      <c r="C5404" s="36"/>
      <c r="D5404" s="36"/>
    </row>
    <row r="5405" spans="1:4" ht="15.75" thickBot="1" x14ac:dyDescent="0.3">
      <c r="A5405" s="287"/>
      <c r="B5405" s="288"/>
      <c r="C5405" s="288"/>
      <c r="D5405" s="289"/>
    </row>
    <row r="5406" spans="1:4" ht="18.75" x14ac:dyDescent="0.25">
      <c r="A5406" s="5"/>
      <c r="B5406" s="6"/>
      <c r="C5406" s="7"/>
      <c r="D5406" s="8"/>
    </row>
    <row r="5407" spans="1:4" ht="19.5" thickBot="1" x14ac:dyDescent="0.3">
      <c r="A5407" s="9"/>
      <c r="B5407" s="10"/>
      <c r="C5407" s="10"/>
      <c r="D5407" s="11"/>
    </row>
    <row r="5408" spans="1:4" ht="21.75" thickBot="1" x14ac:dyDescent="0.3">
      <c r="A5408" s="43"/>
      <c r="B5408" s="290"/>
      <c r="C5408" s="291"/>
      <c r="D5408" s="43"/>
    </row>
    <row r="5409" spans="1:4" ht="21.75" thickBot="1" x14ac:dyDescent="0.3">
      <c r="A5409" s="38"/>
      <c r="B5409" s="44"/>
      <c r="C5409" s="45"/>
      <c r="D5409" s="44"/>
    </row>
    <row r="5410" spans="1:4" ht="19.5" thickBot="1" x14ac:dyDescent="0.3">
      <c r="A5410" s="19"/>
      <c r="B5410" s="20"/>
      <c r="C5410" s="63"/>
      <c r="D5410" s="14"/>
    </row>
    <row r="5411" spans="1:4" ht="19.5" thickBot="1" x14ac:dyDescent="0.3">
      <c r="A5411" s="19"/>
      <c r="B5411" s="20"/>
      <c r="C5411" s="48"/>
      <c r="D5411" s="46"/>
    </row>
    <row r="5412" spans="1:4" ht="15.75" thickBot="1" x14ac:dyDescent="0.3">
      <c r="A5412" s="32"/>
      <c r="B5412" s="33"/>
      <c r="C5412" s="32"/>
      <c r="D5412" s="34"/>
    </row>
    <row r="5413" spans="1:4" ht="15.75" thickBot="1" x14ac:dyDescent="0.3">
      <c r="A5413" s="58"/>
      <c r="B5413" s="58"/>
      <c r="C5413" s="58"/>
      <c r="D5413" s="35"/>
    </row>
    <row r="5414" spans="1:4" ht="15.75" x14ac:dyDescent="0.25">
      <c r="A5414" s="285"/>
      <c r="B5414" s="59"/>
      <c r="C5414" s="59"/>
      <c r="D5414" s="60"/>
    </row>
    <row r="5415" spans="1:4" ht="16.5" thickBot="1" x14ac:dyDescent="0.3">
      <c r="A5415" s="286"/>
      <c r="B5415" s="62"/>
      <c r="C5415" s="62"/>
      <c r="D5415" s="61"/>
    </row>
    <row r="5416" spans="1:4" ht="15.75" x14ac:dyDescent="0.25">
      <c r="A5416" s="285"/>
      <c r="B5416" s="59"/>
      <c r="C5416" s="59"/>
      <c r="D5416" s="60"/>
    </row>
    <row r="5417" spans="1:4" ht="16.5" thickBot="1" x14ac:dyDescent="0.3">
      <c r="A5417" s="286"/>
      <c r="B5417" s="62"/>
      <c r="C5417" s="62"/>
      <c r="D5417" s="61"/>
    </row>
    <row r="5418" spans="1:4" ht="16.5" thickBot="1" x14ac:dyDescent="0.3">
      <c r="A5418" s="57"/>
      <c r="B5418" s="36"/>
      <c r="C5418" s="36"/>
      <c r="D5418" s="36"/>
    </row>
    <row r="5419" spans="1:4" ht="15.75" thickBot="1" x14ac:dyDescent="0.3">
      <c r="A5419" s="287"/>
      <c r="B5419" s="288"/>
      <c r="C5419" s="288"/>
      <c r="D5419" s="289"/>
    </row>
    <row r="5420" spans="1:4" x14ac:dyDescent="0.25">
      <c r="A5420" s="36"/>
      <c r="B5420" s="36"/>
      <c r="C5420" s="36"/>
      <c r="D5420" s="36"/>
    </row>
  </sheetData>
  <mergeCells count="1495">
    <mergeCell ref="A5197:A5198"/>
    <mergeCell ref="A5202:D5202"/>
    <mergeCell ref="B5205:C5205"/>
    <mergeCell ref="A5240:A5241"/>
    <mergeCell ref="A5242:A5243"/>
    <mergeCell ref="A5245:D5245"/>
    <mergeCell ref="A5155:A5156"/>
    <mergeCell ref="A5158:D5158"/>
    <mergeCell ref="B5161:C5161"/>
    <mergeCell ref="A5170:A5171"/>
    <mergeCell ref="A5173:D5173"/>
    <mergeCell ref="B5176:C5176"/>
    <mergeCell ref="A5414:A5415"/>
    <mergeCell ref="A5416:A5417"/>
    <mergeCell ref="A5419:D5419"/>
    <mergeCell ref="A5376:D5376"/>
    <mergeCell ref="B5379:C5379"/>
    <mergeCell ref="A5385:A5386"/>
    <mergeCell ref="A5387:A5388"/>
    <mergeCell ref="A5390:D5390"/>
    <mergeCell ref="B5393:C5393"/>
    <mergeCell ref="B5335:C5335"/>
    <mergeCell ref="A5342:A5343"/>
    <mergeCell ref="A5344:A5345"/>
    <mergeCell ref="A5347:D5347"/>
    <mergeCell ref="B5350:C5350"/>
    <mergeCell ref="A5356:A5357"/>
    <mergeCell ref="A5303:D5303"/>
    <mergeCell ref="B5306:C5306"/>
    <mergeCell ref="A5315:A5316"/>
    <mergeCell ref="A5318:D5318"/>
    <mergeCell ref="B5321:C5321"/>
    <mergeCell ref="A5110:A5111"/>
    <mergeCell ref="A5112:A5113"/>
    <mergeCell ref="A5115:D5115"/>
    <mergeCell ref="B5118:C5118"/>
    <mergeCell ref="A5124:A5125"/>
    <mergeCell ref="A5126:A5127"/>
    <mergeCell ref="A5086:D5086"/>
    <mergeCell ref="B5089:C5089"/>
    <mergeCell ref="A5095:A5096"/>
    <mergeCell ref="A5097:A5098"/>
    <mergeCell ref="A5100:D5100"/>
    <mergeCell ref="B5103:C5103"/>
    <mergeCell ref="A5039:A5040"/>
    <mergeCell ref="A5042:D5042"/>
    <mergeCell ref="B5045:C5045"/>
    <mergeCell ref="A5052:A5053"/>
    <mergeCell ref="A5054:A5055"/>
    <mergeCell ref="A5057:D5057"/>
    <mergeCell ref="A5068:A5069"/>
    <mergeCell ref="A5071:D5071"/>
    <mergeCell ref="A4981:A4982"/>
    <mergeCell ref="A4984:D4984"/>
    <mergeCell ref="B4987:C4987"/>
    <mergeCell ref="A4936:A4937"/>
    <mergeCell ref="A4938:A4939"/>
    <mergeCell ref="A4941:D4941"/>
    <mergeCell ref="B4944:C4944"/>
    <mergeCell ref="A4950:A4951"/>
    <mergeCell ref="A4952:A4953"/>
    <mergeCell ref="A4999:D4999"/>
    <mergeCell ref="B5002:C5002"/>
    <mergeCell ref="A4955:D4955"/>
    <mergeCell ref="B4958:C4958"/>
    <mergeCell ref="A4965:A4966"/>
    <mergeCell ref="A4967:A4968"/>
    <mergeCell ref="A4994:A4995"/>
    <mergeCell ref="A4996:A4997"/>
    <mergeCell ref="A4805:A4806"/>
    <mergeCell ref="A4810:D4810"/>
    <mergeCell ref="B4813:C4813"/>
    <mergeCell ref="A4820:A4821"/>
    <mergeCell ref="A4822:A4823"/>
    <mergeCell ref="A4825:D4825"/>
    <mergeCell ref="A4749:A4750"/>
    <mergeCell ref="A4752:D4752"/>
    <mergeCell ref="B4755:C4755"/>
    <mergeCell ref="A4762:A4763"/>
    <mergeCell ref="A4764:A4765"/>
    <mergeCell ref="A4767:D4767"/>
    <mergeCell ref="A4796:D4796"/>
    <mergeCell ref="B4799:C4799"/>
    <mergeCell ref="A4807:A4808"/>
    <mergeCell ref="A4776:A4777"/>
    <mergeCell ref="A4778:A4779"/>
    <mergeCell ref="A4781:D4781"/>
    <mergeCell ref="B4784:C4784"/>
    <mergeCell ref="A4791:A4792"/>
    <mergeCell ref="A4793:A4794"/>
    <mergeCell ref="B4697:C4697"/>
    <mergeCell ref="A4704:A4705"/>
    <mergeCell ref="A4706:A4707"/>
    <mergeCell ref="A4709:D4709"/>
    <mergeCell ref="B4712:C4712"/>
    <mergeCell ref="A4720:A4721"/>
    <mergeCell ref="A4660:A4661"/>
    <mergeCell ref="A4662:A4663"/>
    <mergeCell ref="A4665:D4665"/>
    <mergeCell ref="B4668:C4668"/>
    <mergeCell ref="A4675:A4676"/>
    <mergeCell ref="A4677:A4678"/>
    <mergeCell ref="A4636:D4636"/>
    <mergeCell ref="B4639:C4639"/>
    <mergeCell ref="A4646:A4647"/>
    <mergeCell ref="A4648:A4649"/>
    <mergeCell ref="A4651:D4651"/>
    <mergeCell ref="B4654:C4654"/>
    <mergeCell ref="A4718:A4719"/>
    <mergeCell ref="A4694:D4694"/>
    <mergeCell ref="A4617:A4618"/>
    <mergeCell ref="A4619:A4620"/>
    <mergeCell ref="A4622:D4622"/>
    <mergeCell ref="B4625:C4625"/>
    <mergeCell ref="A4631:A4632"/>
    <mergeCell ref="A4633:A4634"/>
    <mergeCell ref="B4581:C4581"/>
    <mergeCell ref="A4588:A4589"/>
    <mergeCell ref="A4590:A4591"/>
    <mergeCell ref="A4593:D4593"/>
    <mergeCell ref="B4596:C4596"/>
    <mergeCell ref="A4602:A4603"/>
    <mergeCell ref="A4561:A4562"/>
    <mergeCell ref="A4564:D4564"/>
    <mergeCell ref="B4567:C4567"/>
    <mergeCell ref="A4573:A4574"/>
    <mergeCell ref="A4575:A4576"/>
    <mergeCell ref="A4578:D4578"/>
    <mergeCell ref="A4607:D4607"/>
    <mergeCell ref="B4610:C4610"/>
    <mergeCell ref="A4503:A4504"/>
    <mergeCell ref="A4419:D4419"/>
    <mergeCell ref="B4422:C4422"/>
    <mergeCell ref="A4428:A4429"/>
    <mergeCell ref="A4430:A4431"/>
    <mergeCell ref="A4433:D4433"/>
    <mergeCell ref="B4436:C4436"/>
    <mergeCell ref="A4443:A4444"/>
    <mergeCell ref="A4445:A4446"/>
    <mergeCell ref="A4448:D4448"/>
    <mergeCell ref="B4451:C4451"/>
    <mergeCell ref="B4509:C4509"/>
    <mergeCell ref="A4457:A4458"/>
    <mergeCell ref="A4459:A4460"/>
    <mergeCell ref="A4462:D4462"/>
    <mergeCell ref="B4465:C4465"/>
    <mergeCell ref="A4472:A4473"/>
    <mergeCell ref="A4474:A4475"/>
    <mergeCell ref="B4248:C4248"/>
    <mergeCell ref="A4370:A4371"/>
    <mergeCell ref="A4372:A4373"/>
    <mergeCell ref="A4375:D4375"/>
    <mergeCell ref="B4378:C4378"/>
    <mergeCell ref="B4320:C4320"/>
    <mergeCell ref="A4327:A4328"/>
    <mergeCell ref="A4329:A4330"/>
    <mergeCell ref="A4332:D4332"/>
    <mergeCell ref="B4277:C4277"/>
    <mergeCell ref="A4285:A4286"/>
    <mergeCell ref="A4288:D4288"/>
    <mergeCell ref="B4291:C4291"/>
    <mergeCell ref="A4254:A4255"/>
    <mergeCell ref="A4256:A4257"/>
    <mergeCell ref="A4271:A4272"/>
    <mergeCell ref="A4274:D4274"/>
    <mergeCell ref="A4259:D4259"/>
    <mergeCell ref="B4262:C4262"/>
    <mergeCell ref="A4172:D4172"/>
    <mergeCell ref="B4175:C4175"/>
    <mergeCell ref="B4117:C4117"/>
    <mergeCell ref="A4124:A4125"/>
    <mergeCell ref="A4126:A4127"/>
    <mergeCell ref="A4129:D4129"/>
    <mergeCell ref="B4132:C4132"/>
    <mergeCell ref="A4138:A4139"/>
    <mergeCell ref="A4230:D4230"/>
    <mergeCell ref="B4233:C4233"/>
    <mergeCell ref="A4240:A4241"/>
    <mergeCell ref="A4242:A4243"/>
    <mergeCell ref="A4245:D4245"/>
    <mergeCell ref="A4182:A4183"/>
    <mergeCell ref="A4184:A4185"/>
    <mergeCell ref="A4187:D4187"/>
    <mergeCell ref="B4190:C4190"/>
    <mergeCell ref="A4140:A4141"/>
    <mergeCell ref="A4143:D4143"/>
    <mergeCell ref="B4146:C4146"/>
    <mergeCell ref="B3871:C3871"/>
    <mergeCell ref="A4082:A4083"/>
    <mergeCell ref="A4085:D4085"/>
    <mergeCell ref="B4088:C4088"/>
    <mergeCell ref="A4097:A4098"/>
    <mergeCell ref="A4100:D4100"/>
    <mergeCell ref="B4103:C4103"/>
    <mergeCell ref="B4030:C4030"/>
    <mergeCell ref="A4066:A4067"/>
    <mergeCell ref="A4068:A4069"/>
    <mergeCell ref="A4071:D4071"/>
    <mergeCell ref="B4074:C4074"/>
    <mergeCell ref="A4080:A4081"/>
    <mergeCell ref="B3987:C3987"/>
    <mergeCell ref="A3993:A3994"/>
    <mergeCell ref="A3998:D3998"/>
    <mergeCell ref="B4001:C4001"/>
    <mergeCell ref="A4008:A4009"/>
    <mergeCell ref="A4010:A4011"/>
    <mergeCell ref="A3995:A3996"/>
    <mergeCell ref="B4045:C4045"/>
    <mergeCell ref="A4051:A4052"/>
    <mergeCell ref="A4053:A4054"/>
    <mergeCell ref="A4056:D4056"/>
    <mergeCell ref="B4059:C4059"/>
    <mergeCell ref="A4013:D4013"/>
    <mergeCell ref="B4016:C4016"/>
    <mergeCell ref="A4022:A4023"/>
    <mergeCell ref="A4095:A4096"/>
    <mergeCell ref="A4037:A4038"/>
    <mergeCell ref="A4039:A4040"/>
    <mergeCell ref="A4042:D4042"/>
    <mergeCell ref="A3781:D3781"/>
    <mergeCell ref="B3784:C3784"/>
    <mergeCell ref="A3790:A3791"/>
    <mergeCell ref="A3792:A3793"/>
    <mergeCell ref="A3795:D3795"/>
    <mergeCell ref="B3798:C3798"/>
    <mergeCell ref="A3752:D3752"/>
    <mergeCell ref="B3755:C3755"/>
    <mergeCell ref="A3761:A3762"/>
    <mergeCell ref="A3763:A3764"/>
    <mergeCell ref="A3766:D3766"/>
    <mergeCell ref="B3769:C3769"/>
    <mergeCell ref="B3711:C3711"/>
    <mergeCell ref="A3718:A3719"/>
    <mergeCell ref="A3720:A3721"/>
    <mergeCell ref="A3723:D3723"/>
    <mergeCell ref="B3726:C3726"/>
    <mergeCell ref="A3732:A3733"/>
    <mergeCell ref="A3737:D3737"/>
    <mergeCell ref="B3740:C3740"/>
    <mergeCell ref="A3747:A3748"/>
    <mergeCell ref="A3384:A3385"/>
    <mergeCell ref="A3386:A3387"/>
    <mergeCell ref="A3389:D3389"/>
    <mergeCell ref="B3392:C3392"/>
    <mergeCell ref="A3355:A3356"/>
    <mergeCell ref="A3357:A3358"/>
    <mergeCell ref="A3360:D3360"/>
    <mergeCell ref="B3363:C3363"/>
    <mergeCell ref="A3370:A3371"/>
    <mergeCell ref="A3372:A3373"/>
    <mergeCell ref="A3326:A3327"/>
    <mergeCell ref="A3328:A3329"/>
    <mergeCell ref="A3331:D3331"/>
    <mergeCell ref="B3334:C3334"/>
    <mergeCell ref="A3341:A3342"/>
    <mergeCell ref="A3343:A3344"/>
    <mergeCell ref="A3500:A3501"/>
    <mergeCell ref="A3444:A3445"/>
    <mergeCell ref="A3447:D3447"/>
    <mergeCell ref="B3450:C3450"/>
    <mergeCell ref="A3457:A3458"/>
    <mergeCell ref="A3459:A3460"/>
    <mergeCell ref="A3462:D3462"/>
    <mergeCell ref="A3401:A3402"/>
    <mergeCell ref="A3404:D3404"/>
    <mergeCell ref="B3407:C3407"/>
    <mergeCell ref="A3415:A3416"/>
    <mergeCell ref="A3418:D3418"/>
    <mergeCell ref="B3421:C3421"/>
    <mergeCell ref="B3465:C3465"/>
    <mergeCell ref="A3430:A3431"/>
    <mergeCell ref="A3433:D3433"/>
    <mergeCell ref="B3276:C3276"/>
    <mergeCell ref="A3285:A3286"/>
    <mergeCell ref="A3288:D3288"/>
    <mergeCell ref="A3215:D3215"/>
    <mergeCell ref="B3218:C3218"/>
    <mergeCell ref="A3254:A3255"/>
    <mergeCell ref="A3256:A3257"/>
    <mergeCell ref="A3259:D3259"/>
    <mergeCell ref="B3262:C3262"/>
    <mergeCell ref="A3196:A3197"/>
    <mergeCell ref="A3198:A3199"/>
    <mergeCell ref="A3201:D3201"/>
    <mergeCell ref="B3204:C3204"/>
    <mergeCell ref="A3169:A3170"/>
    <mergeCell ref="A3183:A3184"/>
    <mergeCell ref="A3375:D3375"/>
    <mergeCell ref="B3378:C3378"/>
    <mergeCell ref="B3175:C3175"/>
    <mergeCell ref="A3181:A3182"/>
    <mergeCell ref="A3186:D3186"/>
    <mergeCell ref="B2812:C2812"/>
    <mergeCell ref="A2848:A2849"/>
    <mergeCell ref="A2850:A2851"/>
    <mergeCell ref="A2853:D2853"/>
    <mergeCell ref="B2856:C2856"/>
    <mergeCell ref="A2862:A2863"/>
    <mergeCell ref="A2819:A2820"/>
    <mergeCell ref="A2821:A2822"/>
    <mergeCell ref="A2824:D2824"/>
    <mergeCell ref="B2827:C2827"/>
    <mergeCell ref="B3015:C3015"/>
    <mergeCell ref="A3022:A3023"/>
    <mergeCell ref="A3024:A3025"/>
    <mergeCell ref="A3027:D3027"/>
    <mergeCell ref="B3030:C3030"/>
    <mergeCell ref="B2972:C2972"/>
    <mergeCell ref="A2980:A2981"/>
    <mergeCell ref="A2983:D2983"/>
    <mergeCell ref="B2986:C2986"/>
    <mergeCell ref="A2995:A2996"/>
    <mergeCell ref="A2998:D2998"/>
    <mergeCell ref="A2951:A2952"/>
    <mergeCell ref="A2954:D2954"/>
    <mergeCell ref="B2957:C2957"/>
    <mergeCell ref="A2964:A2965"/>
    <mergeCell ref="A2966:A2967"/>
    <mergeCell ref="A2969:D2969"/>
    <mergeCell ref="A2922:A2923"/>
    <mergeCell ref="A2925:D2925"/>
    <mergeCell ref="B2928:C2928"/>
    <mergeCell ref="A2935:A2936"/>
    <mergeCell ref="A2877:A2878"/>
    <mergeCell ref="A2592:D2592"/>
    <mergeCell ref="B2595:C2595"/>
    <mergeCell ref="A2630:A2631"/>
    <mergeCell ref="A2632:A2633"/>
    <mergeCell ref="A2635:D2635"/>
    <mergeCell ref="B2638:C2638"/>
    <mergeCell ref="B2566:C2566"/>
    <mergeCell ref="A2572:A2573"/>
    <mergeCell ref="A2574:A2575"/>
    <mergeCell ref="A2577:D2577"/>
    <mergeCell ref="B2580:C2580"/>
    <mergeCell ref="A2587:A2588"/>
    <mergeCell ref="A2775:A2776"/>
    <mergeCell ref="A2780:D2780"/>
    <mergeCell ref="B2783:C2783"/>
    <mergeCell ref="A2790:A2791"/>
    <mergeCell ref="A2792:A2793"/>
    <mergeCell ref="B2725:C2725"/>
    <mergeCell ref="A2732:A2733"/>
    <mergeCell ref="A2734:A2735"/>
    <mergeCell ref="A2737:D2737"/>
    <mergeCell ref="B2740:C2740"/>
    <mergeCell ref="A2746:A2747"/>
    <mergeCell ref="A2679:D2679"/>
    <mergeCell ref="B2682:C2682"/>
    <mergeCell ref="A2688:A2689"/>
    <mergeCell ref="A2690:A2691"/>
    <mergeCell ref="A2693:D2693"/>
    <mergeCell ref="B2696:C2696"/>
    <mergeCell ref="B2522:C2522"/>
    <mergeCell ref="A2529:A2530"/>
    <mergeCell ref="A2531:A2532"/>
    <mergeCell ref="A2534:D2534"/>
    <mergeCell ref="B2537:C2537"/>
    <mergeCell ref="A2545:A2546"/>
    <mergeCell ref="B2493:C2493"/>
    <mergeCell ref="A2500:A2501"/>
    <mergeCell ref="A2502:A2503"/>
    <mergeCell ref="A2505:D2505"/>
    <mergeCell ref="B2508:C2508"/>
    <mergeCell ref="A2514:A2515"/>
    <mergeCell ref="A2456:A2457"/>
    <mergeCell ref="A2458:A2459"/>
    <mergeCell ref="A2461:D2461"/>
    <mergeCell ref="B2464:C2464"/>
    <mergeCell ref="A2473:A2474"/>
    <mergeCell ref="A2476:D2476"/>
    <mergeCell ref="A2110:A2111"/>
    <mergeCell ref="A2113:D2113"/>
    <mergeCell ref="B2116:C2116"/>
    <mergeCell ref="A1934:A1935"/>
    <mergeCell ref="A2326:A2327"/>
    <mergeCell ref="A2328:A2329"/>
    <mergeCell ref="A2331:D2331"/>
    <mergeCell ref="B2334:C2334"/>
    <mergeCell ref="A2340:A2341"/>
    <mergeCell ref="A2342:A2343"/>
    <mergeCell ref="A2273:D2273"/>
    <mergeCell ref="B2276:C2276"/>
    <mergeCell ref="A2282:A2283"/>
    <mergeCell ref="A2284:A2285"/>
    <mergeCell ref="A2287:D2287"/>
    <mergeCell ref="B2290:C2290"/>
    <mergeCell ref="B2232:C2232"/>
    <mergeCell ref="A2239:A2240"/>
    <mergeCell ref="A2244:D2244"/>
    <mergeCell ref="B2247:C2247"/>
    <mergeCell ref="A2253:A2254"/>
    <mergeCell ref="A2255:A2256"/>
    <mergeCell ref="A2297:A2298"/>
    <mergeCell ref="A2299:A2300"/>
    <mergeCell ref="A2302:D2302"/>
    <mergeCell ref="B2305:C2305"/>
    <mergeCell ref="A2258:D2258"/>
    <mergeCell ref="B2261:C2261"/>
    <mergeCell ref="B2044:C2044"/>
    <mergeCell ref="A2050:A2051"/>
    <mergeCell ref="A2052:A2053"/>
    <mergeCell ref="A2055:D2055"/>
    <mergeCell ref="B2058:C2058"/>
    <mergeCell ref="A2067:A2068"/>
    <mergeCell ref="A1963:A1964"/>
    <mergeCell ref="A1968:D1968"/>
    <mergeCell ref="B1971:C1971"/>
    <mergeCell ref="A1978:A1979"/>
    <mergeCell ref="A1980:A1981"/>
    <mergeCell ref="A1983:D1983"/>
    <mergeCell ref="A1891:A1892"/>
    <mergeCell ref="A1893:A1894"/>
    <mergeCell ref="A1896:D1896"/>
    <mergeCell ref="B1899:C1899"/>
    <mergeCell ref="A1905:A1906"/>
    <mergeCell ref="A1907:A1908"/>
    <mergeCell ref="B1986:C1986"/>
    <mergeCell ref="A1992:A1993"/>
    <mergeCell ref="A1994:A1995"/>
    <mergeCell ref="A1951:A1952"/>
    <mergeCell ref="A1936:A1937"/>
    <mergeCell ref="A1939:D1939"/>
    <mergeCell ref="B1942:C1942"/>
    <mergeCell ref="A1949:A1950"/>
    <mergeCell ref="A1910:D1910"/>
    <mergeCell ref="B1913:C1913"/>
    <mergeCell ref="A1920:A1921"/>
    <mergeCell ref="A1922:A1923"/>
    <mergeCell ref="A2007:A2008"/>
    <mergeCell ref="A2009:A2010"/>
    <mergeCell ref="B1710:C1710"/>
    <mergeCell ref="A1717:A1718"/>
    <mergeCell ref="A1719:A1720"/>
    <mergeCell ref="A1722:D1722"/>
    <mergeCell ref="B1725:C1725"/>
    <mergeCell ref="A1760:A1761"/>
    <mergeCell ref="A1690:A1691"/>
    <mergeCell ref="A1693:D1693"/>
    <mergeCell ref="B1696:C1696"/>
    <mergeCell ref="A1702:A1703"/>
    <mergeCell ref="A1704:A1705"/>
    <mergeCell ref="A1707:D1707"/>
    <mergeCell ref="A1644:A1645"/>
    <mergeCell ref="A1646:A1647"/>
    <mergeCell ref="A1649:D1649"/>
    <mergeCell ref="B1652:C1652"/>
    <mergeCell ref="A1661:A1662"/>
    <mergeCell ref="A1664:D1664"/>
    <mergeCell ref="B1739:C1739"/>
    <mergeCell ref="A1746:A1747"/>
    <mergeCell ref="A1748:A1749"/>
    <mergeCell ref="A1751:D1751"/>
    <mergeCell ref="B1754:C1754"/>
    <mergeCell ref="A1731:A1732"/>
    <mergeCell ref="A1733:A1734"/>
    <mergeCell ref="A1673:A1674"/>
    <mergeCell ref="A1688:A1689"/>
    <mergeCell ref="B1551:C1551"/>
    <mergeCell ref="A1557:A1558"/>
    <mergeCell ref="A1562:D1562"/>
    <mergeCell ref="B1565:C1565"/>
    <mergeCell ref="A1572:A1573"/>
    <mergeCell ref="A1574:A1575"/>
    <mergeCell ref="A1514:A1515"/>
    <mergeCell ref="A1516:A1517"/>
    <mergeCell ref="A1519:D1519"/>
    <mergeCell ref="B1522:C1522"/>
    <mergeCell ref="A1528:A1529"/>
    <mergeCell ref="A1530:A1531"/>
    <mergeCell ref="A1470:A1471"/>
    <mergeCell ref="A1472:A1473"/>
    <mergeCell ref="A1475:D1475"/>
    <mergeCell ref="B1478:C1478"/>
    <mergeCell ref="A1485:A1486"/>
    <mergeCell ref="A1487:A1488"/>
    <mergeCell ref="A1545:A1546"/>
    <mergeCell ref="A1533:D1533"/>
    <mergeCell ref="B1536:C1536"/>
    <mergeCell ref="A1543:A1544"/>
    <mergeCell ref="A1490:D1490"/>
    <mergeCell ref="B1493:C1493"/>
    <mergeCell ref="A1499:A1500"/>
    <mergeCell ref="A1501:A1502"/>
    <mergeCell ref="A1040:D1040"/>
    <mergeCell ref="B1043:C1043"/>
    <mergeCell ref="A1330:D1330"/>
    <mergeCell ref="B1333:C1333"/>
    <mergeCell ref="A1340:A1341"/>
    <mergeCell ref="A1342:A1343"/>
    <mergeCell ref="A1345:D1345"/>
    <mergeCell ref="B1348:C1348"/>
    <mergeCell ref="B1261:C1261"/>
    <mergeCell ref="A1269:A1270"/>
    <mergeCell ref="A1272:D1272"/>
    <mergeCell ref="B1275:C1275"/>
    <mergeCell ref="A1282:A1283"/>
    <mergeCell ref="A1284:A1285"/>
    <mergeCell ref="B1232:C1232"/>
    <mergeCell ref="A1240:A1241"/>
    <mergeCell ref="A1243:D1243"/>
    <mergeCell ref="B1246:C1246"/>
    <mergeCell ref="A1255:A1256"/>
    <mergeCell ref="A1258:D1258"/>
    <mergeCell ref="A1296:A1297"/>
    <mergeCell ref="A1298:A1299"/>
    <mergeCell ref="A1301:D1301"/>
    <mergeCell ref="B1304:C1304"/>
    <mergeCell ref="A1267:A1268"/>
    <mergeCell ref="A1253:A1254"/>
    <mergeCell ref="A1238:A1239"/>
    <mergeCell ref="A1229:D1229"/>
    <mergeCell ref="A1195:A1196"/>
    <mergeCell ref="A1197:A1198"/>
    <mergeCell ref="A1200:D1200"/>
    <mergeCell ref="B1203:C1203"/>
    <mergeCell ref="A892:A893"/>
    <mergeCell ref="A895:D895"/>
    <mergeCell ref="B898:C898"/>
    <mergeCell ref="A905:A906"/>
    <mergeCell ref="A907:A908"/>
    <mergeCell ref="A910:D910"/>
    <mergeCell ref="A1151:A1152"/>
    <mergeCell ref="A1156:D1156"/>
    <mergeCell ref="B1159:C1159"/>
    <mergeCell ref="A1166:A1167"/>
    <mergeCell ref="A1168:A1169"/>
    <mergeCell ref="A1171:D1171"/>
    <mergeCell ref="A1064:A1065"/>
    <mergeCell ref="A1066:A1067"/>
    <mergeCell ref="A1069:D1069"/>
    <mergeCell ref="B1072:C1072"/>
    <mergeCell ref="A1079:A1080"/>
    <mergeCell ref="A1081:A1082"/>
    <mergeCell ref="A1011:D1011"/>
    <mergeCell ref="B1014:C1014"/>
    <mergeCell ref="A1021:A1022"/>
    <mergeCell ref="A1023:A1024"/>
    <mergeCell ref="A1026:D1026"/>
    <mergeCell ref="B1029:C1029"/>
    <mergeCell ref="A1108:A1109"/>
    <mergeCell ref="A1110:A1111"/>
    <mergeCell ref="A1113:D1113"/>
    <mergeCell ref="B1116:C1116"/>
    <mergeCell ref="A1084:D1084"/>
    <mergeCell ref="B1087:C1087"/>
    <mergeCell ref="A1093:A1094"/>
    <mergeCell ref="A1095:A1096"/>
    <mergeCell ref="A837:D837"/>
    <mergeCell ref="B840:C840"/>
    <mergeCell ref="A849:A850"/>
    <mergeCell ref="A852:D852"/>
    <mergeCell ref="B855:C855"/>
    <mergeCell ref="A890:A891"/>
    <mergeCell ref="B782:C782"/>
    <mergeCell ref="A820:A821"/>
    <mergeCell ref="A823:D823"/>
    <mergeCell ref="B826:C826"/>
    <mergeCell ref="A832:A833"/>
    <mergeCell ref="A834:A835"/>
    <mergeCell ref="A745:A746"/>
    <mergeCell ref="A750:D750"/>
    <mergeCell ref="B753:C753"/>
    <mergeCell ref="A760:A761"/>
    <mergeCell ref="A762:A763"/>
    <mergeCell ref="A765:D765"/>
    <mergeCell ref="B797:C797"/>
    <mergeCell ref="A805:A806"/>
    <mergeCell ref="A789:A790"/>
    <mergeCell ref="A779:D779"/>
    <mergeCell ref="A747:A748"/>
    <mergeCell ref="A774:A775"/>
    <mergeCell ref="A776:A777"/>
    <mergeCell ref="A702:A703"/>
    <mergeCell ref="A704:A705"/>
    <mergeCell ref="A707:D707"/>
    <mergeCell ref="B710:C710"/>
    <mergeCell ref="A716:A717"/>
    <mergeCell ref="A718:A719"/>
    <mergeCell ref="A675:A676"/>
    <mergeCell ref="A678:D678"/>
    <mergeCell ref="B681:C681"/>
    <mergeCell ref="A687:A688"/>
    <mergeCell ref="A689:A690"/>
    <mergeCell ref="A692:D692"/>
    <mergeCell ref="A631:A632"/>
    <mergeCell ref="A634:D634"/>
    <mergeCell ref="B637:C637"/>
    <mergeCell ref="A644:A645"/>
    <mergeCell ref="A646:A647"/>
    <mergeCell ref="A649:D649"/>
    <mergeCell ref="B652:C652"/>
    <mergeCell ref="A658:A659"/>
    <mergeCell ref="A660:A661"/>
    <mergeCell ref="A663:D663"/>
    <mergeCell ref="A562:D562"/>
    <mergeCell ref="B565:C565"/>
    <mergeCell ref="A571:A572"/>
    <mergeCell ref="A573:A574"/>
    <mergeCell ref="A576:D576"/>
    <mergeCell ref="B579:C579"/>
    <mergeCell ref="B521:C521"/>
    <mergeCell ref="A528:A529"/>
    <mergeCell ref="A530:A531"/>
    <mergeCell ref="A533:D533"/>
    <mergeCell ref="B536:C536"/>
    <mergeCell ref="A542:A543"/>
    <mergeCell ref="A586:A587"/>
    <mergeCell ref="A588:A589"/>
    <mergeCell ref="A591:D591"/>
    <mergeCell ref="B594:C594"/>
    <mergeCell ref="A544:A545"/>
    <mergeCell ref="A547:D547"/>
    <mergeCell ref="B550:C550"/>
    <mergeCell ref="B173:C173"/>
    <mergeCell ref="A180:A181"/>
    <mergeCell ref="A182:A183"/>
    <mergeCell ref="A185:D185"/>
    <mergeCell ref="B188:C188"/>
    <mergeCell ref="A194:A195"/>
    <mergeCell ref="A339:A340"/>
    <mergeCell ref="A344:D344"/>
    <mergeCell ref="B347:C347"/>
    <mergeCell ref="A354:A355"/>
    <mergeCell ref="A356:A357"/>
    <mergeCell ref="A359:D359"/>
    <mergeCell ref="B289:C289"/>
    <mergeCell ref="A296:A297"/>
    <mergeCell ref="A298:A299"/>
    <mergeCell ref="A301:D301"/>
    <mergeCell ref="B304:C304"/>
    <mergeCell ref="A310:A311"/>
    <mergeCell ref="A252:A253"/>
    <mergeCell ref="A254:A255"/>
    <mergeCell ref="A257:D257"/>
    <mergeCell ref="B260:C260"/>
    <mergeCell ref="A267:A268"/>
    <mergeCell ref="A269:A270"/>
    <mergeCell ref="A228:D228"/>
    <mergeCell ref="B231:C231"/>
    <mergeCell ref="A238:A239"/>
    <mergeCell ref="A240:A241"/>
    <mergeCell ref="A243:D243"/>
    <mergeCell ref="B246:C246"/>
    <mergeCell ref="A209:A210"/>
    <mergeCell ref="A211:A212"/>
    <mergeCell ref="A153:A154"/>
    <mergeCell ref="A156:D156"/>
    <mergeCell ref="B159:C159"/>
    <mergeCell ref="A165:A166"/>
    <mergeCell ref="A167:A168"/>
    <mergeCell ref="A170:D170"/>
    <mergeCell ref="A112:D112"/>
    <mergeCell ref="B115:C115"/>
    <mergeCell ref="A122:A123"/>
    <mergeCell ref="A124:A125"/>
    <mergeCell ref="A127:D127"/>
    <mergeCell ref="B130:C130"/>
    <mergeCell ref="A69:D69"/>
    <mergeCell ref="B72:C72"/>
    <mergeCell ref="A78:A79"/>
    <mergeCell ref="A80:A81"/>
    <mergeCell ref="A83:D83"/>
    <mergeCell ref="B86:C86"/>
    <mergeCell ref="A136:A137"/>
    <mergeCell ref="A138:A139"/>
    <mergeCell ref="A141:D141"/>
    <mergeCell ref="B144:C144"/>
    <mergeCell ref="A93:A94"/>
    <mergeCell ref="A95:A96"/>
    <mergeCell ref="A98:D98"/>
    <mergeCell ref="B101:C101"/>
    <mergeCell ref="A214:D214"/>
    <mergeCell ref="B217:C217"/>
    <mergeCell ref="B4828:C4828"/>
    <mergeCell ref="A4834:A4835"/>
    <mergeCell ref="A4839:D4839"/>
    <mergeCell ref="B4770:C4770"/>
    <mergeCell ref="A20:A21"/>
    <mergeCell ref="A22:A23"/>
    <mergeCell ref="A25:D25"/>
    <mergeCell ref="B28:C28"/>
    <mergeCell ref="A37:A38"/>
    <mergeCell ref="A40:D40"/>
    <mergeCell ref="B43:C43"/>
    <mergeCell ref="A54:D54"/>
    <mergeCell ref="A5400:A5401"/>
    <mergeCell ref="A5402:A5403"/>
    <mergeCell ref="A5405:D5405"/>
    <mergeCell ref="A4723:D4723"/>
    <mergeCell ref="B4726:C4726"/>
    <mergeCell ref="A4735:A4736"/>
    <mergeCell ref="A4738:D4738"/>
    <mergeCell ref="A4680:D4680"/>
    <mergeCell ref="B4683:C4683"/>
    <mergeCell ref="A4689:A4690"/>
    <mergeCell ref="A4691:A4692"/>
    <mergeCell ref="A4604:A4605"/>
    <mergeCell ref="A4546:A4547"/>
    <mergeCell ref="A4549:D4549"/>
    <mergeCell ref="B4552:C4552"/>
    <mergeCell ref="A4501:A4502"/>
    <mergeCell ref="A4515:A4516"/>
    <mergeCell ref="A4506:D4506"/>
    <mergeCell ref="B5408:C5408"/>
    <mergeCell ref="A5358:A5359"/>
    <mergeCell ref="A5361:D5361"/>
    <mergeCell ref="B5364:C5364"/>
    <mergeCell ref="A5313:A5314"/>
    <mergeCell ref="A5269:A5270"/>
    <mergeCell ref="A5274:D5274"/>
    <mergeCell ref="B5277:C5277"/>
    <mergeCell ref="A5182:A5183"/>
    <mergeCell ref="A5184:A5185"/>
    <mergeCell ref="A5187:D5187"/>
    <mergeCell ref="A5129:D5129"/>
    <mergeCell ref="B5132:C5132"/>
    <mergeCell ref="A5139:A5140"/>
    <mergeCell ref="A5141:A5142"/>
    <mergeCell ref="B5060:C5060"/>
    <mergeCell ref="A5066:A5067"/>
    <mergeCell ref="A5371:A5372"/>
    <mergeCell ref="A5373:A5374"/>
    <mergeCell ref="A5327:A5328"/>
    <mergeCell ref="A5332:D5332"/>
    <mergeCell ref="A5271:A5272"/>
    <mergeCell ref="A5286:A5287"/>
    <mergeCell ref="A5255:A5256"/>
    <mergeCell ref="A5257:A5258"/>
    <mergeCell ref="A5260:D5260"/>
    <mergeCell ref="B5263:C5263"/>
    <mergeCell ref="A5226:A5227"/>
    <mergeCell ref="A5228:A5229"/>
    <mergeCell ref="A5231:D5231"/>
    <mergeCell ref="B5234:C5234"/>
    <mergeCell ref="A5211:A5212"/>
    <mergeCell ref="A4109:A4110"/>
    <mergeCell ref="A4401:A4402"/>
    <mergeCell ref="A4387:A4388"/>
    <mergeCell ref="A4385:A4386"/>
    <mergeCell ref="A4346:D4346"/>
    <mergeCell ref="B4349:C4349"/>
    <mergeCell ref="A4356:A4357"/>
    <mergeCell ref="A4358:A4359"/>
    <mergeCell ref="A4361:D4361"/>
    <mergeCell ref="B4364:C4364"/>
    <mergeCell ref="A4341:A4342"/>
    <mergeCell ref="A4343:A4344"/>
    <mergeCell ref="B4335:C4335"/>
    <mergeCell ref="A4283:A4284"/>
    <mergeCell ref="A4298:A4299"/>
    <mergeCell ref="A4269:A4270"/>
    <mergeCell ref="A4211:A4212"/>
    <mergeCell ref="A4213:A4214"/>
    <mergeCell ref="A4216:D4216"/>
    <mergeCell ref="B4219:C4219"/>
    <mergeCell ref="A4225:A4226"/>
    <mergeCell ref="A4227:A4228"/>
    <mergeCell ref="A4155:A4156"/>
    <mergeCell ref="A4111:A4112"/>
    <mergeCell ref="A4114:D4114"/>
    <mergeCell ref="A4390:D4390"/>
    <mergeCell ref="B4393:C4393"/>
    <mergeCell ref="A4399:A4400"/>
    <mergeCell ref="A4158:D4158"/>
    <mergeCell ref="B4161:C4161"/>
    <mergeCell ref="A4167:A4168"/>
    <mergeCell ref="A4169:A4170"/>
    <mergeCell ref="A4027:D4027"/>
    <mergeCell ref="A3645:A3646"/>
    <mergeCell ref="A3607:D3607"/>
    <mergeCell ref="B3610:C3610"/>
    <mergeCell ref="A3616:A3617"/>
    <mergeCell ref="A3618:A3619"/>
    <mergeCell ref="B3972:C3972"/>
    <mergeCell ref="A3877:A3878"/>
    <mergeCell ref="A3879:A3880"/>
    <mergeCell ref="A3882:D3882"/>
    <mergeCell ref="B3885:C3885"/>
    <mergeCell ref="B3827:C3827"/>
    <mergeCell ref="A3834:A3835"/>
    <mergeCell ref="A3836:A3837"/>
    <mergeCell ref="A3839:D3839"/>
    <mergeCell ref="A3805:A3806"/>
    <mergeCell ref="A3807:A3808"/>
    <mergeCell ref="A3810:D3810"/>
    <mergeCell ref="B3813:C3813"/>
    <mergeCell ref="A3734:A3735"/>
    <mergeCell ref="A3694:D3694"/>
    <mergeCell ref="A3689:A3690"/>
    <mergeCell ref="A3853:D3853"/>
    <mergeCell ref="B3856:C3856"/>
    <mergeCell ref="A3865:A3866"/>
    <mergeCell ref="A3868:D3868"/>
    <mergeCell ref="A3897:D3897"/>
    <mergeCell ref="B3900:C3900"/>
    <mergeCell ref="B3943:C3943"/>
    <mergeCell ref="A3850:A3851"/>
    <mergeCell ref="A3705:A3706"/>
    <mergeCell ref="A3708:D3708"/>
    <mergeCell ref="B3436:C3436"/>
    <mergeCell ref="A3283:A3284"/>
    <mergeCell ref="A3297:A3298"/>
    <mergeCell ref="B3291:C3291"/>
    <mergeCell ref="A3239:A3240"/>
    <mergeCell ref="A3241:A3242"/>
    <mergeCell ref="A3244:D3244"/>
    <mergeCell ref="B3247:C3247"/>
    <mergeCell ref="A3906:A3907"/>
    <mergeCell ref="A3908:A3909"/>
    <mergeCell ref="A3911:D3911"/>
    <mergeCell ref="B3914:C3914"/>
    <mergeCell ref="A3892:A3893"/>
    <mergeCell ref="A3894:A3895"/>
    <mergeCell ref="A3863:A3864"/>
    <mergeCell ref="A3848:A3849"/>
    <mergeCell ref="B3842:C3842"/>
    <mergeCell ref="A3819:A3820"/>
    <mergeCell ref="A3821:A3822"/>
    <mergeCell ref="A3824:D3824"/>
    <mergeCell ref="A3302:D3302"/>
    <mergeCell ref="B3305:C3305"/>
    <mergeCell ref="A3312:A3313"/>
    <mergeCell ref="A3314:A3315"/>
    <mergeCell ref="A3317:D3317"/>
    <mergeCell ref="B3320:C3320"/>
    <mergeCell ref="A3268:A3269"/>
    <mergeCell ref="A3270:A3271"/>
    <mergeCell ref="A3273:D3273"/>
    <mergeCell ref="A3428:A3429"/>
    <mergeCell ref="A3442:A3443"/>
    <mergeCell ref="A3413:A3414"/>
    <mergeCell ref="A3399:A3400"/>
    <mergeCell ref="A3346:D3346"/>
    <mergeCell ref="B3349:C3349"/>
    <mergeCell ref="A3299:A3300"/>
    <mergeCell ref="A3225:A3226"/>
    <mergeCell ref="A3227:A3228"/>
    <mergeCell ref="A3230:D3230"/>
    <mergeCell ref="B3233:C3233"/>
    <mergeCell ref="A3172:D3172"/>
    <mergeCell ref="B3001:C3001"/>
    <mergeCell ref="A3007:A3008"/>
    <mergeCell ref="A3009:A3010"/>
    <mergeCell ref="A3012:D3012"/>
    <mergeCell ref="A3210:A3211"/>
    <mergeCell ref="A3212:A3213"/>
    <mergeCell ref="B3189:C3189"/>
    <mergeCell ref="B3146:C3146"/>
    <mergeCell ref="A3111:A3112"/>
    <mergeCell ref="A3123:A3124"/>
    <mergeCell ref="A3096:A3097"/>
    <mergeCell ref="A3080:A3081"/>
    <mergeCell ref="A3082:A3083"/>
    <mergeCell ref="A3041:D3041"/>
    <mergeCell ref="B3044:C3044"/>
    <mergeCell ref="A3051:A3052"/>
    <mergeCell ref="A3053:A3054"/>
    <mergeCell ref="A3056:D3056"/>
    <mergeCell ref="B3059:C3059"/>
    <mergeCell ref="A3036:A3037"/>
    <mergeCell ref="A3038:A3039"/>
    <mergeCell ref="A3067:A3068"/>
    <mergeCell ref="A3070:D3070"/>
    <mergeCell ref="A2891:A2892"/>
    <mergeCell ref="A2833:A2834"/>
    <mergeCell ref="A2835:A2836"/>
    <mergeCell ref="A2838:D2838"/>
    <mergeCell ref="B2841:C2841"/>
    <mergeCell ref="A2978:A2979"/>
    <mergeCell ref="A2993:A2994"/>
    <mergeCell ref="A2937:A2938"/>
    <mergeCell ref="A2940:D2940"/>
    <mergeCell ref="B2943:C2943"/>
    <mergeCell ref="A2949:A2950"/>
    <mergeCell ref="A2893:A2894"/>
    <mergeCell ref="A2896:D2896"/>
    <mergeCell ref="B2899:C2899"/>
    <mergeCell ref="A2906:A2907"/>
    <mergeCell ref="A2908:A2909"/>
    <mergeCell ref="A2911:D2911"/>
    <mergeCell ref="B2914:C2914"/>
    <mergeCell ref="A2920:A2921"/>
    <mergeCell ref="A2864:A2865"/>
    <mergeCell ref="A2867:D2867"/>
    <mergeCell ref="B2870:C2870"/>
    <mergeCell ref="A2879:A2880"/>
    <mergeCell ref="A2882:D2882"/>
    <mergeCell ref="B2885:C2885"/>
    <mergeCell ref="A2357:A2358"/>
    <mergeCell ref="A2345:D2345"/>
    <mergeCell ref="B2348:C2348"/>
    <mergeCell ref="A2355:A2356"/>
    <mergeCell ref="A2360:D2360"/>
    <mergeCell ref="B2798:C2798"/>
    <mergeCell ref="A2804:A2805"/>
    <mergeCell ref="A2806:A2807"/>
    <mergeCell ref="A2763:A2764"/>
    <mergeCell ref="A2748:A2749"/>
    <mergeCell ref="A2751:D2751"/>
    <mergeCell ref="B2754:C2754"/>
    <mergeCell ref="A2761:A2762"/>
    <mergeCell ref="A2703:A2704"/>
    <mergeCell ref="A2705:A2706"/>
    <mergeCell ref="A2708:D2708"/>
    <mergeCell ref="B2711:C2711"/>
    <mergeCell ref="B2667:C2667"/>
    <mergeCell ref="A2548:D2548"/>
    <mergeCell ref="B2551:C2551"/>
    <mergeCell ref="A2471:A2472"/>
    <mergeCell ref="A2485:A2486"/>
    <mergeCell ref="B2479:C2479"/>
    <mergeCell ref="A2487:A2488"/>
    <mergeCell ref="A2589:A2590"/>
    <mergeCell ref="A2558:A2559"/>
    <mergeCell ref="A2560:A2561"/>
    <mergeCell ref="A2563:D2563"/>
    <mergeCell ref="A2543:A2544"/>
    <mergeCell ref="A2516:A2517"/>
    <mergeCell ref="A2519:D2519"/>
    <mergeCell ref="A2490:D2490"/>
    <mergeCell ref="A1635:D1635"/>
    <mergeCell ref="B1638:C1638"/>
    <mergeCell ref="A1601:A1602"/>
    <mergeCell ref="A1603:A1604"/>
    <mergeCell ref="A2215:D2215"/>
    <mergeCell ref="B2218:C2218"/>
    <mergeCell ref="A2125:A2126"/>
    <mergeCell ref="A2128:D2128"/>
    <mergeCell ref="B2131:C2131"/>
    <mergeCell ref="A2137:A2138"/>
    <mergeCell ref="A2079:A2080"/>
    <mergeCell ref="A2070:D2070"/>
    <mergeCell ref="B2073:C2073"/>
    <mergeCell ref="A2081:A2082"/>
    <mergeCell ref="A2084:D2084"/>
    <mergeCell ref="A2021:A2022"/>
    <mergeCell ref="A2023:A2024"/>
    <mergeCell ref="A2026:D2026"/>
    <mergeCell ref="B2029:C2029"/>
    <mergeCell ref="A2036:A2037"/>
    <mergeCell ref="A2038:A2039"/>
    <mergeCell ref="A2041:D2041"/>
    <mergeCell ref="A1864:A1865"/>
    <mergeCell ref="A2012:D2012"/>
    <mergeCell ref="B2015:C2015"/>
    <mergeCell ref="A1997:D1997"/>
    <mergeCell ref="B2000:C2000"/>
    <mergeCell ref="A1965:A1966"/>
    <mergeCell ref="A1954:D1954"/>
    <mergeCell ref="B1957:C1957"/>
    <mergeCell ref="A1925:D1925"/>
    <mergeCell ref="B1928:C1928"/>
    <mergeCell ref="A1185:D1185"/>
    <mergeCell ref="A1762:A1763"/>
    <mergeCell ref="A1765:D1765"/>
    <mergeCell ref="B1768:C1768"/>
    <mergeCell ref="A1659:A1660"/>
    <mergeCell ref="B1667:C1667"/>
    <mergeCell ref="A1675:A1676"/>
    <mergeCell ref="A1678:D1678"/>
    <mergeCell ref="B1681:C1681"/>
    <mergeCell ref="A1615:A1616"/>
    <mergeCell ref="A1617:A1618"/>
    <mergeCell ref="A1620:D1620"/>
    <mergeCell ref="B1623:C1623"/>
    <mergeCell ref="A1630:A1631"/>
    <mergeCell ref="A1632:A1633"/>
    <mergeCell ref="A1577:D1577"/>
    <mergeCell ref="B1580:C1580"/>
    <mergeCell ref="A1586:A1587"/>
    <mergeCell ref="A1588:A1589"/>
    <mergeCell ref="A1736:D1736"/>
    <mergeCell ref="A1606:D1606"/>
    <mergeCell ref="B1609:C1609"/>
    <mergeCell ref="A1591:D1591"/>
    <mergeCell ref="B1594:C1594"/>
    <mergeCell ref="A1559:A1560"/>
    <mergeCell ref="A1548:D1548"/>
    <mergeCell ref="A1504:D1504"/>
    <mergeCell ref="B1507:C1507"/>
    <mergeCell ref="A1458:A1459"/>
    <mergeCell ref="A1461:D1461"/>
    <mergeCell ref="B1464:C1464"/>
    <mergeCell ref="A1412:A1413"/>
    <mergeCell ref="A919:A920"/>
    <mergeCell ref="A881:D881"/>
    <mergeCell ref="B884:C884"/>
    <mergeCell ref="A861:A862"/>
    <mergeCell ref="A863:A864"/>
    <mergeCell ref="A866:D866"/>
    <mergeCell ref="B869:C869"/>
    <mergeCell ref="A876:A877"/>
    <mergeCell ref="A878:A879"/>
    <mergeCell ref="A847:A848"/>
    <mergeCell ref="A818:A819"/>
    <mergeCell ref="A803:A804"/>
    <mergeCell ref="A791:A792"/>
    <mergeCell ref="A794:D794"/>
    <mergeCell ref="A1354:A1355"/>
    <mergeCell ref="A1359:D1359"/>
    <mergeCell ref="B1362:C1362"/>
    <mergeCell ref="A1287:D1287"/>
    <mergeCell ref="B1290:C1290"/>
    <mergeCell ref="A1209:A1210"/>
    <mergeCell ref="A1211:A1212"/>
    <mergeCell ref="A1214:D1214"/>
    <mergeCell ref="B1217:C1217"/>
    <mergeCell ref="A1224:A1225"/>
    <mergeCell ref="A1226:A1227"/>
    <mergeCell ref="B1174:C1174"/>
    <mergeCell ref="A1180:A1181"/>
    <mergeCell ref="A1182:A1183"/>
    <mergeCell ref="A1139:A1140"/>
    <mergeCell ref="A1127:D1127"/>
    <mergeCell ref="B1130:C1130"/>
    <mergeCell ref="A1137:A1138"/>
    <mergeCell ref="A499:A500"/>
    <mergeCell ref="A504:D504"/>
    <mergeCell ref="B507:C507"/>
    <mergeCell ref="A513:A514"/>
    <mergeCell ref="A475:D475"/>
    <mergeCell ref="B478:C478"/>
    <mergeCell ref="A484:A485"/>
    <mergeCell ref="A489:D489"/>
    <mergeCell ref="A455:A456"/>
    <mergeCell ref="A457:A458"/>
    <mergeCell ref="A460:D460"/>
    <mergeCell ref="B463:C463"/>
    <mergeCell ref="A470:A471"/>
    <mergeCell ref="A399:A400"/>
    <mergeCell ref="A402:D402"/>
    <mergeCell ref="B405:C405"/>
    <mergeCell ref="A412:A413"/>
    <mergeCell ref="A414:A415"/>
    <mergeCell ref="A417:D417"/>
    <mergeCell ref="B420:C420"/>
    <mergeCell ref="A426:A427"/>
    <mergeCell ref="A428:A429"/>
    <mergeCell ref="A223:A224"/>
    <mergeCell ref="A225:A226"/>
    <mergeCell ref="A5199:A5200"/>
    <mergeCell ref="B5190:C5190"/>
    <mergeCell ref="A5168:A5169"/>
    <mergeCell ref="A5153:A5154"/>
    <mergeCell ref="A5144:D5144"/>
    <mergeCell ref="B5147:C5147"/>
    <mergeCell ref="B5074:C5074"/>
    <mergeCell ref="A5081:A5082"/>
    <mergeCell ref="A5083:A5084"/>
    <mergeCell ref="B5031:C5031"/>
    <mergeCell ref="A5037:A5038"/>
    <mergeCell ref="A5008:A5009"/>
    <mergeCell ref="B362:C362"/>
    <mergeCell ref="A370:A371"/>
    <mergeCell ref="A327:A328"/>
    <mergeCell ref="A312:A313"/>
    <mergeCell ref="A315:D315"/>
    <mergeCell ref="B318:C318"/>
    <mergeCell ref="A325:A326"/>
    <mergeCell ref="A992:A993"/>
    <mergeCell ref="A994:A995"/>
    <mergeCell ref="A997:D997"/>
    <mergeCell ref="B1000:C1000"/>
    <mergeCell ref="A950:A951"/>
    <mergeCell ref="A953:D953"/>
    <mergeCell ref="B956:C956"/>
    <mergeCell ref="B913:C913"/>
    <mergeCell ref="A808:D808"/>
    <mergeCell ref="B811:C811"/>
    <mergeCell ref="B768:C768"/>
    <mergeCell ref="A5213:A5214"/>
    <mergeCell ref="A5216:D5216"/>
    <mergeCell ref="B5219:C5219"/>
    <mergeCell ref="B5248:C5248"/>
    <mergeCell ref="A5284:A5285"/>
    <mergeCell ref="A5289:D5289"/>
    <mergeCell ref="B5292:C5292"/>
    <mergeCell ref="A5298:A5299"/>
    <mergeCell ref="A5300:A5301"/>
    <mergeCell ref="A5329:A5330"/>
    <mergeCell ref="A4926:D4926"/>
    <mergeCell ref="B4929:C4929"/>
    <mergeCell ref="A4851:A4852"/>
    <mergeCell ref="A4849:A4850"/>
    <mergeCell ref="A4854:D4854"/>
    <mergeCell ref="B4857:C4857"/>
    <mergeCell ref="A4836:A4837"/>
    <mergeCell ref="B4842:C4842"/>
    <mergeCell ref="A4878:A4879"/>
    <mergeCell ref="A4880:A4881"/>
    <mergeCell ref="A4883:D4883"/>
    <mergeCell ref="B4886:C4886"/>
    <mergeCell ref="A4892:A4893"/>
    <mergeCell ref="A5010:A5011"/>
    <mergeCell ref="A5013:D5013"/>
    <mergeCell ref="B5016:C5016"/>
    <mergeCell ref="A5023:A5024"/>
    <mergeCell ref="A5025:A5026"/>
    <mergeCell ref="A5028:D5028"/>
    <mergeCell ref="A4970:D4970"/>
    <mergeCell ref="B4973:C4973"/>
    <mergeCell ref="A4979:A4980"/>
    <mergeCell ref="A4733:A4734"/>
    <mergeCell ref="B4741:C4741"/>
    <mergeCell ref="A4747:A4748"/>
    <mergeCell ref="A4907:A4908"/>
    <mergeCell ref="A4921:A4922"/>
    <mergeCell ref="A4909:A4910"/>
    <mergeCell ref="A4912:D4912"/>
    <mergeCell ref="B4915:C4915"/>
    <mergeCell ref="A4923:A4924"/>
    <mergeCell ref="A4894:A4895"/>
    <mergeCell ref="A4897:D4897"/>
    <mergeCell ref="B4900:C4900"/>
    <mergeCell ref="A4863:A4864"/>
    <mergeCell ref="A4865:A4866"/>
    <mergeCell ref="A4868:D4868"/>
    <mergeCell ref="B4871:C4871"/>
    <mergeCell ref="A4416:A4417"/>
    <mergeCell ref="A4559:A4560"/>
    <mergeCell ref="A4517:A4518"/>
    <mergeCell ref="A4520:D4520"/>
    <mergeCell ref="A4477:D4477"/>
    <mergeCell ref="B4523:C4523"/>
    <mergeCell ref="A4530:A4531"/>
    <mergeCell ref="A4532:A4533"/>
    <mergeCell ref="A4535:D4535"/>
    <mergeCell ref="B4538:C4538"/>
    <mergeCell ref="A4544:A4545"/>
    <mergeCell ref="B4480:C4480"/>
    <mergeCell ref="A4486:A4487"/>
    <mergeCell ref="A4488:A4489"/>
    <mergeCell ref="A4491:D4491"/>
    <mergeCell ref="B4494:C4494"/>
    <mergeCell ref="A4404:D4404"/>
    <mergeCell ref="B4407:C4407"/>
    <mergeCell ref="A4414:A4415"/>
    <mergeCell ref="A4300:A4301"/>
    <mergeCell ref="A4303:D4303"/>
    <mergeCell ref="B4306:C4306"/>
    <mergeCell ref="A4312:A4313"/>
    <mergeCell ref="A4314:A4315"/>
    <mergeCell ref="A4317:D4317"/>
    <mergeCell ref="A3981:A3982"/>
    <mergeCell ref="A3979:A3980"/>
    <mergeCell ref="A3984:D3984"/>
    <mergeCell ref="A3921:A3922"/>
    <mergeCell ref="A3923:A3924"/>
    <mergeCell ref="A3926:D3926"/>
    <mergeCell ref="B3929:C3929"/>
    <mergeCell ref="A3950:A3951"/>
    <mergeCell ref="A3952:A3953"/>
    <mergeCell ref="A3955:D3955"/>
    <mergeCell ref="B3958:C3958"/>
    <mergeCell ref="A3964:A3965"/>
    <mergeCell ref="A3969:D3969"/>
    <mergeCell ref="A3966:A3967"/>
    <mergeCell ref="A4024:A4025"/>
    <mergeCell ref="A4196:A4197"/>
    <mergeCell ref="A4198:A4199"/>
    <mergeCell ref="A4201:D4201"/>
    <mergeCell ref="B4204:C4204"/>
    <mergeCell ref="A4153:A4154"/>
    <mergeCell ref="A3935:A3936"/>
    <mergeCell ref="A3937:A3938"/>
    <mergeCell ref="A3940:D3940"/>
    <mergeCell ref="A3546:A3547"/>
    <mergeCell ref="A3531:A3532"/>
    <mergeCell ref="A3776:A3777"/>
    <mergeCell ref="A3778:A3779"/>
    <mergeCell ref="A3749:A3750"/>
    <mergeCell ref="A3674:A3675"/>
    <mergeCell ref="A3676:A3677"/>
    <mergeCell ref="A3679:D3679"/>
    <mergeCell ref="B3682:C3682"/>
    <mergeCell ref="A3691:A3692"/>
    <mergeCell ref="B3581:C3581"/>
    <mergeCell ref="A3587:A3588"/>
    <mergeCell ref="A3592:D3592"/>
    <mergeCell ref="B3595:C3595"/>
    <mergeCell ref="A3602:A3603"/>
    <mergeCell ref="A3604:A3605"/>
    <mergeCell ref="A3534:D3534"/>
    <mergeCell ref="A3560:A3561"/>
    <mergeCell ref="A3563:D3563"/>
    <mergeCell ref="B3566:C3566"/>
    <mergeCell ref="A3573:A3574"/>
    <mergeCell ref="A3575:A3576"/>
    <mergeCell ref="A3665:D3665"/>
    <mergeCell ref="B3668:C3668"/>
    <mergeCell ref="A3621:D3621"/>
    <mergeCell ref="B3624:C3624"/>
    <mergeCell ref="A3589:A3590"/>
    <mergeCell ref="A3578:D3578"/>
    <mergeCell ref="B3523:C3523"/>
    <mergeCell ref="A3529:A3530"/>
    <mergeCell ref="A3491:D3491"/>
    <mergeCell ref="B3494:C3494"/>
    <mergeCell ref="A3471:A3472"/>
    <mergeCell ref="A3473:A3474"/>
    <mergeCell ref="A3476:D3476"/>
    <mergeCell ref="B3479:C3479"/>
    <mergeCell ref="A3486:A3487"/>
    <mergeCell ref="A3488:A3489"/>
    <mergeCell ref="A3520:D3520"/>
    <mergeCell ref="A3703:A3704"/>
    <mergeCell ref="B3697:C3697"/>
    <mergeCell ref="A3647:A3648"/>
    <mergeCell ref="A3650:D3650"/>
    <mergeCell ref="B3653:C3653"/>
    <mergeCell ref="A3660:A3661"/>
    <mergeCell ref="A3662:A3663"/>
    <mergeCell ref="A3631:A3632"/>
    <mergeCell ref="A3633:A3634"/>
    <mergeCell ref="A3636:D3636"/>
    <mergeCell ref="B3639:C3639"/>
    <mergeCell ref="A3502:A3503"/>
    <mergeCell ref="A3505:D3505"/>
    <mergeCell ref="B3508:C3508"/>
    <mergeCell ref="A3515:A3516"/>
    <mergeCell ref="A3517:A3518"/>
    <mergeCell ref="B3537:C3537"/>
    <mergeCell ref="A3544:A3545"/>
    <mergeCell ref="A3549:D3549"/>
    <mergeCell ref="B3552:C3552"/>
    <mergeCell ref="A3558:A3559"/>
    <mergeCell ref="B3073:C3073"/>
    <mergeCell ref="A3065:A3066"/>
    <mergeCell ref="A3152:A3153"/>
    <mergeCell ref="A3154:A3155"/>
    <mergeCell ref="A3157:D3157"/>
    <mergeCell ref="B3160:C3160"/>
    <mergeCell ref="A3167:A3168"/>
    <mergeCell ref="A3125:A3126"/>
    <mergeCell ref="A3128:D3128"/>
    <mergeCell ref="B3131:C3131"/>
    <mergeCell ref="A3138:A3139"/>
    <mergeCell ref="A3140:A3141"/>
    <mergeCell ref="A3143:D3143"/>
    <mergeCell ref="A3085:D3085"/>
    <mergeCell ref="B3088:C3088"/>
    <mergeCell ref="A3094:A3095"/>
    <mergeCell ref="A3099:D3099"/>
    <mergeCell ref="B3102:C3102"/>
    <mergeCell ref="A3109:A3110"/>
    <mergeCell ref="A3114:D3114"/>
    <mergeCell ref="B3117:C3117"/>
    <mergeCell ref="A2809:D2809"/>
    <mergeCell ref="A2777:A2778"/>
    <mergeCell ref="A2766:D2766"/>
    <mergeCell ref="B2769:C2769"/>
    <mergeCell ref="A2717:A2718"/>
    <mergeCell ref="A2719:A2720"/>
    <mergeCell ref="A2722:D2722"/>
    <mergeCell ref="A2661:A2662"/>
    <mergeCell ref="A2676:A2677"/>
    <mergeCell ref="A2674:A2675"/>
    <mergeCell ref="A2616:A2617"/>
    <mergeCell ref="A2618:A2619"/>
    <mergeCell ref="A2621:D2621"/>
    <mergeCell ref="B2624:C2624"/>
    <mergeCell ref="A2601:A2602"/>
    <mergeCell ref="A2603:A2604"/>
    <mergeCell ref="A2606:D2606"/>
    <mergeCell ref="B2609:C2609"/>
    <mergeCell ref="A2645:A2646"/>
    <mergeCell ref="A2647:A2648"/>
    <mergeCell ref="A2650:D2650"/>
    <mergeCell ref="B2653:C2653"/>
    <mergeCell ref="A2659:A2660"/>
    <mergeCell ref="A2664:D2664"/>
    <mergeCell ref="A2795:D2795"/>
    <mergeCell ref="A2447:D2447"/>
    <mergeCell ref="B2450:C2450"/>
    <mergeCell ref="A2413:A2414"/>
    <mergeCell ref="A2415:A2416"/>
    <mergeCell ref="A2418:D2418"/>
    <mergeCell ref="B2421:C2421"/>
    <mergeCell ref="A2400:A2401"/>
    <mergeCell ref="A2403:D2403"/>
    <mergeCell ref="B2406:C2406"/>
    <mergeCell ref="B2363:C2363"/>
    <mergeCell ref="A2311:A2312"/>
    <mergeCell ref="A2313:A2314"/>
    <mergeCell ref="A2316:D2316"/>
    <mergeCell ref="B2319:C2319"/>
    <mergeCell ref="A2268:A2269"/>
    <mergeCell ref="A2270:A2271"/>
    <mergeCell ref="A2241:A2242"/>
    <mergeCell ref="A2427:A2428"/>
    <mergeCell ref="A2429:A2430"/>
    <mergeCell ref="A2432:D2432"/>
    <mergeCell ref="B2435:C2435"/>
    <mergeCell ref="A2442:A2443"/>
    <mergeCell ref="A2444:A2445"/>
    <mergeCell ref="A2386:A2387"/>
    <mergeCell ref="A2389:D2389"/>
    <mergeCell ref="B2392:C2392"/>
    <mergeCell ref="A2398:A2399"/>
    <mergeCell ref="A2371:A2372"/>
    <mergeCell ref="A2369:A2370"/>
    <mergeCell ref="A2374:D2374"/>
    <mergeCell ref="B2377:C2377"/>
    <mergeCell ref="A2384:A2385"/>
    <mergeCell ref="A2226:A2227"/>
    <mergeCell ref="A2224:A2225"/>
    <mergeCell ref="A2229:D2229"/>
    <mergeCell ref="A2186:D2186"/>
    <mergeCell ref="B2189:C2189"/>
    <mergeCell ref="A2166:A2167"/>
    <mergeCell ref="A2168:A2169"/>
    <mergeCell ref="A2171:D2171"/>
    <mergeCell ref="B2174:C2174"/>
    <mergeCell ref="A2181:A2182"/>
    <mergeCell ref="A2183:A2184"/>
    <mergeCell ref="A2123:A2124"/>
    <mergeCell ref="A2139:A2140"/>
    <mergeCell ref="A2108:A2109"/>
    <mergeCell ref="B2087:C2087"/>
    <mergeCell ref="A2094:A2095"/>
    <mergeCell ref="A2065:A2066"/>
    <mergeCell ref="A2195:A2196"/>
    <mergeCell ref="A2197:A2198"/>
    <mergeCell ref="A2200:D2200"/>
    <mergeCell ref="B2203:C2203"/>
    <mergeCell ref="A2210:A2211"/>
    <mergeCell ref="A2212:A2213"/>
    <mergeCell ref="A2142:D2142"/>
    <mergeCell ref="B2145:C2145"/>
    <mergeCell ref="A2152:A2153"/>
    <mergeCell ref="A2154:A2155"/>
    <mergeCell ref="A2157:D2157"/>
    <mergeCell ref="B2160:C2160"/>
    <mergeCell ref="A2096:A2097"/>
    <mergeCell ref="A2099:D2099"/>
    <mergeCell ref="B2102:C2102"/>
    <mergeCell ref="B1884:C1884"/>
    <mergeCell ref="A1862:A1863"/>
    <mergeCell ref="A1806:A1807"/>
    <mergeCell ref="A1818:A1819"/>
    <mergeCell ref="A1820:A1821"/>
    <mergeCell ref="A1791:A1792"/>
    <mergeCell ref="A1775:A1776"/>
    <mergeCell ref="A1777:A1778"/>
    <mergeCell ref="A1867:D1867"/>
    <mergeCell ref="B1870:C1870"/>
    <mergeCell ref="A1876:A1877"/>
    <mergeCell ref="A1878:A1879"/>
    <mergeCell ref="A1881:D1881"/>
    <mergeCell ref="A1823:D1823"/>
    <mergeCell ref="B1826:C1826"/>
    <mergeCell ref="A1833:A1834"/>
    <mergeCell ref="A1835:A1836"/>
    <mergeCell ref="A1838:D1838"/>
    <mergeCell ref="B1841:C1841"/>
    <mergeCell ref="A1780:D1780"/>
    <mergeCell ref="B1783:C1783"/>
    <mergeCell ref="A1789:A1790"/>
    <mergeCell ref="A1794:D1794"/>
    <mergeCell ref="B1797:C1797"/>
    <mergeCell ref="A1804:A1805"/>
    <mergeCell ref="A1847:A1848"/>
    <mergeCell ref="A1849:A1850"/>
    <mergeCell ref="A1852:D1852"/>
    <mergeCell ref="B1855:C1855"/>
    <mergeCell ref="A1809:D1809"/>
    <mergeCell ref="B1812:C1812"/>
    <mergeCell ref="A1356:A1357"/>
    <mergeCell ref="A1371:A1372"/>
    <mergeCell ref="A1369:A1370"/>
    <mergeCell ref="A1374:D1374"/>
    <mergeCell ref="A1311:A1312"/>
    <mergeCell ref="A1313:A1314"/>
    <mergeCell ref="A1316:D1316"/>
    <mergeCell ref="B1319:C1319"/>
    <mergeCell ref="A1325:A1326"/>
    <mergeCell ref="A1327:A1328"/>
    <mergeCell ref="B1435:C1435"/>
    <mergeCell ref="A1441:A1442"/>
    <mergeCell ref="A1443:A1444"/>
    <mergeCell ref="A1446:D1446"/>
    <mergeCell ref="B1449:C1449"/>
    <mergeCell ref="A1456:A1457"/>
    <mergeCell ref="A1414:A1415"/>
    <mergeCell ref="A1417:D1417"/>
    <mergeCell ref="B1420:C1420"/>
    <mergeCell ref="A1427:A1428"/>
    <mergeCell ref="A1429:A1430"/>
    <mergeCell ref="A1432:D1432"/>
    <mergeCell ref="B1377:C1377"/>
    <mergeCell ref="A1383:A1384"/>
    <mergeCell ref="A1385:A1386"/>
    <mergeCell ref="A1388:D1388"/>
    <mergeCell ref="B1391:C1391"/>
    <mergeCell ref="A1398:A1399"/>
    <mergeCell ref="A1400:A1401"/>
    <mergeCell ref="A1403:D1403"/>
    <mergeCell ref="B1406:C1406"/>
    <mergeCell ref="B1188:C1188"/>
    <mergeCell ref="A1153:A1154"/>
    <mergeCell ref="B1145:C1145"/>
    <mergeCell ref="A1122:A1123"/>
    <mergeCell ref="A1124:A1125"/>
    <mergeCell ref="A1098:D1098"/>
    <mergeCell ref="B1101:C1101"/>
    <mergeCell ref="A1050:A1051"/>
    <mergeCell ref="A1052:A1053"/>
    <mergeCell ref="A1055:D1055"/>
    <mergeCell ref="B1058:C1058"/>
    <mergeCell ref="A1006:A1007"/>
    <mergeCell ref="A1008:A1009"/>
    <mergeCell ref="A963:A964"/>
    <mergeCell ref="A965:A966"/>
    <mergeCell ref="A936:A937"/>
    <mergeCell ref="A921:A922"/>
    <mergeCell ref="A1142:D1142"/>
    <mergeCell ref="A968:D968"/>
    <mergeCell ref="B971:C971"/>
    <mergeCell ref="A977:A978"/>
    <mergeCell ref="A979:A980"/>
    <mergeCell ref="A982:D982"/>
    <mergeCell ref="B985:C985"/>
    <mergeCell ref="A924:D924"/>
    <mergeCell ref="B927:C927"/>
    <mergeCell ref="A934:A935"/>
    <mergeCell ref="A939:D939"/>
    <mergeCell ref="B942:C942"/>
    <mergeCell ref="A948:A949"/>
    <mergeCell ref="A1035:A1036"/>
    <mergeCell ref="A1037:A1038"/>
    <mergeCell ref="B739:C739"/>
    <mergeCell ref="B695:C695"/>
    <mergeCell ref="B666:C666"/>
    <mergeCell ref="A673:A674"/>
    <mergeCell ref="B623:C623"/>
    <mergeCell ref="A629:A630"/>
    <mergeCell ref="A600:A601"/>
    <mergeCell ref="A557:A558"/>
    <mergeCell ref="A559:A560"/>
    <mergeCell ref="A501:A502"/>
    <mergeCell ref="A515:A516"/>
    <mergeCell ref="A518:D518"/>
    <mergeCell ref="A486:A487"/>
    <mergeCell ref="B492:C492"/>
    <mergeCell ref="A472:A473"/>
    <mergeCell ref="A431:D431"/>
    <mergeCell ref="B434:C434"/>
    <mergeCell ref="A441:A442"/>
    <mergeCell ref="A443:A444"/>
    <mergeCell ref="A446:D446"/>
    <mergeCell ref="B449:C449"/>
    <mergeCell ref="A733:A734"/>
    <mergeCell ref="A721:D721"/>
    <mergeCell ref="B724:C724"/>
    <mergeCell ref="A731:A732"/>
    <mergeCell ref="A736:D736"/>
    <mergeCell ref="A602:A603"/>
    <mergeCell ref="A605:D605"/>
    <mergeCell ref="B608:C608"/>
    <mergeCell ref="A615:A616"/>
    <mergeCell ref="A617:A618"/>
    <mergeCell ref="A620:D620"/>
    <mergeCell ref="A51:A52"/>
    <mergeCell ref="A66:A67"/>
    <mergeCell ref="A64:A65"/>
    <mergeCell ref="A35:A36"/>
    <mergeCell ref="A6:A7"/>
    <mergeCell ref="A8:A9"/>
    <mergeCell ref="A11:D11"/>
    <mergeCell ref="B14:C14"/>
    <mergeCell ref="A385:A386"/>
    <mergeCell ref="A388:D388"/>
    <mergeCell ref="B391:C391"/>
    <mergeCell ref="A397:A398"/>
    <mergeCell ref="A368:A369"/>
    <mergeCell ref="A383:A384"/>
    <mergeCell ref="A373:D373"/>
    <mergeCell ref="B376:C376"/>
    <mergeCell ref="A341:A342"/>
    <mergeCell ref="A330:D330"/>
    <mergeCell ref="B333:C333"/>
    <mergeCell ref="A286:D286"/>
    <mergeCell ref="A196:A197"/>
    <mergeCell ref="A199:D199"/>
    <mergeCell ref="B202:C202"/>
    <mergeCell ref="A151:A152"/>
    <mergeCell ref="A107:A108"/>
    <mergeCell ref="A109:A110"/>
    <mergeCell ref="A49:A50"/>
    <mergeCell ref="B57:C57"/>
    <mergeCell ref="A272:D272"/>
    <mergeCell ref="B275:C275"/>
    <mergeCell ref="A281:A282"/>
    <mergeCell ref="A283:A28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AE4FC-304F-4616-AB44-3DB763B3CBA6}">
  <sheetPr codeName="Sheet4"/>
  <dimension ref="A1:AK1048574"/>
  <sheetViews>
    <sheetView tabSelected="1" zoomScale="85" zoomScaleNormal="85" workbookViewId="0">
      <selection activeCell="B12" sqref="B12"/>
    </sheetView>
  </sheetViews>
  <sheetFormatPr defaultColWidth="0" defaultRowHeight="15" zeroHeight="1" x14ac:dyDescent="0.25"/>
  <cols>
    <col min="1" max="1" width="10.28515625" style="172" customWidth="1"/>
    <col min="2" max="2" width="10.5703125" style="172" customWidth="1"/>
    <col min="3" max="5" width="10" style="172" customWidth="1"/>
    <col min="6" max="6" width="9.140625" style="172" customWidth="1"/>
    <col min="7" max="7" width="21.140625" style="172" customWidth="1"/>
    <col min="8" max="8" width="12.28515625" style="172" hidden="1" customWidth="1"/>
    <col min="9" max="20" width="9.140625" style="172" hidden="1" customWidth="1"/>
    <col min="21" max="16384" width="8.7109375" style="172" hidden="1"/>
  </cols>
  <sheetData>
    <row r="1" spans="1:37" ht="20.25" customHeight="1" x14ac:dyDescent="0.25">
      <c r="A1" s="171" t="s">
        <v>1</v>
      </c>
      <c r="B1" s="171" t="s">
        <v>2</v>
      </c>
      <c r="C1" s="171" t="s">
        <v>3</v>
      </c>
      <c r="D1" s="171" t="s">
        <v>14</v>
      </c>
      <c r="E1" s="171"/>
      <c r="F1" s="23">
        <v>4</v>
      </c>
      <c r="G1" s="23"/>
      <c r="H1" s="23"/>
      <c r="J1" s="39"/>
      <c r="K1" s="39"/>
      <c r="L1" s="39"/>
      <c r="M1" s="39"/>
      <c r="N1" s="39"/>
      <c r="O1" s="39"/>
      <c r="P1" s="39"/>
      <c r="Q1" s="39"/>
      <c r="R1" s="39"/>
      <c r="S1" s="39" t="s">
        <v>57</v>
      </c>
      <c r="T1" s="39"/>
      <c r="U1" s="39"/>
      <c r="V1" s="39"/>
      <c r="W1" s="39"/>
      <c r="X1" s="39" t="s">
        <v>313</v>
      </c>
      <c r="Y1" s="39">
        <v>1</v>
      </c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</row>
    <row r="2" spans="1:37" ht="6.75" customHeight="1" x14ac:dyDescent="0.25">
      <c r="A2" s="25"/>
      <c r="B2" s="26"/>
      <c r="C2" s="26"/>
      <c r="D2" s="26"/>
      <c r="E2" s="27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 t="s">
        <v>57</v>
      </c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</row>
    <row r="3" spans="1:37" ht="8.25" customHeight="1" thickBot="1" x14ac:dyDescent="0.3">
      <c r="A3" s="29"/>
      <c r="B3" s="30"/>
      <c r="C3" s="30"/>
      <c r="D3" s="30"/>
      <c r="E3" s="27"/>
      <c r="F3" s="173"/>
      <c r="G3" s="173"/>
      <c r="H3" s="173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</row>
    <row r="4" spans="1:37" ht="20.25" customHeight="1" thickBot="1" x14ac:dyDescent="0.3">
      <c r="A4" s="19" t="s">
        <v>15</v>
      </c>
      <c r="B4" s="20"/>
      <c r="C4" s="219" t="s">
        <v>315</v>
      </c>
      <c r="D4" s="198"/>
      <c r="E4" s="31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 t="s">
        <v>314</v>
      </c>
      <c r="Y4" s="39">
        <v>6</v>
      </c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</row>
    <row r="5" spans="1:37" ht="19.5" customHeight="1" thickBot="1" x14ac:dyDescent="0.3">
      <c r="A5" s="19" t="s">
        <v>311</v>
      </c>
      <c r="B5" s="20"/>
      <c r="C5" s="174"/>
      <c r="D5" s="199"/>
      <c r="E5" s="31"/>
      <c r="F5" s="39"/>
      <c r="G5" s="39"/>
      <c r="H5" s="39"/>
      <c r="I5" s="39"/>
      <c r="J5" s="39"/>
      <c r="K5" s="39"/>
      <c r="L5" s="173"/>
      <c r="M5" s="39"/>
      <c r="N5" s="39"/>
      <c r="O5" s="39"/>
      <c r="P5" s="39"/>
      <c r="Q5" s="39"/>
      <c r="R5" s="39"/>
      <c r="S5" s="39">
        <v>748</v>
      </c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</row>
    <row r="6" spans="1:37" ht="21" hidden="1" customHeight="1" thickBot="1" x14ac:dyDescent="0.3">
      <c r="A6" s="19" t="str">
        <f>CONCATENATE(C5,"-",Y1)</f>
        <v>-1</v>
      </c>
      <c r="B6" s="200"/>
      <c r="C6" s="200"/>
      <c r="D6" s="20"/>
      <c r="E6" s="31"/>
      <c r="F6" s="39"/>
      <c r="G6" s="39"/>
      <c r="H6" s="39"/>
      <c r="I6" s="39"/>
      <c r="J6" s="39"/>
      <c r="K6" s="39"/>
      <c r="L6" s="173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</row>
    <row r="7" spans="1:37" ht="6.75" customHeight="1" thickBot="1" x14ac:dyDescent="0.3">
      <c r="A7" s="175"/>
      <c r="B7" s="31"/>
      <c r="C7" s="175"/>
      <c r="D7" s="176"/>
      <c r="E7" s="176"/>
      <c r="F7" s="173"/>
      <c r="G7" s="173"/>
      <c r="H7" s="173"/>
      <c r="I7" s="39"/>
      <c r="J7" s="39"/>
      <c r="K7" s="39"/>
      <c r="L7" s="173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</row>
    <row r="8" spans="1:37" ht="21" customHeight="1" thickBot="1" x14ac:dyDescent="0.3">
      <c r="A8" s="56" t="s">
        <v>13</v>
      </c>
      <c r="B8" s="35" t="s">
        <v>317</v>
      </c>
      <c r="C8" s="35"/>
      <c r="D8" s="35"/>
      <c r="E8" s="36"/>
      <c r="J8" s="39"/>
      <c r="K8" s="39" t="s">
        <v>43</v>
      </c>
      <c r="L8" s="173" t="s">
        <v>41</v>
      </c>
      <c r="M8" s="39" t="s">
        <v>42</v>
      </c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</row>
    <row r="9" spans="1:37" ht="20.25" customHeight="1" thickBot="1" x14ac:dyDescent="0.3">
      <c r="A9" s="56" t="s">
        <v>4</v>
      </c>
      <c r="B9" s="55"/>
      <c r="C9" s="55"/>
      <c r="D9" s="55"/>
      <c r="E9" s="177"/>
      <c r="G9" s="178"/>
      <c r="H9" s="178"/>
      <c r="I9" s="172" t="s">
        <v>25</v>
      </c>
      <c r="J9" s="39"/>
      <c r="K9" s="179">
        <f ca="1">TODAY()</f>
        <v>44590</v>
      </c>
      <c r="L9" s="173">
        <v>8</v>
      </c>
      <c r="M9" s="39" t="e">
        <f ca="1">VLOOKUP(K9,H11:J22,3,0)</f>
        <v>#N/A</v>
      </c>
      <c r="N9" s="39">
        <f ca="1">IF(_xlfn.VALUETOTEXT(K9)="Oct",1,0)</f>
        <v>0</v>
      </c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</row>
    <row r="10" spans="1:37" ht="20.25" customHeight="1" thickBot="1" x14ac:dyDescent="0.3">
      <c r="A10" s="56" t="s">
        <v>5</v>
      </c>
      <c r="B10" s="55"/>
      <c r="C10" s="55"/>
      <c r="D10" s="55"/>
      <c r="E10" s="177"/>
      <c r="G10" s="178"/>
      <c r="H10" s="178"/>
      <c r="J10" s="39"/>
      <c r="K10" s="172" t="str">
        <f ca="1">_xlfn.VALUETOTEXT(K9)</f>
        <v>44590</v>
      </c>
      <c r="L10" s="173"/>
      <c r="M10" s="39" t="s">
        <v>316</v>
      </c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</row>
    <row r="11" spans="1:37" ht="20.25" customHeight="1" thickBot="1" x14ac:dyDescent="0.3">
      <c r="A11" s="56" t="s">
        <v>6</v>
      </c>
      <c r="B11" s="55"/>
      <c r="C11" s="55"/>
      <c r="D11" s="55"/>
      <c r="E11" s="177"/>
      <c r="G11" s="173"/>
      <c r="H11" s="178" t="s">
        <v>30</v>
      </c>
      <c r="I11" s="172">
        <v>1</v>
      </c>
      <c r="J11" s="39" t="s">
        <v>20</v>
      </c>
      <c r="K11" s="39"/>
      <c r="L11" s="173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</row>
    <row r="12" spans="1:37" ht="20.25" customHeight="1" thickBot="1" x14ac:dyDescent="0.3">
      <c r="A12" s="56" t="s">
        <v>7</v>
      </c>
      <c r="B12" s="55"/>
      <c r="C12" s="55"/>
      <c r="D12" s="55"/>
      <c r="E12" s="177"/>
      <c r="G12" s="178"/>
      <c r="H12" s="180" t="s">
        <v>31</v>
      </c>
      <c r="I12" s="172">
        <v>2</v>
      </c>
      <c r="J12" s="39" t="s">
        <v>21</v>
      </c>
      <c r="K12" s="39"/>
      <c r="L12" s="173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</row>
    <row r="13" spans="1:37" ht="20.25" customHeight="1" thickBot="1" x14ac:dyDescent="0.3">
      <c r="A13" s="56" t="s">
        <v>8</v>
      </c>
      <c r="B13" s="55"/>
      <c r="C13" s="55"/>
      <c r="D13" s="55"/>
      <c r="E13" s="177"/>
      <c r="G13" s="178"/>
      <c r="H13" s="178" t="s">
        <v>32</v>
      </c>
      <c r="I13" s="172">
        <v>3</v>
      </c>
      <c r="J13" s="39" t="s">
        <v>22</v>
      </c>
      <c r="K13" s="39"/>
      <c r="L13" s="173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</row>
    <row r="14" spans="1:37" ht="20.25" customHeight="1" thickBot="1" x14ac:dyDescent="0.3">
      <c r="A14" s="56" t="s">
        <v>9</v>
      </c>
      <c r="B14" s="55"/>
      <c r="C14" s="55"/>
      <c r="D14" s="55"/>
      <c r="E14" s="177"/>
      <c r="G14" s="178"/>
      <c r="H14" s="178" t="s">
        <v>33</v>
      </c>
      <c r="I14" s="172">
        <v>4</v>
      </c>
      <c r="J14" s="39" t="s">
        <v>23</v>
      </c>
      <c r="K14" s="39"/>
      <c r="L14" s="173"/>
      <c r="M14" s="39"/>
      <c r="N14" s="37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</row>
    <row r="15" spans="1:37" ht="20.25" customHeight="1" thickBot="1" x14ac:dyDescent="0.3">
      <c r="A15" s="56" t="s">
        <v>11</v>
      </c>
      <c r="B15" s="55"/>
      <c r="C15" s="55"/>
      <c r="D15" s="55"/>
      <c r="E15" s="177"/>
      <c r="G15" s="178"/>
      <c r="H15" s="178" t="s">
        <v>34</v>
      </c>
      <c r="I15" s="172">
        <v>5</v>
      </c>
      <c r="J15" s="39" t="s">
        <v>24</v>
      </c>
      <c r="K15" s="39"/>
      <c r="L15" s="173"/>
      <c r="M15" s="39"/>
      <c r="N15" s="37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</row>
    <row r="16" spans="1:37" ht="20.25" customHeight="1" thickBot="1" x14ac:dyDescent="0.3">
      <c r="A16" s="56" t="s">
        <v>12</v>
      </c>
      <c r="B16" s="55"/>
      <c r="C16" s="55"/>
      <c r="D16" s="55"/>
      <c r="E16" s="177"/>
      <c r="G16" s="178"/>
      <c r="H16" s="178" t="s">
        <v>35</v>
      </c>
      <c r="I16" s="172">
        <v>6</v>
      </c>
      <c r="J16" s="39" t="s">
        <v>25</v>
      </c>
      <c r="K16" s="39"/>
      <c r="L16" s="173"/>
      <c r="M16" s="39"/>
      <c r="N16" s="37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</row>
    <row r="17" spans="1:37" ht="20.25" customHeight="1" thickBot="1" x14ac:dyDescent="0.3">
      <c r="A17" s="56" t="s">
        <v>70</v>
      </c>
      <c r="B17" s="55"/>
      <c r="C17" s="55"/>
      <c r="D17" s="55"/>
      <c r="E17" s="177"/>
      <c r="G17" s="178"/>
      <c r="H17" s="178" t="s">
        <v>36</v>
      </c>
      <c r="I17" s="172">
        <v>7</v>
      </c>
      <c r="J17" s="39" t="s">
        <v>26</v>
      </c>
      <c r="K17" s="39"/>
      <c r="L17" s="173"/>
      <c r="M17" s="39"/>
      <c r="N17" s="37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</row>
    <row r="18" spans="1:37" ht="15" customHeight="1" thickBot="1" x14ac:dyDescent="0.3">
      <c r="A18" s="297" t="s">
        <v>18</v>
      </c>
      <c r="B18" s="298"/>
      <c r="C18" s="298"/>
      <c r="D18" s="299"/>
      <c r="E18" s="181"/>
      <c r="F18" s="37"/>
      <c r="G18" s="37"/>
      <c r="H18" s="37" t="s">
        <v>37</v>
      </c>
      <c r="I18" s="37">
        <v>8</v>
      </c>
      <c r="J18" s="37" t="s">
        <v>27</v>
      </c>
      <c r="K18" s="39"/>
      <c r="L18" s="173"/>
      <c r="M18" s="39"/>
      <c r="N18" s="37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</row>
    <row r="19" spans="1:37" ht="20.25" customHeight="1" x14ac:dyDescent="0.25">
      <c r="A19" s="182"/>
      <c r="B19" s="93"/>
      <c r="C19" s="93"/>
      <c r="D19" s="94"/>
      <c r="E19" s="37"/>
      <c r="F19" s="37"/>
      <c r="G19" s="37"/>
      <c r="H19" s="37" t="s">
        <v>38</v>
      </c>
      <c r="I19" s="37">
        <v>9</v>
      </c>
      <c r="J19" s="39" t="s">
        <v>28</v>
      </c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</row>
    <row r="20" spans="1:37" ht="21" customHeight="1" thickBot="1" x14ac:dyDescent="0.3">
      <c r="A20" s="183"/>
      <c r="B20" s="184"/>
      <c r="C20" s="185"/>
      <c r="D20" s="186"/>
      <c r="E20" s="176"/>
      <c r="F20" s="173"/>
      <c r="G20" s="173"/>
      <c r="H20" s="173" t="s">
        <v>45</v>
      </c>
      <c r="I20" s="39">
        <v>10</v>
      </c>
      <c r="J20" s="39" t="s">
        <v>46</v>
      </c>
      <c r="K20" s="39"/>
      <c r="L20" s="173"/>
      <c r="M20" s="39"/>
      <c r="N20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</row>
    <row r="21" spans="1:37" ht="21.75" customHeight="1" thickBot="1" x14ac:dyDescent="0.3">
      <c r="A21" s="187" t="s">
        <v>17</v>
      </c>
      <c r="B21" s="188"/>
      <c r="C21" s="189">
        <f>SUM(D9:D17)+SUM(C9:C17)+SUM(B9:B17)</f>
        <v>0</v>
      </c>
      <c r="D21" s="188"/>
      <c r="E21" s="37"/>
      <c r="F21" s="37"/>
      <c r="G21" s="37"/>
      <c r="H21" s="37" t="s">
        <v>39</v>
      </c>
      <c r="I21" s="37">
        <v>11</v>
      </c>
      <c r="J21" s="37" t="s">
        <v>29</v>
      </c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</row>
    <row r="22" spans="1:37" ht="20.25" customHeight="1" thickBot="1" x14ac:dyDescent="0.3">
      <c r="A22" s="190">
        <v>7</v>
      </c>
      <c r="B22" s="295" t="s">
        <v>10</v>
      </c>
      <c r="C22" s="296"/>
      <c r="D22" s="190"/>
      <c r="E22" s="37"/>
      <c r="F22" s="37"/>
      <c r="G22" s="37"/>
      <c r="H22" s="37" t="s">
        <v>40</v>
      </c>
      <c r="I22" s="37">
        <v>12</v>
      </c>
      <c r="J22" s="37" t="s">
        <v>7</v>
      </c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</row>
    <row r="23" spans="1:37" ht="15.75" customHeight="1" thickBot="1" x14ac:dyDescent="0.3">
      <c r="A23" s="191" t="s">
        <v>44</v>
      </c>
      <c r="B23" s="192">
        <f ca="1">TODAY()</f>
        <v>44590</v>
      </c>
      <c r="C23" s="193" t="str">
        <f>CONCATENATE("  -  ",BDA!$M$10,"  -  ")</f>
        <v xml:space="preserve">  -  CB  -  </v>
      </c>
      <c r="D23" s="194">
        <f ca="1">K9</f>
        <v>44590</v>
      </c>
      <c r="E23" s="37"/>
      <c r="F23" s="37"/>
      <c r="G23" s="37"/>
      <c r="H23" s="37"/>
      <c r="I23" s="37"/>
      <c r="J23" s="37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</row>
    <row r="24" spans="1:37" ht="21.75" customHeight="1" x14ac:dyDescent="0.25">
      <c r="A24" s="195"/>
      <c r="B24" s="37"/>
      <c r="C24" s="37"/>
      <c r="D24" s="37"/>
      <c r="E24" s="37"/>
      <c r="F24" s="37"/>
      <c r="G24" s="37"/>
      <c r="H24" s="37"/>
      <c r="I24" s="37"/>
      <c r="J24" s="37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</row>
    <row r="25" spans="1:37" ht="35.25" hidden="1" customHeight="1" x14ac:dyDescent="0.25">
      <c r="A25" s="37"/>
      <c r="B25" s="37"/>
      <c r="C25" s="37"/>
      <c r="D25" s="37"/>
      <c r="E25" s="37"/>
      <c r="F25" s="37"/>
      <c r="G25" s="37"/>
      <c r="H25" s="37"/>
      <c r="I25" s="37"/>
      <c r="J25" s="37"/>
    </row>
    <row r="26" spans="1:37" ht="15" hidden="1" customHeight="1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</row>
    <row r="27" spans="1:37" ht="18.75" hidden="1" customHeight="1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172" t="str">
        <f>_xlfn.VALUETOTEXT(H20)</f>
        <v>Oct</v>
      </c>
    </row>
    <row r="28" spans="1:37" ht="21" hidden="1" customHeight="1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</row>
    <row r="29" spans="1:37" ht="15" hidden="1" customHeight="1" x14ac:dyDescent="0.25">
      <c r="A29" s="37"/>
      <c r="B29" s="37"/>
      <c r="C29" s="37"/>
      <c r="D29" s="37"/>
      <c r="E29" s="37"/>
      <c r="F29" s="37"/>
      <c r="G29" s="37"/>
      <c r="H29" s="37"/>
      <c r="I29" s="37"/>
      <c r="J29" s="37"/>
    </row>
    <row r="30" spans="1:37" ht="8.25" hidden="1" customHeight="1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</row>
    <row r="31" spans="1:37" ht="15" hidden="1" customHeight="1" x14ac:dyDescent="0.25">
      <c r="A31" s="37"/>
      <c r="B31" s="37"/>
      <c r="C31" s="37"/>
      <c r="D31" s="37"/>
      <c r="E31" s="37"/>
      <c r="F31" s="37"/>
      <c r="G31" s="37"/>
      <c r="H31" s="37"/>
      <c r="I31" s="37"/>
      <c r="J31" s="37"/>
    </row>
    <row r="32" spans="1:37" ht="15" hidden="1" customHeight="1" x14ac:dyDescent="0.25">
      <c r="A32" s="37"/>
      <c r="B32" s="37"/>
      <c r="C32" s="37"/>
      <c r="D32" s="37"/>
      <c r="E32" s="37"/>
      <c r="F32" s="37"/>
      <c r="G32" s="37"/>
      <c r="H32" s="37"/>
      <c r="I32" s="37"/>
      <c r="J32" s="37"/>
    </row>
    <row r="33" spans="1:10" ht="15" hidden="1" customHeight="1" x14ac:dyDescent="0.25">
      <c r="A33" s="37"/>
      <c r="B33" s="37"/>
      <c r="C33" s="37"/>
      <c r="D33" s="37"/>
      <c r="E33" s="37"/>
      <c r="F33" s="37"/>
      <c r="G33" s="37"/>
      <c r="H33" s="37"/>
      <c r="I33" s="37"/>
      <c r="J33" s="37"/>
    </row>
    <row r="34" spans="1:10" ht="15" hidden="1" customHeight="1" x14ac:dyDescent="0.25">
      <c r="A34" s="37"/>
      <c r="B34" s="37"/>
      <c r="C34" s="37"/>
      <c r="D34" s="37"/>
      <c r="E34" s="37"/>
      <c r="F34" s="37"/>
      <c r="G34" s="37"/>
      <c r="H34" s="37"/>
      <c r="I34" s="37"/>
      <c r="J34" s="37"/>
    </row>
    <row r="35" spans="1:10" hidden="1" x14ac:dyDescent="0.25">
      <c r="A35" s="39"/>
      <c r="B35" s="39"/>
      <c r="C35" s="39"/>
      <c r="D35" s="39"/>
      <c r="E35" s="39"/>
      <c r="F35" s="39"/>
      <c r="G35" s="39"/>
      <c r="H35" s="39"/>
    </row>
    <row r="36" spans="1:10" hidden="1" x14ac:dyDescent="0.25">
      <c r="A36" s="39"/>
      <c r="B36" s="39"/>
      <c r="C36" s="39"/>
      <c r="D36" s="39"/>
      <c r="E36" s="39"/>
      <c r="F36" s="39"/>
      <c r="G36" s="39"/>
      <c r="H36" s="39"/>
    </row>
    <row r="37" spans="1:10" hidden="1" x14ac:dyDescent="0.25">
      <c r="A37" s="39"/>
      <c r="B37" s="39"/>
      <c r="C37" s="39"/>
      <c r="D37" s="39"/>
      <c r="E37" s="39"/>
      <c r="F37" s="39"/>
      <c r="G37" s="39"/>
      <c r="H37" s="39"/>
    </row>
    <row r="1048574" ht="33" hidden="1" customHeight="1" x14ac:dyDescent="0.25"/>
  </sheetData>
  <sheetProtection algorithmName="SHA-512" hashValue="fld549INl0QMJDgzB1NeNScD8bZcOwj1iAWMqyqfLTT54TWAThgiS3LsTtojKxGYBKsdu90qauDhuPNxJVIAaA==" saltValue="7866D/Onf0EphbljgfqXCg==" spinCount="100000" sheet="1" objects="1" scenarios="1" selectLockedCells="1"/>
  <mergeCells count="2">
    <mergeCell ref="B22:C22"/>
    <mergeCell ref="A18:D18"/>
  </mergeCells>
  <phoneticPr fontId="10" type="noConversion"/>
  <printOptions horizontalCentered="1" verticalCentered="1"/>
  <pageMargins left="0.2" right="0.25" top="0.1" bottom="0.1" header="0" footer="0"/>
  <pageSetup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>
                <anchor moveWithCells="1">
                  <from>
                    <xdr:col>0</xdr:col>
                    <xdr:colOff>257175</xdr:colOff>
                    <xdr:row>0</xdr:row>
                    <xdr:rowOff>209550</xdr:rowOff>
                  </from>
                  <to>
                    <xdr:col>0</xdr:col>
                    <xdr:colOff>561975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Option Button 3">
              <controlPr defaultSize="0" autoFill="0" autoLine="0" autoPict="0">
                <anchor moveWithCells="1">
                  <from>
                    <xdr:col>1</xdr:col>
                    <xdr:colOff>285750</xdr:colOff>
                    <xdr:row>0</xdr:row>
                    <xdr:rowOff>209550</xdr:rowOff>
                  </from>
                  <to>
                    <xdr:col>1</xdr:col>
                    <xdr:colOff>590550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Option Button 4">
              <controlPr defaultSize="0" autoFill="0" autoLine="0" autoPict="0">
                <anchor moveWithCells="1">
                  <from>
                    <xdr:col>2</xdr:col>
                    <xdr:colOff>247650</xdr:colOff>
                    <xdr:row>0</xdr:row>
                    <xdr:rowOff>209550</xdr:rowOff>
                  </from>
                  <to>
                    <xdr:col>2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Option Button 5">
              <controlPr defaultSize="0" autoFill="0" autoLine="0" autoPict="0">
                <anchor moveWithCells="1">
                  <from>
                    <xdr:col>3</xdr:col>
                    <xdr:colOff>219075</xdr:colOff>
                    <xdr:row>0</xdr:row>
                    <xdr:rowOff>209550</xdr:rowOff>
                  </from>
                  <to>
                    <xdr:col>3</xdr:col>
                    <xdr:colOff>523875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8" name="Button 7">
              <controlPr defaultSize="0" print="0" autoFill="0" autoPict="0" macro="[0]!Button7_Click">
                <anchor moveWithCells="1" sizeWithCells="1">
                  <from>
                    <xdr:col>5</xdr:col>
                    <xdr:colOff>66675</xdr:colOff>
                    <xdr:row>0</xdr:row>
                    <xdr:rowOff>28575</xdr:rowOff>
                  </from>
                  <to>
                    <xdr:col>6</xdr:col>
                    <xdr:colOff>1295400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9" name="Button 8">
              <controlPr defaultSize="0" print="0" autoFill="0" autoPict="0" macro="[0]!Button11_Click">
                <anchor moveWithCells="1" sizeWithCells="1">
                  <from>
                    <xdr:col>5</xdr:col>
                    <xdr:colOff>57150</xdr:colOff>
                    <xdr:row>3</xdr:row>
                    <xdr:rowOff>228600</xdr:rowOff>
                  </from>
                  <to>
                    <xdr:col>6</xdr:col>
                    <xdr:colOff>1276350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2B9AE-DC18-4199-AF7D-BD1E10AEBCE7}">
  <sheetPr codeName="Sheet1"/>
  <dimension ref="A1:D8778"/>
  <sheetViews>
    <sheetView workbookViewId="0">
      <selection activeCell="H2" sqref="H2"/>
    </sheetView>
  </sheetViews>
  <sheetFormatPr defaultColWidth="9.140625" defaultRowHeight="18.75" x14ac:dyDescent="0.25"/>
  <cols>
    <col min="1" max="16384" width="9.140625" style="40"/>
  </cols>
  <sheetData>
    <row r="1" spans="1:4" ht="19.5" customHeight="1" thickBot="1" x14ac:dyDescent="0.3"/>
    <row r="2" spans="1:4" ht="19.5" customHeight="1" thickBot="1" x14ac:dyDescent="0.3">
      <c r="A2" s="19"/>
      <c r="B2" s="20"/>
      <c r="C2" s="17"/>
      <c r="D2" s="14"/>
    </row>
    <row r="3" spans="1:4" ht="15" customHeight="1" thickBot="1" x14ac:dyDescent="0.3">
      <c r="A3" s="19"/>
      <c r="B3" s="20"/>
      <c r="C3" s="48"/>
      <c r="D3" s="47"/>
    </row>
    <row r="4" spans="1:4" ht="15" customHeight="1" thickBot="1" x14ac:dyDescent="0.3">
      <c r="A4" s="19"/>
      <c r="B4" s="20"/>
      <c r="C4" s="13"/>
      <c r="D4" s="14"/>
    </row>
    <row r="5" spans="1:4" ht="15" customHeight="1" thickBot="1" x14ac:dyDescent="0.3">
      <c r="A5" s="2"/>
      <c r="B5" s="3"/>
      <c r="C5" s="2"/>
      <c r="D5" s="1"/>
    </row>
    <row r="6" spans="1:4" ht="15" customHeight="1" thickBot="1" x14ac:dyDescent="0.3">
      <c r="A6" s="4"/>
      <c r="B6" s="303"/>
      <c r="C6" s="304"/>
      <c r="D6" s="4"/>
    </row>
    <row r="7" spans="1:4" ht="15" customHeight="1" thickBot="1" x14ac:dyDescent="0.3">
      <c r="A7" s="4"/>
      <c r="B7" s="303"/>
      <c r="C7" s="304"/>
      <c r="D7" s="18"/>
    </row>
    <row r="8" spans="1:4" ht="15" customHeight="1" thickBot="1" x14ac:dyDescent="0.3">
      <c r="A8" s="4"/>
      <c r="B8" s="303"/>
      <c r="C8" s="304"/>
      <c r="D8" s="18"/>
    </row>
    <row r="9" spans="1:4" ht="15" customHeight="1" thickBot="1" x14ac:dyDescent="0.3">
      <c r="A9" s="4"/>
      <c r="B9" s="303"/>
      <c r="C9" s="304"/>
      <c r="D9" s="18"/>
    </row>
    <row r="10" spans="1:4" ht="15" customHeight="1" thickBot="1" x14ac:dyDescent="0.3">
      <c r="A10" s="4"/>
      <c r="B10" s="303"/>
      <c r="C10" s="304"/>
      <c r="D10" s="18"/>
    </row>
    <row r="11" spans="1:4" ht="15" customHeight="1" thickBot="1" x14ac:dyDescent="0.3">
      <c r="A11" s="4"/>
      <c r="B11" s="303"/>
      <c r="C11" s="304"/>
      <c r="D11" s="18"/>
    </row>
    <row r="12" spans="1:4" ht="15" customHeight="1" thickBot="1" x14ac:dyDescent="0.3">
      <c r="A12" s="4"/>
      <c r="B12" s="303"/>
      <c r="C12" s="304"/>
      <c r="D12" s="18"/>
    </row>
    <row r="13" spans="1:4" ht="15" customHeight="1" thickBot="1" x14ac:dyDescent="0.3">
      <c r="A13" s="4"/>
      <c r="B13" s="303"/>
      <c r="C13" s="304"/>
      <c r="D13" s="18"/>
    </row>
    <row r="14" spans="1:4" ht="15" customHeight="1" thickBot="1" x14ac:dyDescent="0.3">
      <c r="A14" s="4"/>
      <c r="B14" s="303"/>
      <c r="C14" s="304"/>
      <c r="D14" s="18"/>
    </row>
    <row r="15" spans="1:4" ht="15" customHeight="1" thickBot="1" x14ac:dyDescent="0.3">
      <c r="A15" s="2"/>
      <c r="B15" s="3"/>
      <c r="C15" s="2"/>
      <c r="D15" s="1"/>
    </row>
    <row r="16" spans="1:4" ht="15" customHeight="1" thickBot="1" x14ac:dyDescent="0.3">
      <c r="A16" s="300"/>
      <c r="B16" s="301"/>
      <c r="C16" s="301"/>
      <c r="D16" s="302"/>
    </row>
    <row r="17" spans="1:4" ht="15" customHeight="1" x14ac:dyDescent="0.25">
      <c r="A17" s="5"/>
      <c r="B17" s="6"/>
      <c r="C17" s="7"/>
      <c r="D17" s="8"/>
    </row>
    <row r="18" spans="1:4" ht="15" customHeight="1" thickBot="1" x14ac:dyDescent="0.3">
      <c r="A18" s="9"/>
      <c r="B18" s="10"/>
      <c r="C18" s="10"/>
      <c r="D18" s="11"/>
    </row>
    <row r="19" spans="1:4" ht="15" customHeight="1" thickBot="1" x14ac:dyDescent="0.3">
      <c r="A19" s="15"/>
      <c r="B19" s="16"/>
      <c r="C19" s="21"/>
      <c r="D19" s="16"/>
    </row>
    <row r="20" spans="1:4" ht="15" customHeight="1" thickBot="1" x14ac:dyDescent="0.3">
      <c r="A20" s="12"/>
      <c r="B20" s="307"/>
      <c r="C20" s="306"/>
      <c r="D20" s="12"/>
    </row>
    <row r="21" spans="1:4" ht="15" customHeight="1" thickBot="1" x14ac:dyDescent="0.3">
      <c r="A21" s="38"/>
      <c r="B21" s="44"/>
      <c r="C21" s="45"/>
      <c r="D21" s="44"/>
    </row>
    <row r="22" spans="1:4" ht="15" customHeight="1" thickBot="1" x14ac:dyDescent="0.3">
      <c r="A22" s="19"/>
      <c r="B22" s="20"/>
      <c r="C22" s="17"/>
      <c r="D22" s="14"/>
    </row>
    <row r="23" spans="1:4" ht="15" customHeight="1" thickBot="1" x14ac:dyDescent="0.3">
      <c r="A23" s="19"/>
      <c r="B23" s="20"/>
      <c r="C23" s="48"/>
      <c r="D23" s="47"/>
    </row>
    <row r="24" spans="1:4" ht="15" customHeight="1" thickBot="1" x14ac:dyDescent="0.3">
      <c r="A24" s="19"/>
      <c r="B24" s="20"/>
      <c r="C24" s="13"/>
      <c r="D24" s="14"/>
    </row>
    <row r="25" spans="1:4" ht="15" customHeight="1" thickBot="1" x14ac:dyDescent="0.3">
      <c r="A25" s="2"/>
      <c r="B25" s="3"/>
      <c r="C25" s="2"/>
      <c r="D25" s="1"/>
    </row>
    <row r="26" spans="1:4" ht="15" customHeight="1" thickBot="1" x14ac:dyDescent="0.3">
      <c r="A26" s="4"/>
      <c r="B26" s="303"/>
      <c r="C26" s="304"/>
      <c r="D26" s="4"/>
    </row>
    <row r="27" spans="1:4" ht="15" customHeight="1" thickBot="1" x14ac:dyDescent="0.3">
      <c r="A27" s="4"/>
      <c r="B27" s="303"/>
      <c r="C27" s="304"/>
      <c r="D27" s="18"/>
    </row>
    <row r="28" spans="1:4" ht="15" customHeight="1" thickBot="1" x14ac:dyDescent="0.3">
      <c r="A28" s="4"/>
      <c r="B28" s="303"/>
      <c r="C28" s="304"/>
      <c r="D28" s="18"/>
    </row>
    <row r="29" spans="1:4" ht="15" customHeight="1" thickBot="1" x14ac:dyDescent="0.3">
      <c r="A29" s="4"/>
      <c r="B29" s="303"/>
      <c r="C29" s="304"/>
      <c r="D29" s="18"/>
    </row>
    <row r="30" spans="1:4" ht="15" customHeight="1" thickBot="1" x14ac:dyDescent="0.3">
      <c r="A30" s="4"/>
      <c r="B30" s="303"/>
      <c r="C30" s="304"/>
      <c r="D30" s="18"/>
    </row>
    <row r="31" spans="1:4" ht="15" customHeight="1" thickBot="1" x14ac:dyDescent="0.3">
      <c r="A31" s="4"/>
      <c r="B31" s="303"/>
      <c r="C31" s="304"/>
      <c r="D31" s="18"/>
    </row>
    <row r="32" spans="1:4" ht="15" customHeight="1" thickBot="1" x14ac:dyDescent="0.3">
      <c r="A32" s="4"/>
      <c r="B32" s="303"/>
      <c r="C32" s="304"/>
      <c r="D32" s="18"/>
    </row>
    <row r="33" spans="1:4" ht="15" customHeight="1" thickBot="1" x14ac:dyDescent="0.3">
      <c r="A33" s="4"/>
      <c r="B33" s="303"/>
      <c r="C33" s="304"/>
      <c r="D33" s="18"/>
    </row>
    <row r="34" spans="1:4" ht="15" customHeight="1" thickBot="1" x14ac:dyDescent="0.3">
      <c r="A34" s="4"/>
      <c r="B34" s="303"/>
      <c r="C34" s="304"/>
      <c r="D34" s="18"/>
    </row>
    <row r="35" spans="1:4" ht="15" customHeight="1" thickBot="1" x14ac:dyDescent="0.3">
      <c r="A35" s="2"/>
      <c r="B35" s="3"/>
      <c r="C35" s="2"/>
      <c r="D35" s="1"/>
    </row>
    <row r="36" spans="1:4" ht="15" customHeight="1" thickBot="1" x14ac:dyDescent="0.3">
      <c r="A36" s="300"/>
      <c r="B36" s="301"/>
      <c r="C36" s="301"/>
      <c r="D36" s="302"/>
    </row>
    <row r="37" spans="1:4" ht="15" customHeight="1" x14ac:dyDescent="0.25">
      <c r="A37" s="5"/>
      <c r="B37" s="6"/>
      <c r="C37" s="7"/>
      <c r="D37" s="8"/>
    </row>
    <row r="38" spans="1:4" ht="15" customHeight="1" thickBot="1" x14ac:dyDescent="0.3">
      <c r="A38" s="9"/>
      <c r="B38" s="10"/>
      <c r="C38" s="10"/>
      <c r="D38" s="11"/>
    </row>
    <row r="39" spans="1:4" ht="15" customHeight="1" thickBot="1" x14ac:dyDescent="0.3">
      <c r="A39" s="15"/>
      <c r="B39" s="16"/>
      <c r="C39" s="21"/>
      <c r="D39" s="16"/>
    </row>
    <row r="40" spans="1:4" ht="15" customHeight="1" thickBot="1" x14ac:dyDescent="0.3">
      <c r="A40" s="12"/>
      <c r="B40" s="307"/>
      <c r="C40" s="306"/>
      <c r="D40" s="12"/>
    </row>
    <row r="41" spans="1:4" ht="15" customHeight="1" thickBot="1" x14ac:dyDescent="0.3">
      <c r="A41" s="38"/>
      <c r="B41" s="44"/>
      <c r="C41" s="45"/>
      <c r="D41" s="44"/>
    </row>
    <row r="42" spans="1:4" ht="15" customHeight="1" thickBot="1" x14ac:dyDescent="0.3">
      <c r="A42" s="19"/>
      <c r="B42" s="20"/>
      <c r="C42" s="17"/>
      <c r="D42" s="14"/>
    </row>
    <row r="43" spans="1:4" ht="15" customHeight="1" thickBot="1" x14ac:dyDescent="0.3">
      <c r="A43" s="19"/>
      <c r="B43" s="20"/>
      <c r="C43" s="48"/>
      <c r="D43" s="47"/>
    </row>
    <row r="44" spans="1:4" ht="15" customHeight="1" thickBot="1" x14ac:dyDescent="0.3">
      <c r="A44" s="19"/>
      <c r="B44" s="20"/>
      <c r="C44" s="13"/>
      <c r="D44" s="14"/>
    </row>
    <row r="45" spans="1:4" ht="15" customHeight="1" thickBot="1" x14ac:dyDescent="0.3">
      <c r="A45" s="2"/>
      <c r="B45" s="3"/>
      <c r="C45" s="2"/>
      <c r="D45" s="1"/>
    </row>
    <row r="46" spans="1:4" ht="15.75" customHeight="1" thickBot="1" x14ac:dyDescent="0.3">
      <c r="A46" s="4"/>
      <c r="B46" s="303"/>
      <c r="C46" s="304"/>
      <c r="D46" s="4"/>
    </row>
    <row r="47" spans="1:4" ht="15.75" customHeight="1" thickBot="1" x14ac:dyDescent="0.3">
      <c r="A47" s="4"/>
      <c r="B47" s="303"/>
      <c r="C47" s="304"/>
      <c r="D47" s="18"/>
    </row>
    <row r="48" spans="1:4" ht="15.75" customHeight="1" thickBot="1" x14ac:dyDescent="0.3">
      <c r="A48" s="4"/>
      <c r="B48" s="303"/>
      <c r="C48" s="304"/>
      <c r="D48" s="18"/>
    </row>
    <row r="49" spans="1:4" ht="15.75" customHeight="1" thickBot="1" x14ac:dyDescent="0.3">
      <c r="A49" s="4"/>
      <c r="B49" s="303"/>
      <c r="C49" s="304"/>
      <c r="D49" s="18"/>
    </row>
    <row r="50" spans="1:4" ht="15.75" customHeight="1" thickBot="1" x14ac:dyDescent="0.3">
      <c r="A50" s="4"/>
      <c r="B50" s="303"/>
      <c r="C50" s="304"/>
      <c r="D50" s="18"/>
    </row>
    <row r="51" spans="1:4" ht="15.75" customHeight="1" thickBot="1" x14ac:dyDescent="0.3">
      <c r="A51" s="4"/>
      <c r="B51" s="303"/>
      <c r="C51" s="304"/>
      <c r="D51" s="18"/>
    </row>
    <row r="52" spans="1:4" ht="15.75" customHeight="1" thickBot="1" x14ac:dyDescent="0.3">
      <c r="A52" s="4"/>
      <c r="B52" s="303"/>
      <c r="C52" s="304"/>
      <c r="D52" s="18"/>
    </row>
    <row r="53" spans="1:4" ht="15.75" customHeight="1" thickBot="1" x14ac:dyDescent="0.3">
      <c r="A53" s="4"/>
      <c r="B53" s="303"/>
      <c r="C53" s="304"/>
      <c r="D53" s="18"/>
    </row>
    <row r="54" spans="1:4" ht="15.75" customHeight="1" thickBot="1" x14ac:dyDescent="0.3">
      <c r="A54" s="4"/>
      <c r="B54" s="303"/>
      <c r="C54" s="304"/>
      <c r="D54" s="18"/>
    </row>
    <row r="55" spans="1:4" ht="15.75" customHeight="1" thickBot="1" x14ac:dyDescent="0.3">
      <c r="A55" s="2"/>
      <c r="B55" s="3"/>
      <c r="C55" s="2"/>
      <c r="D55" s="1"/>
    </row>
    <row r="56" spans="1:4" ht="15.75" customHeight="1" thickBot="1" x14ac:dyDescent="0.3">
      <c r="A56" s="300"/>
      <c r="B56" s="301"/>
      <c r="C56" s="301"/>
      <c r="D56" s="302"/>
    </row>
    <row r="57" spans="1:4" ht="15.75" customHeight="1" x14ac:dyDescent="0.25">
      <c r="A57" s="5"/>
      <c r="B57" s="6"/>
      <c r="C57" s="7"/>
      <c r="D57" s="8"/>
    </row>
    <row r="58" spans="1:4" ht="15.75" customHeight="1" thickBot="1" x14ac:dyDescent="0.3">
      <c r="A58" s="9"/>
      <c r="B58" s="10"/>
      <c r="C58" s="10"/>
      <c r="D58" s="11"/>
    </row>
    <row r="59" spans="1:4" ht="15.75" customHeight="1" thickBot="1" x14ac:dyDescent="0.3">
      <c r="A59" s="15"/>
      <c r="B59" s="16"/>
      <c r="C59" s="21"/>
      <c r="D59" s="16"/>
    </row>
    <row r="60" spans="1:4" ht="15.75" customHeight="1" thickBot="1" x14ac:dyDescent="0.3">
      <c r="A60" s="12"/>
      <c r="B60" s="307"/>
      <c r="C60" s="306"/>
      <c r="D60" s="12"/>
    </row>
    <row r="61" spans="1:4" ht="15.75" customHeight="1" thickBot="1" x14ac:dyDescent="0.3">
      <c r="A61" s="38"/>
      <c r="B61" s="44"/>
      <c r="C61" s="45"/>
      <c r="D61" s="44"/>
    </row>
    <row r="62" spans="1:4" ht="15.75" customHeight="1" thickBot="1" x14ac:dyDescent="0.3">
      <c r="A62" s="19"/>
      <c r="B62" s="20"/>
      <c r="C62" s="17"/>
      <c r="D62" s="14"/>
    </row>
    <row r="63" spans="1:4" ht="15.75" customHeight="1" thickBot="1" x14ac:dyDescent="0.3">
      <c r="A63" s="19"/>
      <c r="B63" s="20"/>
      <c r="C63" s="48"/>
      <c r="D63" s="47"/>
    </row>
    <row r="64" spans="1:4" ht="15.75" customHeight="1" thickBot="1" x14ac:dyDescent="0.3">
      <c r="A64" s="19"/>
      <c r="B64" s="20"/>
      <c r="C64" s="13"/>
      <c r="D64" s="14"/>
    </row>
    <row r="65" spans="1:4" ht="15.75" customHeight="1" thickBot="1" x14ac:dyDescent="0.3">
      <c r="A65" s="2"/>
      <c r="B65" s="3"/>
      <c r="C65" s="2"/>
      <c r="D65" s="1"/>
    </row>
    <row r="66" spans="1:4" ht="15.75" customHeight="1" thickBot="1" x14ac:dyDescent="0.3">
      <c r="A66" s="4"/>
      <c r="B66" s="303"/>
      <c r="C66" s="304"/>
      <c r="D66" s="4"/>
    </row>
    <row r="67" spans="1:4" ht="15.75" customHeight="1" thickBot="1" x14ac:dyDescent="0.3">
      <c r="A67" s="4"/>
      <c r="B67" s="303"/>
      <c r="C67" s="304"/>
      <c r="D67" s="18"/>
    </row>
    <row r="68" spans="1:4" ht="15.75" customHeight="1" thickBot="1" x14ac:dyDescent="0.3">
      <c r="A68" s="4"/>
      <c r="B68" s="303"/>
      <c r="C68" s="304"/>
      <c r="D68" s="18"/>
    </row>
    <row r="69" spans="1:4" ht="15.75" customHeight="1" thickBot="1" x14ac:dyDescent="0.3">
      <c r="A69" s="4"/>
      <c r="B69" s="303"/>
      <c r="C69" s="304"/>
      <c r="D69" s="18"/>
    </row>
    <row r="70" spans="1:4" ht="15.75" customHeight="1" thickBot="1" x14ac:dyDescent="0.3">
      <c r="A70" s="4"/>
      <c r="B70" s="303"/>
      <c r="C70" s="304"/>
      <c r="D70" s="18"/>
    </row>
    <row r="71" spans="1:4" ht="15.75" customHeight="1" thickBot="1" x14ac:dyDescent="0.3">
      <c r="A71" s="4"/>
      <c r="B71" s="303"/>
      <c r="C71" s="304"/>
      <c r="D71" s="18"/>
    </row>
    <row r="72" spans="1:4" ht="15.75" customHeight="1" thickBot="1" x14ac:dyDescent="0.3">
      <c r="A72" s="4"/>
      <c r="B72" s="303"/>
      <c r="C72" s="304"/>
      <c r="D72" s="18"/>
    </row>
    <row r="73" spans="1:4" ht="15.75" customHeight="1" thickBot="1" x14ac:dyDescent="0.3">
      <c r="A73" s="4"/>
      <c r="B73" s="303"/>
      <c r="C73" s="304"/>
      <c r="D73" s="18"/>
    </row>
    <row r="74" spans="1:4" ht="15.75" customHeight="1" thickBot="1" x14ac:dyDescent="0.3">
      <c r="A74" s="4"/>
      <c r="B74" s="303"/>
      <c r="C74" s="304"/>
      <c r="D74" s="18"/>
    </row>
    <row r="75" spans="1:4" ht="15.75" customHeight="1" thickBot="1" x14ac:dyDescent="0.3">
      <c r="A75" s="2"/>
      <c r="B75" s="3"/>
      <c r="C75" s="2"/>
      <c r="D75" s="1"/>
    </row>
    <row r="76" spans="1:4" ht="15.75" customHeight="1" thickBot="1" x14ac:dyDescent="0.3">
      <c r="A76" s="300"/>
      <c r="B76" s="301"/>
      <c r="C76" s="301"/>
      <c r="D76" s="302"/>
    </row>
    <row r="77" spans="1:4" ht="15.75" customHeight="1" x14ac:dyDescent="0.25">
      <c r="A77" s="5"/>
      <c r="B77" s="6"/>
      <c r="C77" s="7"/>
      <c r="D77" s="8"/>
    </row>
    <row r="78" spans="1:4" ht="15.75" customHeight="1" thickBot="1" x14ac:dyDescent="0.3">
      <c r="A78" s="9"/>
      <c r="B78" s="10"/>
      <c r="C78" s="10"/>
      <c r="D78" s="11"/>
    </row>
    <row r="79" spans="1:4" ht="15.75" customHeight="1" thickBot="1" x14ac:dyDescent="0.3">
      <c r="A79" s="15"/>
      <c r="B79" s="16"/>
      <c r="C79" s="21"/>
      <c r="D79" s="16"/>
    </row>
    <row r="80" spans="1:4" ht="15.75" customHeight="1" thickBot="1" x14ac:dyDescent="0.3">
      <c r="A80" s="12"/>
      <c r="B80" s="307"/>
      <c r="C80" s="306"/>
      <c r="D80" s="12"/>
    </row>
    <row r="81" spans="1:4" ht="15.75" customHeight="1" thickBot="1" x14ac:dyDescent="0.3">
      <c r="A81" s="38"/>
      <c r="B81" s="44"/>
      <c r="C81" s="45"/>
      <c r="D81" s="44"/>
    </row>
    <row r="82" spans="1:4" ht="15.75" customHeight="1" thickBot="1" x14ac:dyDescent="0.3">
      <c r="A82" s="19"/>
      <c r="B82" s="20"/>
      <c r="C82" s="17"/>
      <c r="D82" s="14"/>
    </row>
    <row r="83" spans="1:4" ht="15.75" customHeight="1" thickBot="1" x14ac:dyDescent="0.3">
      <c r="A83" s="19"/>
      <c r="B83" s="20"/>
      <c r="C83" s="48"/>
      <c r="D83" s="47"/>
    </row>
    <row r="84" spans="1:4" ht="15.75" customHeight="1" thickBot="1" x14ac:dyDescent="0.3">
      <c r="A84" s="19"/>
      <c r="B84" s="20"/>
      <c r="C84" s="13"/>
      <c r="D84" s="14"/>
    </row>
    <row r="85" spans="1:4" ht="15.75" customHeight="1" thickBot="1" x14ac:dyDescent="0.3">
      <c r="A85" s="2"/>
      <c r="B85" s="3"/>
      <c r="C85" s="2"/>
      <c r="D85" s="1"/>
    </row>
    <row r="86" spans="1:4" ht="15.75" customHeight="1" thickBot="1" x14ac:dyDescent="0.3">
      <c r="A86" s="4"/>
      <c r="B86" s="303"/>
      <c r="C86" s="304"/>
      <c r="D86" s="4"/>
    </row>
    <row r="87" spans="1:4" ht="15.75" customHeight="1" thickBot="1" x14ac:dyDescent="0.3">
      <c r="A87" s="4"/>
      <c r="B87" s="303"/>
      <c r="C87" s="304"/>
      <c r="D87" s="18"/>
    </row>
    <row r="88" spans="1:4" ht="15.75" customHeight="1" thickBot="1" x14ac:dyDescent="0.3">
      <c r="A88" s="4"/>
      <c r="B88" s="303"/>
      <c r="C88" s="304"/>
      <c r="D88" s="18"/>
    </row>
    <row r="89" spans="1:4" ht="15.75" customHeight="1" thickBot="1" x14ac:dyDescent="0.3">
      <c r="A89" s="4"/>
      <c r="B89" s="303"/>
      <c r="C89" s="304"/>
      <c r="D89" s="18"/>
    </row>
    <row r="90" spans="1:4" ht="15.75" customHeight="1" thickBot="1" x14ac:dyDescent="0.3">
      <c r="A90" s="4"/>
      <c r="B90" s="303"/>
      <c r="C90" s="304"/>
      <c r="D90" s="18"/>
    </row>
    <row r="91" spans="1:4" ht="15.75" customHeight="1" thickBot="1" x14ac:dyDescent="0.3">
      <c r="A91" s="4"/>
      <c r="B91" s="303"/>
      <c r="C91" s="304"/>
      <c r="D91" s="18"/>
    </row>
    <row r="92" spans="1:4" ht="15.75" customHeight="1" thickBot="1" x14ac:dyDescent="0.3">
      <c r="A92" s="4"/>
      <c r="B92" s="303"/>
      <c r="C92" s="304"/>
      <c r="D92" s="18"/>
    </row>
    <row r="93" spans="1:4" ht="15.75" customHeight="1" thickBot="1" x14ac:dyDescent="0.3">
      <c r="A93" s="4"/>
      <c r="B93" s="303"/>
      <c r="C93" s="304"/>
      <c r="D93" s="18"/>
    </row>
    <row r="94" spans="1:4" ht="15.75" customHeight="1" thickBot="1" x14ac:dyDescent="0.3">
      <c r="A94" s="4"/>
      <c r="B94" s="303"/>
      <c r="C94" s="304"/>
      <c r="D94" s="18"/>
    </row>
    <row r="95" spans="1:4" ht="15.75" customHeight="1" thickBot="1" x14ac:dyDescent="0.3">
      <c r="A95" s="2"/>
      <c r="B95" s="3"/>
      <c r="C95" s="2"/>
      <c r="D95" s="1"/>
    </row>
    <row r="96" spans="1:4" ht="15.75" customHeight="1" thickBot="1" x14ac:dyDescent="0.3">
      <c r="A96" s="300"/>
      <c r="B96" s="301"/>
      <c r="C96" s="301"/>
      <c r="D96" s="302"/>
    </row>
    <row r="97" spans="1:4" ht="15.75" customHeight="1" x14ac:dyDescent="0.25">
      <c r="A97" s="5"/>
      <c r="B97" s="6"/>
      <c r="C97" s="7"/>
      <c r="D97" s="8"/>
    </row>
    <row r="98" spans="1:4" ht="15.75" customHeight="1" thickBot="1" x14ac:dyDescent="0.3">
      <c r="A98" s="9"/>
      <c r="B98" s="10"/>
      <c r="C98" s="10"/>
      <c r="D98" s="11"/>
    </row>
    <row r="99" spans="1:4" ht="15.75" customHeight="1" thickBot="1" x14ac:dyDescent="0.3">
      <c r="A99" s="15"/>
      <c r="B99" s="16"/>
      <c r="C99" s="21"/>
      <c r="D99" s="16"/>
    </row>
    <row r="100" spans="1:4" ht="15.75" customHeight="1" thickBot="1" x14ac:dyDescent="0.3">
      <c r="A100" s="12"/>
      <c r="B100" s="307"/>
      <c r="C100" s="306"/>
      <c r="D100" s="12"/>
    </row>
    <row r="101" spans="1:4" ht="15.75" customHeight="1" thickBot="1" x14ac:dyDescent="0.3">
      <c r="A101" s="38"/>
      <c r="B101" s="44"/>
      <c r="C101" s="45"/>
      <c r="D101" s="44"/>
    </row>
    <row r="102" spans="1:4" ht="15.75" customHeight="1" thickBot="1" x14ac:dyDescent="0.3">
      <c r="A102" s="19"/>
      <c r="B102" s="20"/>
      <c r="C102" s="17"/>
      <c r="D102" s="14"/>
    </row>
    <row r="103" spans="1:4" ht="15.75" customHeight="1" thickBot="1" x14ac:dyDescent="0.3">
      <c r="A103" s="19"/>
      <c r="B103" s="20"/>
      <c r="C103" s="48"/>
      <c r="D103" s="47"/>
    </row>
    <row r="104" spans="1:4" ht="15.75" customHeight="1" thickBot="1" x14ac:dyDescent="0.3">
      <c r="A104" s="19"/>
      <c r="B104" s="20"/>
      <c r="C104" s="13"/>
      <c r="D104" s="14"/>
    </row>
    <row r="105" spans="1:4" ht="15.75" customHeight="1" thickBot="1" x14ac:dyDescent="0.3">
      <c r="A105" s="2"/>
      <c r="B105" s="3"/>
      <c r="C105" s="2"/>
      <c r="D105" s="1"/>
    </row>
    <row r="106" spans="1:4" ht="15.75" customHeight="1" thickBot="1" x14ac:dyDescent="0.3">
      <c r="A106" s="4"/>
      <c r="B106" s="303"/>
      <c r="C106" s="304"/>
      <c r="D106" s="4"/>
    </row>
    <row r="107" spans="1:4" ht="15.75" customHeight="1" thickBot="1" x14ac:dyDescent="0.3">
      <c r="A107" s="4"/>
      <c r="B107" s="303"/>
      <c r="C107" s="304"/>
      <c r="D107" s="18"/>
    </row>
    <row r="108" spans="1:4" ht="15.75" customHeight="1" thickBot="1" x14ac:dyDescent="0.3">
      <c r="A108" s="4"/>
      <c r="B108" s="303"/>
      <c r="C108" s="304"/>
      <c r="D108" s="18"/>
    </row>
    <row r="109" spans="1:4" ht="15.75" customHeight="1" thickBot="1" x14ac:dyDescent="0.3">
      <c r="A109" s="4"/>
      <c r="B109" s="303"/>
      <c r="C109" s="304"/>
      <c r="D109" s="18"/>
    </row>
    <row r="110" spans="1:4" ht="15.75" customHeight="1" thickBot="1" x14ac:dyDescent="0.3">
      <c r="A110" s="4"/>
      <c r="B110" s="303"/>
      <c r="C110" s="304"/>
      <c r="D110" s="18"/>
    </row>
    <row r="111" spans="1:4" ht="15.75" customHeight="1" thickBot="1" x14ac:dyDescent="0.3">
      <c r="A111" s="4"/>
      <c r="B111" s="303"/>
      <c r="C111" s="304"/>
      <c r="D111" s="18"/>
    </row>
    <row r="112" spans="1:4" ht="15.75" customHeight="1" thickBot="1" x14ac:dyDescent="0.3">
      <c r="A112" s="4"/>
      <c r="B112" s="303"/>
      <c r="C112" s="304"/>
      <c r="D112" s="18"/>
    </row>
    <row r="113" spans="1:4" ht="15.75" customHeight="1" thickBot="1" x14ac:dyDescent="0.3">
      <c r="A113" s="4"/>
      <c r="B113" s="303"/>
      <c r="C113" s="304"/>
      <c r="D113" s="18"/>
    </row>
    <row r="114" spans="1:4" ht="15.75" customHeight="1" thickBot="1" x14ac:dyDescent="0.3">
      <c r="A114" s="4"/>
      <c r="B114" s="303"/>
      <c r="C114" s="304"/>
      <c r="D114" s="18"/>
    </row>
    <row r="115" spans="1:4" ht="15.75" customHeight="1" thickBot="1" x14ac:dyDescent="0.3">
      <c r="A115" s="2"/>
      <c r="B115" s="3"/>
      <c r="C115" s="2"/>
      <c r="D115" s="1"/>
    </row>
    <row r="116" spans="1:4" ht="15.75" customHeight="1" thickBot="1" x14ac:dyDescent="0.3">
      <c r="A116" s="300"/>
      <c r="B116" s="301"/>
      <c r="C116" s="301"/>
      <c r="D116" s="302"/>
    </row>
    <row r="117" spans="1:4" ht="15.75" customHeight="1" x14ac:dyDescent="0.25">
      <c r="A117" s="5"/>
      <c r="B117" s="6"/>
      <c r="C117" s="7"/>
      <c r="D117" s="8"/>
    </row>
    <row r="118" spans="1:4" ht="15.75" customHeight="1" thickBot="1" x14ac:dyDescent="0.3">
      <c r="A118" s="9"/>
      <c r="B118" s="10"/>
      <c r="C118" s="10"/>
      <c r="D118" s="11"/>
    </row>
    <row r="119" spans="1:4" ht="15.75" customHeight="1" thickBot="1" x14ac:dyDescent="0.3">
      <c r="A119" s="15"/>
      <c r="B119" s="16"/>
      <c r="C119" s="21"/>
      <c r="D119" s="16"/>
    </row>
    <row r="120" spans="1:4" ht="15.75" customHeight="1" thickBot="1" x14ac:dyDescent="0.3">
      <c r="A120" s="12"/>
      <c r="B120" s="307"/>
      <c r="C120" s="306"/>
      <c r="D120" s="12"/>
    </row>
    <row r="121" spans="1:4" ht="15.75" customHeight="1" thickBot="1" x14ac:dyDescent="0.3">
      <c r="A121" s="38"/>
      <c r="B121" s="44"/>
      <c r="C121" s="45"/>
      <c r="D121" s="44"/>
    </row>
    <row r="122" spans="1:4" ht="15.75" customHeight="1" thickBot="1" x14ac:dyDescent="0.3">
      <c r="A122" s="19"/>
      <c r="B122" s="20"/>
      <c r="C122" s="17"/>
      <c r="D122" s="14"/>
    </row>
    <row r="123" spans="1:4" ht="15.75" customHeight="1" thickBot="1" x14ac:dyDescent="0.3">
      <c r="A123" s="19"/>
      <c r="B123" s="20"/>
      <c r="C123" s="48"/>
      <c r="D123" s="47"/>
    </row>
    <row r="124" spans="1:4" ht="15.75" customHeight="1" thickBot="1" x14ac:dyDescent="0.3">
      <c r="A124" s="19"/>
      <c r="B124" s="20"/>
      <c r="C124" s="13"/>
      <c r="D124" s="14"/>
    </row>
    <row r="125" spans="1:4" ht="15.75" customHeight="1" thickBot="1" x14ac:dyDescent="0.3">
      <c r="A125" s="2"/>
      <c r="B125" s="3"/>
      <c r="C125" s="2"/>
      <c r="D125" s="1"/>
    </row>
    <row r="126" spans="1:4" ht="15.75" customHeight="1" thickBot="1" x14ac:dyDescent="0.3">
      <c r="A126" s="4"/>
      <c r="B126" s="303"/>
      <c r="C126" s="304"/>
      <c r="D126" s="4"/>
    </row>
    <row r="127" spans="1:4" ht="15.75" customHeight="1" thickBot="1" x14ac:dyDescent="0.3">
      <c r="A127" s="4"/>
      <c r="B127" s="303"/>
      <c r="C127" s="304"/>
      <c r="D127" s="18"/>
    </row>
    <row r="128" spans="1:4" ht="15.75" customHeight="1" thickBot="1" x14ac:dyDescent="0.3">
      <c r="A128" s="4"/>
      <c r="B128" s="303"/>
      <c r="C128" s="304"/>
      <c r="D128" s="18"/>
    </row>
    <row r="129" spans="1:4" ht="15.75" customHeight="1" thickBot="1" x14ac:dyDescent="0.3">
      <c r="A129" s="4"/>
      <c r="B129" s="303"/>
      <c r="C129" s="304"/>
      <c r="D129" s="18"/>
    </row>
    <row r="130" spans="1:4" ht="15.75" customHeight="1" thickBot="1" x14ac:dyDescent="0.3">
      <c r="A130" s="4"/>
      <c r="B130" s="303"/>
      <c r="C130" s="304"/>
      <c r="D130" s="18"/>
    </row>
    <row r="131" spans="1:4" ht="15.75" customHeight="1" thickBot="1" x14ac:dyDescent="0.3">
      <c r="A131" s="4"/>
      <c r="B131" s="303"/>
      <c r="C131" s="304"/>
      <c r="D131" s="18"/>
    </row>
    <row r="132" spans="1:4" ht="15.75" customHeight="1" thickBot="1" x14ac:dyDescent="0.3">
      <c r="A132" s="4"/>
      <c r="B132" s="303"/>
      <c r="C132" s="304"/>
      <c r="D132" s="18"/>
    </row>
    <row r="133" spans="1:4" ht="15.75" customHeight="1" thickBot="1" x14ac:dyDescent="0.3">
      <c r="A133" s="4"/>
      <c r="B133" s="303"/>
      <c r="C133" s="304"/>
      <c r="D133" s="18"/>
    </row>
    <row r="134" spans="1:4" ht="15.75" customHeight="1" thickBot="1" x14ac:dyDescent="0.3">
      <c r="A134" s="4"/>
      <c r="B134" s="303"/>
      <c r="C134" s="304"/>
      <c r="D134" s="18"/>
    </row>
    <row r="135" spans="1:4" ht="15.75" customHeight="1" thickBot="1" x14ac:dyDescent="0.3">
      <c r="A135" s="2"/>
      <c r="B135" s="3"/>
      <c r="C135" s="2"/>
      <c r="D135" s="1"/>
    </row>
    <row r="136" spans="1:4" ht="15.75" customHeight="1" thickBot="1" x14ac:dyDescent="0.3">
      <c r="A136" s="300"/>
      <c r="B136" s="301"/>
      <c r="C136" s="301"/>
      <c r="D136" s="302"/>
    </row>
    <row r="137" spans="1:4" ht="15.75" customHeight="1" x14ac:dyDescent="0.25">
      <c r="A137" s="5"/>
      <c r="B137" s="6"/>
      <c r="C137" s="7"/>
      <c r="D137" s="8"/>
    </row>
    <row r="138" spans="1:4" ht="15.75" customHeight="1" thickBot="1" x14ac:dyDescent="0.3">
      <c r="A138" s="9"/>
      <c r="B138" s="10"/>
      <c r="C138" s="10"/>
      <c r="D138" s="11"/>
    </row>
    <row r="139" spans="1:4" ht="15.75" customHeight="1" thickBot="1" x14ac:dyDescent="0.3">
      <c r="A139" s="15"/>
      <c r="B139" s="16"/>
      <c r="C139" s="21"/>
      <c r="D139" s="16"/>
    </row>
    <row r="140" spans="1:4" ht="15.75" customHeight="1" thickBot="1" x14ac:dyDescent="0.3">
      <c r="A140" s="12"/>
      <c r="B140" s="307"/>
      <c r="C140" s="306"/>
      <c r="D140" s="12"/>
    </row>
    <row r="141" spans="1:4" ht="15.75" customHeight="1" thickBot="1" x14ac:dyDescent="0.3">
      <c r="A141" s="38"/>
      <c r="B141" s="44"/>
      <c r="C141" s="45"/>
      <c r="D141" s="44"/>
    </row>
    <row r="142" spans="1:4" ht="15.75" customHeight="1" thickBot="1" x14ac:dyDescent="0.3">
      <c r="A142" s="19"/>
      <c r="B142" s="20"/>
      <c r="C142" s="17"/>
      <c r="D142" s="14"/>
    </row>
    <row r="143" spans="1:4" ht="15.75" customHeight="1" thickBot="1" x14ac:dyDescent="0.3">
      <c r="A143" s="19"/>
      <c r="B143" s="20"/>
      <c r="C143" s="48"/>
      <c r="D143" s="47"/>
    </row>
    <row r="144" spans="1:4" ht="15.75" customHeight="1" thickBot="1" x14ac:dyDescent="0.3">
      <c r="A144" s="19"/>
      <c r="B144" s="20"/>
      <c r="C144" s="13"/>
      <c r="D144" s="14"/>
    </row>
    <row r="145" spans="1:4" ht="15.75" customHeight="1" thickBot="1" x14ac:dyDescent="0.3">
      <c r="A145" s="2"/>
      <c r="B145" s="3"/>
      <c r="C145" s="2"/>
      <c r="D145" s="1"/>
    </row>
    <row r="146" spans="1:4" ht="15.75" customHeight="1" thickBot="1" x14ac:dyDescent="0.3">
      <c r="A146" s="4"/>
      <c r="B146" s="303"/>
      <c r="C146" s="304"/>
      <c r="D146" s="4"/>
    </row>
    <row r="147" spans="1:4" ht="15.75" customHeight="1" thickBot="1" x14ac:dyDescent="0.3">
      <c r="A147" s="4"/>
      <c r="B147" s="303"/>
      <c r="C147" s="304"/>
      <c r="D147" s="18"/>
    </row>
    <row r="148" spans="1:4" ht="15.75" customHeight="1" thickBot="1" x14ac:dyDescent="0.3">
      <c r="A148" s="4"/>
      <c r="B148" s="303"/>
      <c r="C148" s="304"/>
      <c r="D148" s="18"/>
    </row>
    <row r="149" spans="1:4" ht="15.75" customHeight="1" thickBot="1" x14ac:dyDescent="0.3">
      <c r="A149" s="4"/>
      <c r="B149" s="303"/>
      <c r="C149" s="304"/>
      <c r="D149" s="18"/>
    </row>
    <row r="150" spans="1:4" ht="15.75" customHeight="1" thickBot="1" x14ac:dyDescent="0.3">
      <c r="A150" s="4"/>
      <c r="B150" s="303"/>
      <c r="C150" s="304"/>
      <c r="D150" s="18"/>
    </row>
    <row r="151" spans="1:4" ht="15.75" customHeight="1" thickBot="1" x14ac:dyDescent="0.3">
      <c r="A151" s="4"/>
      <c r="B151" s="303"/>
      <c r="C151" s="304"/>
      <c r="D151" s="18"/>
    </row>
    <row r="152" spans="1:4" ht="15.75" customHeight="1" thickBot="1" x14ac:dyDescent="0.3">
      <c r="A152" s="4"/>
      <c r="B152" s="303"/>
      <c r="C152" s="304"/>
      <c r="D152" s="18"/>
    </row>
    <row r="153" spans="1:4" ht="15.75" customHeight="1" thickBot="1" x14ac:dyDescent="0.3">
      <c r="A153" s="4"/>
      <c r="B153" s="303"/>
      <c r="C153" s="304"/>
      <c r="D153" s="18"/>
    </row>
    <row r="154" spans="1:4" ht="15.75" customHeight="1" thickBot="1" x14ac:dyDescent="0.3">
      <c r="A154" s="4"/>
      <c r="B154" s="303"/>
      <c r="C154" s="304"/>
      <c r="D154" s="18"/>
    </row>
    <row r="155" spans="1:4" ht="15.75" customHeight="1" thickBot="1" x14ac:dyDescent="0.3">
      <c r="A155" s="2"/>
      <c r="B155" s="3"/>
      <c r="C155" s="2"/>
      <c r="D155" s="1"/>
    </row>
    <row r="156" spans="1:4" ht="15.75" customHeight="1" thickBot="1" x14ac:dyDescent="0.3">
      <c r="A156" s="300"/>
      <c r="B156" s="301"/>
      <c r="C156" s="301"/>
      <c r="D156" s="302"/>
    </row>
    <row r="157" spans="1:4" ht="15.75" customHeight="1" x14ac:dyDescent="0.25">
      <c r="A157" s="5"/>
      <c r="B157" s="6"/>
      <c r="C157" s="7"/>
      <c r="D157" s="8"/>
    </row>
    <row r="158" spans="1:4" ht="15.75" customHeight="1" thickBot="1" x14ac:dyDescent="0.3">
      <c r="A158" s="9"/>
      <c r="B158" s="10"/>
      <c r="C158" s="10"/>
      <c r="D158" s="11"/>
    </row>
    <row r="159" spans="1:4" ht="15.75" customHeight="1" thickBot="1" x14ac:dyDescent="0.3">
      <c r="A159" s="15"/>
      <c r="B159" s="16"/>
      <c r="C159" s="21"/>
      <c r="D159" s="16"/>
    </row>
    <row r="160" spans="1:4" ht="15.75" customHeight="1" thickBot="1" x14ac:dyDescent="0.3">
      <c r="A160" s="12"/>
      <c r="B160" s="307"/>
      <c r="C160" s="306"/>
      <c r="D160" s="12"/>
    </row>
    <row r="161" spans="1:4" ht="15.75" customHeight="1" thickBot="1" x14ac:dyDescent="0.3">
      <c r="A161" s="38"/>
      <c r="B161" s="44"/>
      <c r="C161" s="45"/>
      <c r="D161" s="44"/>
    </row>
    <row r="162" spans="1:4" ht="15.75" customHeight="1" thickBot="1" x14ac:dyDescent="0.3">
      <c r="A162" s="19"/>
      <c r="B162" s="20"/>
      <c r="C162" s="17"/>
      <c r="D162" s="14"/>
    </row>
    <row r="163" spans="1:4" ht="15.75" customHeight="1" thickBot="1" x14ac:dyDescent="0.3">
      <c r="A163" s="19"/>
      <c r="B163" s="20"/>
      <c r="C163" s="48"/>
      <c r="D163" s="47"/>
    </row>
    <row r="164" spans="1:4" ht="15.75" customHeight="1" thickBot="1" x14ac:dyDescent="0.3">
      <c r="A164" s="19"/>
      <c r="B164" s="20"/>
      <c r="C164" s="13"/>
      <c r="D164" s="14"/>
    </row>
    <row r="165" spans="1:4" ht="15.75" customHeight="1" thickBot="1" x14ac:dyDescent="0.3">
      <c r="A165" s="2"/>
      <c r="B165" s="3"/>
      <c r="C165" s="2"/>
      <c r="D165" s="1"/>
    </row>
    <row r="166" spans="1:4" ht="15.75" customHeight="1" thickBot="1" x14ac:dyDescent="0.3">
      <c r="A166" s="4"/>
      <c r="B166" s="303"/>
      <c r="C166" s="304"/>
      <c r="D166" s="4"/>
    </row>
    <row r="167" spans="1:4" ht="15.75" customHeight="1" thickBot="1" x14ac:dyDescent="0.3">
      <c r="A167" s="4"/>
      <c r="B167" s="303"/>
      <c r="C167" s="304"/>
      <c r="D167" s="18"/>
    </row>
    <row r="168" spans="1:4" ht="15.75" customHeight="1" thickBot="1" x14ac:dyDescent="0.3">
      <c r="A168" s="4"/>
      <c r="B168" s="303"/>
      <c r="C168" s="304"/>
      <c r="D168" s="18"/>
    </row>
    <row r="169" spans="1:4" ht="15.75" customHeight="1" thickBot="1" x14ac:dyDescent="0.3">
      <c r="A169" s="4"/>
      <c r="B169" s="303"/>
      <c r="C169" s="304"/>
      <c r="D169" s="18"/>
    </row>
    <row r="170" spans="1:4" ht="15.75" customHeight="1" thickBot="1" x14ac:dyDescent="0.3">
      <c r="A170" s="4"/>
      <c r="B170" s="303"/>
      <c r="C170" s="304"/>
      <c r="D170" s="18"/>
    </row>
    <row r="171" spans="1:4" ht="15.75" customHeight="1" thickBot="1" x14ac:dyDescent="0.3">
      <c r="A171" s="4"/>
      <c r="B171" s="303"/>
      <c r="C171" s="304"/>
      <c r="D171" s="18"/>
    </row>
    <row r="172" spans="1:4" ht="15.75" customHeight="1" thickBot="1" x14ac:dyDescent="0.3">
      <c r="A172" s="4"/>
      <c r="B172" s="303"/>
      <c r="C172" s="304"/>
      <c r="D172" s="18"/>
    </row>
    <row r="173" spans="1:4" ht="15.75" customHeight="1" thickBot="1" x14ac:dyDescent="0.3">
      <c r="A173" s="4"/>
      <c r="B173" s="303"/>
      <c r="C173" s="304"/>
      <c r="D173" s="18"/>
    </row>
    <row r="174" spans="1:4" ht="15.75" customHeight="1" thickBot="1" x14ac:dyDescent="0.3">
      <c r="A174" s="4"/>
      <c r="B174" s="303"/>
      <c r="C174" s="304"/>
      <c r="D174" s="18"/>
    </row>
    <row r="175" spans="1:4" ht="15.75" customHeight="1" thickBot="1" x14ac:dyDescent="0.3">
      <c r="A175" s="2"/>
      <c r="B175" s="3"/>
      <c r="C175" s="2"/>
      <c r="D175" s="1"/>
    </row>
    <row r="176" spans="1:4" ht="15.75" customHeight="1" thickBot="1" x14ac:dyDescent="0.3">
      <c r="A176" s="300"/>
      <c r="B176" s="301"/>
      <c r="C176" s="301"/>
      <c r="D176" s="302"/>
    </row>
    <row r="177" spans="1:4" ht="15.75" customHeight="1" x14ac:dyDescent="0.25">
      <c r="A177" s="5"/>
      <c r="B177" s="6"/>
      <c r="C177" s="7"/>
      <c r="D177" s="8"/>
    </row>
    <row r="178" spans="1:4" ht="15.75" customHeight="1" thickBot="1" x14ac:dyDescent="0.3">
      <c r="A178" s="9"/>
      <c r="B178" s="10"/>
      <c r="C178" s="10"/>
      <c r="D178" s="11"/>
    </row>
    <row r="179" spans="1:4" ht="15.75" customHeight="1" thickBot="1" x14ac:dyDescent="0.3">
      <c r="A179" s="15"/>
      <c r="B179" s="16"/>
      <c r="C179" s="21"/>
      <c r="D179" s="16"/>
    </row>
    <row r="180" spans="1:4" ht="15.75" customHeight="1" thickBot="1" x14ac:dyDescent="0.3">
      <c r="A180" s="12"/>
      <c r="B180" s="307"/>
      <c r="C180" s="306"/>
      <c r="D180" s="12"/>
    </row>
    <row r="181" spans="1:4" ht="15.75" customHeight="1" thickBot="1" x14ac:dyDescent="0.3">
      <c r="A181" s="38"/>
      <c r="B181" s="44"/>
      <c r="C181" s="45"/>
      <c r="D181" s="44"/>
    </row>
    <row r="182" spans="1:4" ht="15.75" customHeight="1" thickBot="1" x14ac:dyDescent="0.3">
      <c r="A182" s="19"/>
      <c r="B182" s="20"/>
      <c r="C182" s="17"/>
      <c r="D182" s="14"/>
    </row>
    <row r="183" spans="1:4" ht="15.75" customHeight="1" thickBot="1" x14ac:dyDescent="0.3">
      <c r="A183" s="19"/>
      <c r="B183" s="20"/>
      <c r="C183" s="48"/>
      <c r="D183" s="47"/>
    </row>
    <row r="184" spans="1:4" ht="15.75" customHeight="1" thickBot="1" x14ac:dyDescent="0.3">
      <c r="A184" s="19"/>
      <c r="B184" s="20"/>
      <c r="C184" s="13"/>
      <c r="D184" s="14"/>
    </row>
    <row r="185" spans="1:4" ht="15.75" customHeight="1" thickBot="1" x14ac:dyDescent="0.3">
      <c r="A185" s="2"/>
      <c r="B185" s="3"/>
      <c r="C185" s="2"/>
      <c r="D185" s="1"/>
    </row>
    <row r="186" spans="1:4" ht="15.75" customHeight="1" thickBot="1" x14ac:dyDescent="0.3">
      <c r="A186" s="4"/>
      <c r="B186" s="303"/>
      <c r="C186" s="304"/>
      <c r="D186" s="4"/>
    </row>
    <row r="187" spans="1:4" ht="15.75" customHeight="1" thickBot="1" x14ac:dyDescent="0.3">
      <c r="A187" s="4"/>
      <c r="B187" s="303"/>
      <c r="C187" s="304"/>
      <c r="D187" s="18"/>
    </row>
    <row r="188" spans="1:4" ht="15.75" customHeight="1" thickBot="1" x14ac:dyDescent="0.3">
      <c r="A188" s="4"/>
      <c r="B188" s="303"/>
      <c r="C188" s="304"/>
      <c r="D188" s="18"/>
    </row>
    <row r="189" spans="1:4" ht="15.75" customHeight="1" thickBot="1" x14ac:dyDescent="0.3">
      <c r="A189" s="4"/>
      <c r="B189" s="303"/>
      <c r="C189" s="304"/>
      <c r="D189" s="18"/>
    </row>
    <row r="190" spans="1:4" ht="15.75" customHeight="1" thickBot="1" x14ac:dyDescent="0.3">
      <c r="A190" s="4"/>
      <c r="B190" s="303"/>
      <c r="C190" s="304"/>
      <c r="D190" s="18"/>
    </row>
    <row r="191" spans="1:4" ht="15.75" customHeight="1" thickBot="1" x14ac:dyDescent="0.3">
      <c r="A191" s="4"/>
      <c r="B191" s="303"/>
      <c r="C191" s="304"/>
      <c r="D191" s="18"/>
    </row>
    <row r="192" spans="1:4" ht="15.75" customHeight="1" thickBot="1" x14ac:dyDescent="0.3">
      <c r="A192" s="4"/>
      <c r="B192" s="303"/>
      <c r="C192" s="304"/>
      <c r="D192" s="18"/>
    </row>
    <row r="193" spans="1:4" ht="15.75" customHeight="1" thickBot="1" x14ac:dyDescent="0.3">
      <c r="A193" s="4"/>
      <c r="B193" s="303"/>
      <c r="C193" s="304"/>
      <c r="D193" s="18"/>
    </row>
    <row r="194" spans="1:4" ht="15.75" customHeight="1" thickBot="1" x14ac:dyDescent="0.3">
      <c r="A194" s="4"/>
      <c r="B194" s="303"/>
      <c r="C194" s="304"/>
      <c r="D194" s="18"/>
    </row>
    <row r="195" spans="1:4" ht="15.75" customHeight="1" thickBot="1" x14ac:dyDescent="0.3">
      <c r="A195" s="2"/>
      <c r="B195" s="3"/>
      <c r="C195" s="2"/>
      <c r="D195" s="1"/>
    </row>
    <row r="196" spans="1:4" ht="15.75" customHeight="1" thickBot="1" x14ac:dyDescent="0.3">
      <c r="A196" s="300"/>
      <c r="B196" s="301"/>
      <c r="C196" s="301"/>
      <c r="D196" s="302"/>
    </row>
    <row r="197" spans="1:4" ht="15.75" customHeight="1" x14ac:dyDescent="0.25">
      <c r="A197" s="5"/>
      <c r="B197" s="6"/>
      <c r="C197" s="7"/>
      <c r="D197" s="8"/>
    </row>
    <row r="198" spans="1:4" ht="15.75" customHeight="1" thickBot="1" x14ac:dyDescent="0.3">
      <c r="A198" s="9"/>
      <c r="B198" s="10"/>
      <c r="C198" s="10"/>
      <c r="D198" s="11"/>
    </row>
    <row r="199" spans="1:4" ht="15.75" customHeight="1" thickBot="1" x14ac:dyDescent="0.3">
      <c r="A199" s="15"/>
      <c r="B199" s="16"/>
      <c r="C199" s="21"/>
      <c r="D199" s="16"/>
    </row>
    <row r="200" spans="1:4" ht="15.75" customHeight="1" thickBot="1" x14ac:dyDescent="0.3">
      <c r="A200" s="12"/>
      <c r="B200" s="307"/>
      <c r="C200" s="306"/>
      <c r="D200" s="12"/>
    </row>
    <row r="201" spans="1:4" ht="15.75" customHeight="1" thickBot="1" x14ac:dyDescent="0.3">
      <c r="A201" s="38"/>
      <c r="B201" s="44"/>
      <c r="C201" s="45"/>
      <c r="D201" s="44"/>
    </row>
    <row r="202" spans="1:4" ht="15.75" customHeight="1" thickBot="1" x14ac:dyDescent="0.3">
      <c r="A202" s="19"/>
      <c r="B202" s="20"/>
      <c r="C202" s="17"/>
      <c r="D202" s="14"/>
    </row>
    <row r="203" spans="1:4" ht="15.75" customHeight="1" thickBot="1" x14ac:dyDescent="0.3">
      <c r="A203" s="19"/>
      <c r="B203" s="20"/>
      <c r="C203" s="48"/>
      <c r="D203" s="47"/>
    </row>
    <row r="204" spans="1:4" ht="15.75" customHeight="1" thickBot="1" x14ac:dyDescent="0.3">
      <c r="A204" s="19"/>
      <c r="B204" s="20"/>
      <c r="C204" s="13"/>
      <c r="D204" s="14"/>
    </row>
    <row r="205" spans="1:4" ht="15.75" customHeight="1" thickBot="1" x14ac:dyDescent="0.3">
      <c r="A205" s="2"/>
      <c r="B205" s="3"/>
      <c r="C205" s="2"/>
      <c r="D205" s="1"/>
    </row>
    <row r="206" spans="1:4" ht="15.75" customHeight="1" thickBot="1" x14ac:dyDescent="0.3">
      <c r="A206" s="4"/>
      <c r="B206" s="303"/>
      <c r="C206" s="304"/>
      <c r="D206" s="4"/>
    </row>
    <row r="207" spans="1:4" ht="15.75" customHeight="1" thickBot="1" x14ac:dyDescent="0.3">
      <c r="A207" s="4"/>
      <c r="B207" s="303"/>
      <c r="C207" s="304"/>
      <c r="D207" s="18"/>
    </row>
    <row r="208" spans="1:4" ht="15.75" customHeight="1" thickBot="1" x14ac:dyDescent="0.3">
      <c r="A208" s="4"/>
      <c r="B208" s="303"/>
      <c r="C208" s="304"/>
      <c r="D208" s="18"/>
    </row>
    <row r="209" spans="1:4" ht="15.75" customHeight="1" thickBot="1" x14ac:dyDescent="0.3">
      <c r="A209" s="4"/>
      <c r="B209" s="303"/>
      <c r="C209" s="304"/>
      <c r="D209" s="18"/>
    </row>
    <row r="210" spans="1:4" ht="15.75" customHeight="1" thickBot="1" x14ac:dyDescent="0.3">
      <c r="A210" s="4"/>
      <c r="B210" s="303"/>
      <c r="C210" s="304"/>
      <c r="D210" s="18"/>
    </row>
    <row r="211" spans="1:4" ht="15.75" customHeight="1" thickBot="1" x14ac:dyDescent="0.3">
      <c r="A211" s="4"/>
      <c r="B211" s="303"/>
      <c r="C211" s="304"/>
      <c r="D211" s="18"/>
    </row>
    <row r="212" spans="1:4" ht="15.75" customHeight="1" thickBot="1" x14ac:dyDescent="0.3">
      <c r="A212" s="4"/>
      <c r="B212" s="303"/>
      <c r="C212" s="304"/>
      <c r="D212" s="18"/>
    </row>
    <row r="213" spans="1:4" ht="15.75" customHeight="1" thickBot="1" x14ac:dyDescent="0.3">
      <c r="A213" s="4"/>
      <c r="B213" s="303"/>
      <c r="C213" s="304"/>
      <c r="D213" s="18"/>
    </row>
    <row r="214" spans="1:4" ht="15.75" customHeight="1" thickBot="1" x14ac:dyDescent="0.3">
      <c r="A214" s="4"/>
      <c r="B214" s="303"/>
      <c r="C214" s="304"/>
      <c r="D214" s="18"/>
    </row>
    <row r="215" spans="1:4" ht="15.75" customHeight="1" thickBot="1" x14ac:dyDescent="0.3">
      <c r="A215" s="2"/>
      <c r="B215" s="3"/>
      <c r="C215" s="2"/>
      <c r="D215" s="1"/>
    </row>
    <row r="216" spans="1:4" ht="15.75" customHeight="1" thickBot="1" x14ac:dyDescent="0.3">
      <c r="A216" s="300"/>
      <c r="B216" s="301"/>
      <c r="C216" s="301"/>
      <c r="D216" s="302"/>
    </row>
    <row r="217" spans="1:4" ht="15.75" customHeight="1" x14ac:dyDescent="0.25">
      <c r="A217" s="5"/>
      <c r="B217" s="6"/>
      <c r="C217" s="7"/>
      <c r="D217" s="8"/>
    </row>
    <row r="218" spans="1:4" ht="15.75" customHeight="1" thickBot="1" x14ac:dyDescent="0.3">
      <c r="A218" s="9"/>
      <c r="B218" s="10"/>
      <c r="C218" s="10"/>
      <c r="D218" s="11"/>
    </row>
    <row r="219" spans="1:4" ht="15.75" customHeight="1" thickBot="1" x14ac:dyDescent="0.3">
      <c r="A219" s="15"/>
      <c r="B219" s="16"/>
      <c r="C219" s="21"/>
      <c r="D219" s="16"/>
    </row>
    <row r="220" spans="1:4" ht="15.75" customHeight="1" thickBot="1" x14ac:dyDescent="0.3">
      <c r="A220" s="12"/>
      <c r="B220" s="307"/>
      <c r="C220" s="306"/>
      <c r="D220" s="12"/>
    </row>
    <row r="221" spans="1:4" ht="15.75" customHeight="1" thickBot="1" x14ac:dyDescent="0.3">
      <c r="A221" s="38"/>
      <c r="B221" s="44"/>
      <c r="C221" s="45"/>
      <c r="D221" s="44"/>
    </row>
    <row r="222" spans="1:4" ht="15.75" customHeight="1" thickBot="1" x14ac:dyDescent="0.3">
      <c r="A222" s="19"/>
      <c r="B222" s="20"/>
      <c r="C222" s="17"/>
      <c r="D222" s="14"/>
    </row>
    <row r="223" spans="1:4" ht="15.75" customHeight="1" thickBot="1" x14ac:dyDescent="0.3">
      <c r="A223" s="19"/>
      <c r="B223" s="20"/>
      <c r="C223" s="48"/>
      <c r="D223" s="47"/>
    </row>
    <row r="224" spans="1:4" ht="15.75" customHeight="1" thickBot="1" x14ac:dyDescent="0.3">
      <c r="A224" s="19"/>
      <c r="B224" s="20"/>
      <c r="C224" s="13"/>
      <c r="D224" s="14"/>
    </row>
    <row r="225" spans="1:4" ht="15.75" customHeight="1" thickBot="1" x14ac:dyDescent="0.3">
      <c r="A225" s="2"/>
      <c r="B225" s="3"/>
      <c r="C225" s="2"/>
      <c r="D225" s="1"/>
    </row>
    <row r="226" spans="1:4" ht="15.75" customHeight="1" thickBot="1" x14ac:dyDescent="0.3">
      <c r="A226" s="4"/>
      <c r="B226" s="303"/>
      <c r="C226" s="304"/>
      <c r="D226" s="4"/>
    </row>
    <row r="227" spans="1:4" ht="15.75" customHeight="1" thickBot="1" x14ac:dyDescent="0.3">
      <c r="A227" s="4"/>
      <c r="B227" s="303"/>
      <c r="C227" s="304"/>
      <c r="D227" s="18"/>
    </row>
    <row r="228" spans="1:4" ht="15.75" customHeight="1" thickBot="1" x14ac:dyDescent="0.3">
      <c r="A228" s="4"/>
      <c r="B228" s="303"/>
      <c r="C228" s="304"/>
      <c r="D228" s="18"/>
    </row>
    <row r="229" spans="1:4" ht="15.75" customHeight="1" thickBot="1" x14ac:dyDescent="0.3">
      <c r="A229" s="4"/>
      <c r="B229" s="303"/>
      <c r="C229" s="304"/>
      <c r="D229" s="18"/>
    </row>
    <row r="230" spans="1:4" ht="15.75" customHeight="1" thickBot="1" x14ac:dyDescent="0.3">
      <c r="A230" s="4"/>
      <c r="B230" s="303"/>
      <c r="C230" s="304"/>
      <c r="D230" s="18"/>
    </row>
    <row r="231" spans="1:4" ht="15.75" customHeight="1" thickBot="1" x14ac:dyDescent="0.3">
      <c r="A231" s="4"/>
      <c r="B231" s="303"/>
      <c r="C231" s="304"/>
      <c r="D231" s="18"/>
    </row>
    <row r="232" spans="1:4" ht="15.75" customHeight="1" thickBot="1" x14ac:dyDescent="0.3">
      <c r="A232" s="4"/>
      <c r="B232" s="303"/>
      <c r="C232" s="304"/>
      <c r="D232" s="18"/>
    </row>
    <row r="233" spans="1:4" ht="15.75" customHeight="1" thickBot="1" x14ac:dyDescent="0.3">
      <c r="A233" s="4"/>
      <c r="B233" s="303"/>
      <c r="C233" s="304"/>
      <c r="D233" s="18"/>
    </row>
    <row r="234" spans="1:4" ht="15.75" customHeight="1" thickBot="1" x14ac:dyDescent="0.3">
      <c r="A234" s="4"/>
      <c r="B234" s="303"/>
      <c r="C234" s="304"/>
      <c r="D234" s="18"/>
    </row>
    <row r="235" spans="1:4" ht="15.75" customHeight="1" thickBot="1" x14ac:dyDescent="0.3">
      <c r="A235" s="2"/>
      <c r="B235" s="3"/>
      <c r="C235" s="2"/>
      <c r="D235" s="1"/>
    </row>
    <row r="236" spans="1:4" ht="15.75" customHeight="1" thickBot="1" x14ac:dyDescent="0.3">
      <c r="A236" s="300"/>
      <c r="B236" s="301"/>
      <c r="C236" s="301"/>
      <c r="D236" s="302"/>
    </row>
    <row r="237" spans="1:4" ht="15.75" customHeight="1" x14ac:dyDescent="0.25">
      <c r="A237" s="5"/>
      <c r="B237" s="6"/>
      <c r="C237" s="7"/>
      <c r="D237" s="8"/>
    </row>
    <row r="238" spans="1:4" ht="15.75" customHeight="1" thickBot="1" x14ac:dyDescent="0.3">
      <c r="A238" s="9"/>
      <c r="B238" s="10"/>
      <c r="C238" s="10"/>
      <c r="D238" s="11"/>
    </row>
    <row r="239" spans="1:4" ht="15.75" customHeight="1" thickBot="1" x14ac:dyDescent="0.3">
      <c r="A239" s="15"/>
      <c r="B239" s="16"/>
      <c r="C239" s="21"/>
      <c r="D239" s="16"/>
    </row>
    <row r="240" spans="1:4" ht="15.75" customHeight="1" thickBot="1" x14ac:dyDescent="0.3">
      <c r="A240" s="12"/>
      <c r="B240" s="307"/>
      <c r="C240" s="306"/>
      <c r="D240" s="12"/>
    </row>
    <row r="241" spans="1:4" ht="15.75" customHeight="1" thickBot="1" x14ac:dyDescent="0.3">
      <c r="A241" s="38"/>
      <c r="B241" s="44"/>
      <c r="C241" s="45"/>
      <c r="D241" s="44"/>
    </row>
    <row r="242" spans="1:4" ht="15.75" customHeight="1" thickBot="1" x14ac:dyDescent="0.3">
      <c r="A242" s="19"/>
      <c r="B242" s="20"/>
      <c r="C242" s="17"/>
      <c r="D242" s="14"/>
    </row>
    <row r="243" spans="1:4" ht="15.75" customHeight="1" thickBot="1" x14ac:dyDescent="0.3">
      <c r="A243" s="19"/>
      <c r="B243" s="20"/>
      <c r="C243" s="48"/>
      <c r="D243" s="47"/>
    </row>
    <row r="244" spans="1:4" ht="15.75" customHeight="1" thickBot="1" x14ac:dyDescent="0.3">
      <c r="A244" s="19"/>
      <c r="B244" s="20"/>
      <c r="C244" s="13"/>
      <c r="D244" s="14"/>
    </row>
    <row r="245" spans="1:4" ht="15.75" customHeight="1" thickBot="1" x14ac:dyDescent="0.3">
      <c r="A245" s="2"/>
      <c r="B245" s="3"/>
      <c r="C245" s="2"/>
      <c r="D245" s="1"/>
    </row>
    <row r="246" spans="1:4" ht="15.75" customHeight="1" thickBot="1" x14ac:dyDescent="0.3">
      <c r="A246" s="4"/>
      <c r="B246" s="303"/>
      <c r="C246" s="304"/>
      <c r="D246" s="4"/>
    </row>
    <row r="247" spans="1:4" ht="15.75" customHeight="1" thickBot="1" x14ac:dyDescent="0.3">
      <c r="A247" s="4"/>
      <c r="B247" s="303"/>
      <c r="C247" s="304"/>
      <c r="D247" s="18"/>
    </row>
    <row r="248" spans="1:4" ht="15.75" customHeight="1" thickBot="1" x14ac:dyDescent="0.3">
      <c r="A248" s="4"/>
      <c r="B248" s="303"/>
      <c r="C248" s="304"/>
      <c r="D248" s="18"/>
    </row>
    <row r="249" spans="1:4" ht="15.75" customHeight="1" thickBot="1" x14ac:dyDescent="0.3">
      <c r="A249" s="4"/>
      <c r="B249" s="303"/>
      <c r="C249" s="304"/>
      <c r="D249" s="18"/>
    </row>
    <row r="250" spans="1:4" ht="15.75" customHeight="1" thickBot="1" x14ac:dyDescent="0.3">
      <c r="A250" s="4"/>
      <c r="B250" s="303"/>
      <c r="C250" s="304"/>
      <c r="D250" s="18"/>
    </row>
    <row r="251" spans="1:4" ht="15.75" customHeight="1" thickBot="1" x14ac:dyDescent="0.3">
      <c r="A251" s="4"/>
      <c r="B251" s="303"/>
      <c r="C251" s="304"/>
      <c r="D251" s="18"/>
    </row>
    <row r="252" spans="1:4" ht="15.75" customHeight="1" thickBot="1" x14ac:dyDescent="0.3">
      <c r="A252" s="4"/>
      <c r="B252" s="303"/>
      <c r="C252" s="304"/>
      <c r="D252" s="18"/>
    </row>
    <row r="253" spans="1:4" ht="15.75" customHeight="1" thickBot="1" x14ac:dyDescent="0.3">
      <c r="A253" s="4"/>
      <c r="B253" s="303"/>
      <c r="C253" s="304"/>
      <c r="D253" s="18"/>
    </row>
    <row r="254" spans="1:4" ht="15.75" customHeight="1" thickBot="1" x14ac:dyDescent="0.3">
      <c r="A254" s="4"/>
      <c r="B254" s="303"/>
      <c r="C254" s="304"/>
      <c r="D254" s="18"/>
    </row>
    <row r="255" spans="1:4" ht="15.75" customHeight="1" thickBot="1" x14ac:dyDescent="0.3">
      <c r="A255" s="2"/>
      <c r="B255" s="3"/>
      <c r="C255" s="2"/>
      <c r="D255" s="1"/>
    </row>
    <row r="256" spans="1:4" ht="15.75" customHeight="1" thickBot="1" x14ac:dyDescent="0.3">
      <c r="A256" s="300"/>
      <c r="B256" s="301"/>
      <c r="C256" s="301"/>
      <c r="D256" s="302"/>
    </row>
    <row r="257" spans="1:4" ht="15.75" customHeight="1" x14ac:dyDescent="0.25">
      <c r="A257" s="5"/>
      <c r="B257" s="6"/>
      <c r="C257" s="7"/>
      <c r="D257" s="8"/>
    </row>
    <row r="258" spans="1:4" ht="15.75" customHeight="1" thickBot="1" x14ac:dyDescent="0.3">
      <c r="A258" s="9"/>
      <c r="B258" s="10"/>
      <c r="C258" s="10"/>
      <c r="D258" s="11"/>
    </row>
    <row r="259" spans="1:4" ht="15.75" customHeight="1" thickBot="1" x14ac:dyDescent="0.3">
      <c r="A259" s="15"/>
      <c r="B259" s="16"/>
      <c r="C259" s="21"/>
      <c r="D259" s="16"/>
    </row>
    <row r="260" spans="1:4" ht="15.75" customHeight="1" thickBot="1" x14ac:dyDescent="0.3">
      <c r="A260" s="12"/>
      <c r="B260" s="307"/>
      <c r="C260" s="306"/>
      <c r="D260" s="12"/>
    </row>
    <row r="261" spans="1:4" ht="15.75" customHeight="1" thickBot="1" x14ac:dyDescent="0.3">
      <c r="A261" s="38"/>
      <c r="B261" s="44"/>
      <c r="C261" s="45"/>
      <c r="D261" s="44"/>
    </row>
    <row r="262" spans="1:4" ht="15.75" customHeight="1" thickBot="1" x14ac:dyDescent="0.3">
      <c r="A262" s="19"/>
      <c r="B262" s="20"/>
      <c r="C262" s="17"/>
      <c r="D262" s="14"/>
    </row>
    <row r="263" spans="1:4" ht="15.75" customHeight="1" thickBot="1" x14ac:dyDescent="0.3">
      <c r="A263" s="19"/>
      <c r="B263" s="20"/>
      <c r="C263" s="48"/>
      <c r="D263" s="47"/>
    </row>
    <row r="264" spans="1:4" ht="15.75" customHeight="1" thickBot="1" x14ac:dyDescent="0.3">
      <c r="A264" s="19"/>
      <c r="B264" s="20"/>
      <c r="C264" s="13"/>
      <c r="D264" s="14"/>
    </row>
    <row r="265" spans="1:4" ht="15.75" customHeight="1" thickBot="1" x14ac:dyDescent="0.3">
      <c r="A265" s="2"/>
      <c r="B265" s="3"/>
      <c r="C265" s="2"/>
      <c r="D265" s="1"/>
    </row>
    <row r="266" spans="1:4" ht="15.75" customHeight="1" thickBot="1" x14ac:dyDescent="0.3">
      <c r="A266" s="4"/>
      <c r="B266" s="303"/>
      <c r="C266" s="304"/>
      <c r="D266" s="4"/>
    </row>
    <row r="267" spans="1:4" ht="15.75" customHeight="1" thickBot="1" x14ac:dyDescent="0.3">
      <c r="A267" s="4"/>
      <c r="B267" s="303"/>
      <c r="C267" s="304"/>
      <c r="D267" s="18"/>
    </row>
    <row r="268" spans="1:4" ht="15.75" customHeight="1" thickBot="1" x14ac:dyDescent="0.3">
      <c r="A268" s="4"/>
      <c r="B268" s="303"/>
      <c r="C268" s="304"/>
      <c r="D268" s="18"/>
    </row>
    <row r="269" spans="1:4" ht="15.75" customHeight="1" thickBot="1" x14ac:dyDescent="0.3">
      <c r="A269" s="4"/>
      <c r="B269" s="303"/>
      <c r="C269" s="304"/>
      <c r="D269" s="18"/>
    </row>
    <row r="270" spans="1:4" ht="15.75" customHeight="1" thickBot="1" x14ac:dyDescent="0.3">
      <c r="A270" s="4"/>
      <c r="B270" s="303"/>
      <c r="C270" s="304"/>
      <c r="D270" s="18"/>
    </row>
    <row r="271" spans="1:4" ht="15.75" customHeight="1" thickBot="1" x14ac:dyDescent="0.3">
      <c r="A271" s="4"/>
      <c r="B271" s="303"/>
      <c r="C271" s="304"/>
      <c r="D271" s="18"/>
    </row>
    <row r="272" spans="1:4" ht="15.75" customHeight="1" thickBot="1" x14ac:dyDescent="0.3">
      <c r="A272" s="4"/>
      <c r="B272" s="303"/>
      <c r="C272" s="304"/>
      <c r="D272" s="18"/>
    </row>
    <row r="273" spans="1:4" ht="15.75" customHeight="1" thickBot="1" x14ac:dyDescent="0.3">
      <c r="A273" s="4"/>
      <c r="B273" s="303"/>
      <c r="C273" s="304"/>
      <c r="D273" s="18"/>
    </row>
    <row r="274" spans="1:4" ht="15.75" customHeight="1" thickBot="1" x14ac:dyDescent="0.3">
      <c r="A274" s="4"/>
      <c r="B274" s="303"/>
      <c r="C274" s="304"/>
      <c r="D274" s="18"/>
    </row>
    <row r="275" spans="1:4" ht="15.75" customHeight="1" thickBot="1" x14ac:dyDescent="0.3">
      <c r="A275" s="2"/>
      <c r="B275" s="3"/>
      <c r="C275" s="2"/>
      <c r="D275" s="1"/>
    </row>
    <row r="276" spans="1:4" ht="15.75" customHeight="1" thickBot="1" x14ac:dyDescent="0.3">
      <c r="A276" s="300"/>
      <c r="B276" s="301"/>
      <c r="C276" s="301"/>
      <c r="D276" s="302"/>
    </row>
    <row r="277" spans="1:4" ht="15.75" customHeight="1" x14ac:dyDescent="0.25">
      <c r="A277" s="5"/>
      <c r="B277" s="6"/>
      <c r="C277" s="7"/>
      <c r="D277" s="8"/>
    </row>
    <row r="278" spans="1:4" ht="15.75" customHeight="1" thickBot="1" x14ac:dyDescent="0.3">
      <c r="A278" s="9"/>
      <c r="B278" s="10"/>
      <c r="C278" s="10"/>
      <c r="D278" s="11"/>
    </row>
    <row r="279" spans="1:4" ht="15.75" customHeight="1" thickBot="1" x14ac:dyDescent="0.3">
      <c r="A279" s="15"/>
      <c r="B279" s="16"/>
      <c r="C279" s="21"/>
      <c r="D279" s="16"/>
    </row>
    <row r="280" spans="1:4" ht="15.75" customHeight="1" thickBot="1" x14ac:dyDescent="0.3">
      <c r="A280" s="12"/>
      <c r="B280" s="307"/>
      <c r="C280" s="306"/>
      <c r="D280" s="12"/>
    </row>
    <row r="281" spans="1:4" ht="15.75" customHeight="1" thickBot="1" x14ac:dyDescent="0.3">
      <c r="A281" s="38"/>
      <c r="B281" s="44"/>
      <c r="C281" s="45"/>
      <c r="D281" s="44"/>
    </row>
    <row r="282" spans="1:4" ht="15.75" customHeight="1" thickBot="1" x14ac:dyDescent="0.3">
      <c r="A282" s="19"/>
      <c r="B282" s="20"/>
      <c r="C282" s="17"/>
      <c r="D282" s="14"/>
    </row>
    <row r="283" spans="1:4" ht="15.75" customHeight="1" thickBot="1" x14ac:dyDescent="0.3">
      <c r="A283" s="19"/>
      <c r="B283" s="20"/>
      <c r="C283" s="48"/>
      <c r="D283" s="47"/>
    </row>
    <row r="284" spans="1:4" ht="15.75" customHeight="1" thickBot="1" x14ac:dyDescent="0.3">
      <c r="A284" s="19"/>
      <c r="B284" s="20"/>
      <c r="C284" s="13"/>
      <c r="D284" s="14"/>
    </row>
    <row r="285" spans="1:4" ht="15.75" customHeight="1" thickBot="1" x14ac:dyDescent="0.3">
      <c r="A285" s="2"/>
      <c r="B285" s="3"/>
      <c r="C285" s="2"/>
      <c r="D285" s="1"/>
    </row>
    <row r="286" spans="1:4" ht="15.75" customHeight="1" thickBot="1" x14ac:dyDescent="0.3">
      <c r="A286" s="4"/>
      <c r="B286" s="303"/>
      <c r="C286" s="304"/>
      <c r="D286" s="4"/>
    </row>
    <row r="287" spans="1:4" ht="15.75" customHeight="1" thickBot="1" x14ac:dyDescent="0.3">
      <c r="A287" s="4"/>
      <c r="B287" s="303"/>
      <c r="C287" s="304"/>
      <c r="D287" s="18"/>
    </row>
    <row r="288" spans="1:4" ht="15.75" customHeight="1" thickBot="1" x14ac:dyDescent="0.3">
      <c r="A288" s="4"/>
      <c r="B288" s="303"/>
      <c r="C288" s="304"/>
      <c r="D288" s="18"/>
    </row>
    <row r="289" spans="1:4" ht="15.75" customHeight="1" thickBot="1" x14ac:dyDescent="0.3">
      <c r="A289" s="4"/>
      <c r="B289" s="303"/>
      <c r="C289" s="304"/>
      <c r="D289" s="18"/>
    </row>
    <row r="290" spans="1:4" ht="15.75" customHeight="1" thickBot="1" x14ac:dyDescent="0.3">
      <c r="A290" s="4"/>
      <c r="B290" s="303"/>
      <c r="C290" s="304"/>
      <c r="D290" s="18"/>
    </row>
    <row r="291" spans="1:4" ht="15.75" customHeight="1" thickBot="1" x14ac:dyDescent="0.3">
      <c r="A291" s="4"/>
      <c r="B291" s="303"/>
      <c r="C291" s="304"/>
      <c r="D291" s="18"/>
    </row>
    <row r="292" spans="1:4" ht="15.75" customHeight="1" thickBot="1" x14ac:dyDescent="0.3">
      <c r="A292" s="4"/>
      <c r="B292" s="303"/>
      <c r="C292" s="304"/>
      <c r="D292" s="18"/>
    </row>
    <row r="293" spans="1:4" ht="15.75" customHeight="1" thickBot="1" x14ac:dyDescent="0.3">
      <c r="A293" s="4"/>
      <c r="B293" s="303"/>
      <c r="C293" s="304"/>
      <c r="D293" s="18"/>
    </row>
    <row r="294" spans="1:4" ht="15.75" customHeight="1" thickBot="1" x14ac:dyDescent="0.3">
      <c r="A294" s="4"/>
      <c r="B294" s="303"/>
      <c r="C294" s="304"/>
      <c r="D294" s="18"/>
    </row>
    <row r="295" spans="1:4" ht="15.75" customHeight="1" thickBot="1" x14ac:dyDescent="0.3">
      <c r="A295" s="2"/>
      <c r="B295" s="3"/>
      <c r="C295" s="2"/>
      <c r="D295" s="1"/>
    </row>
    <row r="296" spans="1:4" ht="15.75" customHeight="1" thickBot="1" x14ac:dyDescent="0.3">
      <c r="A296" s="300"/>
      <c r="B296" s="301"/>
      <c r="C296" s="301"/>
      <c r="D296" s="302"/>
    </row>
    <row r="297" spans="1:4" ht="15.75" customHeight="1" x14ac:dyDescent="0.25">
      <c r="A297" s="5"/>
      <c r="B297" s="6"/>
      <c r="C297" s="7"/>
      <c r="D297" s="8"/>
    </row>
    <row r="298" spans="1:4" ht="15.75" customHeight="1" thickBot="1" x14ac:dyDescent="0.3">
      <c r="A298" s="9"/>
      <c r="B298" s="10"/>
      <c r="C298" s="10"/>
      <c r="D298" s="11"/>
    </row>
    <row r="299" spans="1:4" ht="15.75" customHeight="1" thickBot="1" x14ac:dyDescent="0.3">
      <c r="A299" s="15"/>
      <c r="B299" s="16"/>
      <c r="C299" s="21"/>
      <c r="D299" s="16"/>
    </row>
    <row r="300" spans="1:4" ht="15.75" customHeight="1" thickBot="1" x14ac:dyDescent="0.3">
      <c r="A300" s="12"/>
      <c r="B300" s="307"/>
      <c r="C300" s="306"/>
      <c r="D300" s="12"/>
    </row>
    <row r="301" spans="1:4" ht="15.75" customHeight="1" thickBot="1" x14ac:dyDescent="0.3">
      <c r="A301" s="38"/>
      <c r="B301" s="44"/>
      <c r="C301" s="45"/>
      <c r="D301" s="44"/>
    </row>
    <row r="302" spans="1:4" ht="15.75" customHeight="1" thickBot="1" x14ac:dyDescent="0.3">
      <c r="A302" s="19"/>
      <c r="B302" s="20"/>
      <c r="C302" s="17"/>
      <c r="D302" s="14"/>
    </row>
    <row r="303" spans="1:4" ht="15.75" customHeight="1" thickBot="1" x14ac:dyDescent="0.3">
      <c r="A303" s="19"/>
      <c r="B303" s="20"/>
      <c r="C303" s="48"/>
      <c r="D303" s="47"/>
    </row>
    <row r="304" spans="1:4" ht="15.75" customHeight="1" thickBot="1" x14ac:dyDescent="0.3">
      <c r="A304" s="19"/>
      <c r="B304" s="20"/>
      <c r="C304" s="13"/>
      <c r="D304" s="14"/>
    </row>
    <row r="305" spans="1:4" ht="15.75" customHeight="1" thickBot="1" x14ac:dyDescent="0.3">
      <c r="A305" s="2"/>
      <c r="B305" s="3"/>
      <c r="C305" s="2"/>
      <c r="D305" s="1"/>
    </row>
    <row r="306" spans="1:4" ht="15.75" customHeight="1" thickBot="1" x14ac:dyDescent="0.3">
      <c r="A306" s="4"/>
      <c r="B306" s="303"/>
      <c r="C306" s="304"/>
      <c r="D306" s="4"/>
    </row>
    <row r="307" spans="1:4" ht="15.75" customHeight="1" thickBot="1" x14ac:dyDescent="0.3">
      <c r="A307" s="4"/>
      <c r="B307" s="303"/>
      <c r="C307" s="304"/>
      <c r="D307" s="18"/>
    </row>
    <row r="308" spans="1:4" ht="15.75" customHeight="1" thickBot="1" x14ac:dyDescent="0.3">
      <c r="A308" s="4"/>
      <c r="B308" s="303"/>
      <c r="C308" s="304"/>
      <c r="D308" s="18"/>
    </row>
    <row r="309" spans="1:4" ht="15.75" customHeight="1" thickBot="1" x14ac:dyDescent="0.3">
      <c r="A309" s="4"/>
      <c r="B309" s="303"/>
      <c r="C309" s="304"/>
      <c r="D309" s="18"/>
    </row>
    <row r="310" spans="1:4" ht="15.75" customHeight="1" thickBot="1" x14ac:dyDescent="0.3">
      <c r="A310" s="4"/>
      <c r="B310" s="303"/>
      <c r="C310" s="304"/>
      <c r="D310" s="18"/>
    </row>
    <row r="311" spans="1:4" ht="15.75" customHeight="1" thickBot="1" x14ac:dyDescent="0.3">
      <c r="A311" s="4"/>
      <c r="B311" s="303"/>
      <c r="C311" s="304"/>
      <c r="D311" s="18"/>
    </row>
    <row r="312" spans="1:4" ht="15.75" customHeight="1" thickBot="1" x14ac:dyDescent="0.3">
      <c r="A312" s="4"/>
      <c r="B312" s="303"/>
      <c r="C312" s="304"/>
      <c r="D312" s="18"/>
    </row>
    <row r="313" spans="1:4" ht="15.75" customHeight="1" thickBot="1" x14ac:dyDescent="0.3">
      <c r="A313" s="4"/>
      <c r="B313" s="303"/>
      <c r="C313" s="304"/>
      <c r="D313" s="18"/>
    </row>
    <row r="314" spans="1:4" ht="15.75" customHeight="1" thickBot="1" x14ac:dyDescent="0.3">
      <c r="A314" s="4"/>
      <c r="B314" s="303"/>
      <c r="C314" s="304"/>
      <c r="D314" s="18"/>
    </row>
    <row r="315" spans="1:4" ht="15.75" customHeight="1" thickBot="1" x14ac:dyDescent="0.3">
      <c r="A315" s="2"/>
      <c r="B315" s="3"/>
      <c r="C315" s="2"/>
      <c r="D315" s="1"/>
    </row>
    <row r="316" spans="1:4" ht="15.75" customHeight="1" thickBot="1" x14ac:dyDescent="0.3">
      <c r="A316" s="300"/>
      <c r="B316" s="301"/>
      <c r="C316" s="301"/>
      <c r="D316" s="302"/>
    </row>
    <row r="317" spans="1:4" ht="15.75" customHeight="1" x14ac:dyDescent="0.25">
      <c r="A317" s="5"/>
      <c r="B317" s="6"/>
      <c r="C317" s="7"/>
      <c r="D317" s="8"/>
    </row>
    <row r="318" spans="1:4" ht="15.75" customHeight="1" thickBot="1" x14ac:dyDescent="0.3">
      <c r="A318" s="9"/>
      <c r="B318" s="10"/>
      <c r="C318" s="10"/>
      <c r="D318" s="11"/>
    </row>
    <row r="319" spans="1:4" ht="15.75" customHeight="1" thickBot="1" x14ac:dyDescent="0.3">
      <c r="A319" s="15"/>
      <c r="B319" s="16"/>
      <c r="C319" s="21"/>
      <c r="D319" s="16"/>
    </row>
    <row r="320" spans="1:4" ht="15.75" customHeight="1" thickBot="1" x14ac:dyDescent="0.3">
      <c r="A320" s="12"/>
      <c r="B320" s="307"/>
      <c r="C320" s="306"/>
      <c r="D320" s="12"/>
    </row>
    <row r="321" spans="1:4" ht="15.75" customHeight="1" thickBot="1" x14ac:dyDescent="0.3">
      <c r="A321" s="38"/>
      <c r="B321" s="44"/>
      <c r="C321" s="45"/>
      <c r="D321" s="44"/>
    </row>
    <row r="322" spans="1:4" ht="15.75" customHeight="1" thickBot="1" x14ac:dyDescent="0.3">
      <c r="A322" s="19"/>
      <c r="B322" s="20"/>
      <c r="C322" s="17"/>
      <c r="D322" s="14"/>
    </row>
    <row r="323" spans="1:4" ht="15.75" customHeight="1" thickBot="1" x14ac:dyDescent="0.3">
      <c r="A323" s="19"/>
      <c r="B323" s="20"/>
      <c r="C323" s="48"/>
      <c r="D323" s="47"/>
    </row>
    <row r="324" spans="1:4" ht="15.75" customHeight="1" thickBot="1" x14ac:dyDescent="0.3">
      <c r="A324" s="19"/>
      <c r="B324" s="20"/>
      <c r="C324" s="13"/>
      <c r="D324" s="14"/>
    </row>
    <row r="325" spans="1:4" ht="15.75" customHeight="1" thickBot="1" x14ac:dyDescent="0.3">
      <c r="A325" s="2"/>
      <c r="B325" s="3"/>
      <c r="C325" s="2"/>
      <c r="D325" s="1"/>
    </row>
    <row r="326" spans="1:4" ht="15.75" customHeight="1" thickBot="1" x14ac:dyDescent="0.3">
      <c r="A326" s="4"/>
      <c r="B326" s="303"/>
      <c r="C326" s="304"/>
      <c r="D326" s="4"/>
    </row>
    <row r="327" spans="1:4" ht="15.75" customHeight="1" thickBot="1" x14ac:dyDescent="0.3">
      <c r="A327" s="4"/>
      <c r="B327" s="303"/>
      <c r="C327" s="304"/>
      <c r="D327" s="18"/>
    </row>
    <row r="328" spans="1:4" ht="15.75" customHeight="1" thickBot="1" x14ac:dyDescent="0.3">
      <c r="A328" s="4"/>
      <c r="B328" s="303"/>
      <c r="C328" s="304"/>
      <c r="D328" s="18"/>
    </row>
    <row r="329" spans="1:4" ht="15.75" customHeight="1" thickBot="1" x14ac:dyDescent="0.3">
      <c r="A329" s="4"/>
      <c r="B329" s="303"/>
      <c r="C329" s="304"/>
      <c r="D329" s="18"/>
    </row>
    <row r="330" spans="1:4" ht="15.75" customHeight="1" thickBot="1" x14ac:dyDescent="0.3">
      <c r="A330" s="4"/>
      <c r="B330" s="303"/>
      <c r="C330" s="304"/>
      <c r="D330" s="18"/>
    </row>
    <row r="331" spans="1:4" ht="15.75" customHeight="1" thickBot="1" x14ac:dyDescent="0.3">
      <c r="A331" s="4"/>
      <c r="B331" s="303"/>
      <c r="C331" s="304"/>
      <c r="D331" s="18"/>
    </row>
    <row r="332" spans="1:4" ht="15.75" customHeight="1" thickBot="1" x14ac:dyDescent="0.3">
      <c r="A332" s="4"/>
      <c r="B332" s="303"/>
      <c r="C332" s="304"/>
      <c r="D332" s="18"/>
    </row>
    <row r="333" spans="1:4" ht="15.75" customHeight="1" thickBot="1" x14ac:dyDescent="0.3">
      <c r="A333" s="4"/>
      <c r="B333" s="303"/>
      <c r="C333" s="304"/>
      <c r="D333" s="18"/>
    </row>
    <row r="334" spans="1:4" ht="15.75" customHeight="1" thickBot="1" x14ac:dyDescent="0.3">
      <c r="A334" s="4"/>
      <c r="B334" s="303"/>
      <c r="C334" s="304"/>
      <c r="D334" s="18"/>
    </row>
    <row r="335" spans="1:4" ht="15.75" customHeight="1" thickBot="1" x14ac:dyDescent="0.3">
      <c r="A335" s="2"/>
      <c r="B335" s="3"/>
      <c r="C335" s="2"/>
      <c r="D335" s="1"/>
    </row>
    <row r="336" spans="1:4" ht="15.75" customHeight="1" thickBot="1" x14ac:dyDescent="0.3">
      <c r="A336" s="300"/>
      <c r="B336" s="301"/>
      <c r="C336" s="301"/>
      <c r="D336" s="302"/>
    </row>
    <row r="337" spans="1:4" ht="15.75" customHeight="1" x14ac:dyDescent="0.25">
      <c r="A337" s="5"/>
      <c r="B337" s="6"/>
      <c r="C337" s="7"/>
      <c r="D337" s="8"/>
    </row>
    <row r="338" spans="1:4" ht="15.75" customHeight="1" thickBot="1" x14ac:dyDescent="0.3">
      <c r="A338" s="9"/>
      <c r="B338" s="10"/>
      <c r="C338" s="10"/>
      <c r="D338" s="11"/>
    </row>
    <row r="339" spans="1:4" ht="15.75" customHeight="1" thickBot="1" x14ac:dyDescent="0.3">
      <c r="A339" s="15"/>
      <c r="B339" s="16"/>
      <c r="C339" s="21"/>
      <c r="D339" s="16"/>
    </row>
    <row r="340" spans="1:4" ht="15.75" customHeight="1" thickBot="1" x14ac:dyDescent="0.3">
      <c r="A340" s="12"/>
      <c r="B340" s="307"/>
      <c r="C340" s="306"/>
      <c r="D340" s="12"/>
    </row>
    <row r="341" spans="1:4" ht="15.75" customHeight="1" thickBot="1" x14ac:dyDescent="0.3">
      <c r="A341" s="38"/>
      <c r="B341" s="44"/>
      <c r="C341" s="45"/>
      <c r="D341" s="44"/>
    </row>
    <row r="342" spans="1:4" ht="15.75" customHeight="1" thickBot="1" x14ac:dyDescent="0.3">
      <c r="A342" s="19"/>
      <c r="B342" s="20"/>
      <c r="C342" s="17"/>
      <c r="D342" s="14"/>
    </row>
    <row r="343" spans="1:4" ht="15.75" customHeight="1" thickBot="1" x14ac:dyDescent="0.3">
      <c r="A343" s="19"/>
      <c r="B343" s="20"/>
      <c r="C343" s="48"/>
      <c r="D343" s="47"/>
    </row>
    <row r="344" spans="1:4" ht="15.75" customHeight="1" thickBot="1" x14ac:dyDescent="0.3">
      <c r="A344" s="19"/>
      <c r="B344" s="20"/>
      <c r="C344" s="13"/>
      <c r="D344" s="14"/>
    </row>
    <row r="345" spans="1:4" ht="15.75" customHeight="1" thickBot="1" x14ac:dyDescent="0.3">
      <c r="A345" s="2"/>
      <c r="B345" s="3"/>
      <c r="C345" s="2"/>
      <c r="D345" s="1"/>
    </row>
    <row r="346" spans="1:4" ht="15.75" customHeight="1" thickBot="1" x14ac:dyDescent="0.3">
      <c r="A346" s="4"/>
      <c r="B346" s="303"/>
      <c r="C346" s="304"/>
      <c r="D346" s="4"/>
    </row>
    <row r="347" spans="1:4" ht="15.75" customHeight="1" thickBot="1" x14ac:dyDescent="0.3">
      <c r="A347" s="4"/>
      <c r="B347" s="303"/>
      <c r="C347" s="304"/>
      <c r="D347" s="18"/>
    </row>
    <row r="348" spans="1:4" ht="15.75" customHeight="1" thickBot="1" x14ac:dyDescent="0.3">
      <c r="A348" s="4"/>
      <c r="B348" s="303"/>
      <c r="C348" s="304"/>
      <c r="D348" s="18"/>
    </row>
    <row r="349" spans="1:4" ht="15.75" customHeight="1" thickBot="1" x14ac:dyDescent="0.3">
      <c r="A349" s="4"/>
      <c r="B349" s="303"/>
      <c r="C349" s="304"/>
      <c r="D349" s="18"/>
    </row>
    <row r="350" spans="1:4" ht="15.75" customHeight="1" thickBot="1" x14ac:dyDescent="0.3">
      <c r="A350" s="4"/>
      <c r="B350" s="303"/>
      <c r="C350" s="304"/>
      <c r="D350" s="18"/>
    </row>
    <row r="351" spans="1:4" ht="15.75" customHeight="1" thickBot="1" x14ac:dyDescent="0.3">
      <c r="A351" s="4"/>
      <c r="B351" s="303"/>
      <c r="C351" s="304"/>
      <c r="D351" s="18"/>
    </row>
    <row r="352" spans="1:4" ht="15.75" customHeight="1" thickBot="1" x14ac:dyDescent="0.3">
      <c r="A352" s="4"/>
      <c r="B352" s="303"/>
      <c r="C352" s="304"/>
      <c r="D352" s="18"/>
    </row>
    <row r="353" spans="1:4" ht="15.75" customHeight="1" thickBot="1" x14ac:dyDescent="0.3">
      <c r="A353" s="4"/>
      <c r="B353" s="303"/>
      <c r="C353" s="304"/>
      <c r="D353" s="18"/>
    </row>
    <row r="354" spans="1:4" ht="15.75" customHeight="1" thickBot="1" x14ac:dyDescent="0.3">
      <c r="A354" s="4"/>
      <c r="B354" s="303"/>
      <c r="C354" s="304"/>
      <c r="D354" s="18"/>
    </row>
    <row r="355" spans="1:4" ht="15.75" customHeight="1" thickBot="1" x14ac:dyDescent="0.3">
      <c r="A355" s="2"/>
      <c r="B355" s="3"/>
      <c r="C355" s="2"/>
      <c r="D355" s="1"/>
    </row>
    <row r="356" spans="1:4" ht="15.75" customHeight="1" thickBot="1" x14ac:dyDescent="0.3">
      <c r="A356" s="300"/>
      <c r="B356" s="301"/>
      <c r="C356" s="301"/>
      <c r="D356" s="302"/>
    </row>
    <row r="357" spans="1:4" ht="15.75" customHeight="1" x14ac:dyDescent="0.25">
      <c r="A357" s="5"/>
      <c r="B357" s="6"/>
      <c r="C357" s="7"/>
      <c r="D357" s="8"/>
    </row>
    <row r="358" spans="1:4" ht="15.75" customHeight="1" thickBot="1" x14ac:dyDescent="0.3">
      <c r="A358" s="9"/>
      <c r="B358" s="10"/>
      <c r="C358" s="10"/>
      <c r="D358" s="11"/>
    </row>
    <row r="359" spans="1:4" ht="15.75" customHeight="1" thickBot="1" x14ac:dyDescent="0.3">
      <c r="A359" s="15"/>
      <c r="B359" s="16"/>
      <c r="C359" s="21"/>
      <c r="D359" s="16"/>
    </row>
    <row r="360" spans="1:4" ht="15.75" customHeight="1" thickBot="1" x14ac:dyDescent="0.3">
      <c r="A360" s="12"/>
      <c r="B360" s="307"/>
      <c r="C360" s="306"/>
      <c r="D360" s="12"/>
    </row>
    <row r="361" spans="1:4" ht="15.75" customHeight="1" thickBot="1" x14ac:dyDescent="0.3">
      <c r="A361" s="38"/>
      <c r="B361" s="44"/>
      <c r="C361" s="45"/>
      <c r="D361" s="44"/>
    </row>
    <row r="362" spans="1:4" ht="15.75" customHeight="1" thickBot="1" x14ac:dyDescent="0.3">
      <c r="A362" s="19"/>
      <c r="B362" s="20"/>
      <c r="C362" s="17"/>
      <c r="D362" s="14"/>
    </row>
    <row r="363" spans="1:4" ht="15.75" customHeight="1" thickBot="1" x14ac:dyDescent="0.3">
      <c r="A363" s="19"/>
      <c r="B363" s="20"/>
      <c r="C363" s="48"/>
      <c r="D363" s="47"/>
    </row>
    <row r="364" spans="1:4" ht="15.75" customHeight="1" thickBot="1" x14ac:dyDescent="0.3">
      <c r="A364" s="19"/>
      <c r="B364" s="20"/>
      <c r="C364" s="13"/>
      <c r="D364" s="14"/>
    </row>
    <row r="365" spans="1:4" ht="15.75" customHeight="1" thickBot="1" x14ac:dyDescent="0.3">
      <c r="A365" s="2"/>
      <c r="B365" s="3"/>
      <c r="C365" s="2"/>
      <c r="D365" s="1"/>
    </row>
    <row r="366" spans="1:4" ht="15.75" customHeight="1" thickBot="1" x14ac:dyDescent="0.3">
      <c r="A366" s="4"/>
      <c r="B366" s="303"/>
      <c r="C366" s="304"/>
      <c r="D366" s="4"/>
    </row>
    <row r="367" spans="1:4" ht="15.75" customHeight="1" thickBot="1" x14ac:dyDescent="0.3">
      <c r="A367" s="4"/>
      <c r="B367" s="303"/>
      <c r="C367" s="304"/>
      <c r="D367" s="18"/>
    </row>
    <row r="368" spans="1:4" ht="15.75" customHeight="1" thickBot="1" x14ac:dyDescent="0.3">
      <c r="A368" s="4"/>
      <c r="B368" s="303"/>
      <c r="C368" s="304"/>
      <c r="D368" s="18"/>
    </row>
    <row r="369" spans="1:4" ht="15.75" customHeight="1" thickBot="1" x14ac:dyDescent="0.3">
      <c r="A369" s="4"/>
      <c r="B369" s="303"/>
      <c r="C369" s="304"/>
      <c r="D369" s="18"/>
    </row>
    <row r="370" spans="1:4" ht="15.75" customHeight="1" thickBot="1" x14ac:dyDescent="0.3">
      <c r="A370" s="4"/>
      <c r="B370" s="303"/>
      <c r="C370" s="304"/>
      <c r="D370" s="18"/>
    </row>
    <row r="371" spans="1:4" ht="15.75" customHeight="1" thickBot="1" x14ac:dyDescent="0.3">
      <c r="A371" s="4"/>
      <c r="B371" s="303"/>
      <c r="C371" s="304"/>
      <c r="D371" s="18"/>
    </row>
    <row r="372" spans="1:4" ht="15.75" customHeight="1" thickBot="1" x14ac:dyDescent="0.3">
      <c r="A372" s="4"/>
      <c r="B372" s="303"/>
      <c r="C372" s="304"/>
      <c r="D372" s="18"/>
    </row>
    <row r="373" spans="1:4" ht="15.75" customHeight="1" thickBot="1" x14ac:dyDescent="0.3">
      <c r="A373" s="4"/>
      <c r="B373" s="303"/>
      <c r="C373" s="304"/>
      <c r="D373" s="18"/>
    </row>
    <row r="374" spans="1:4" ht="15.75" customHeight="1" thickBot="1" x14ac:dyDescent="0.3">
      <c r="A374" s="4"/>
      <c r="B374" s="303"/>
      <c r="C374" s="304"/>
      <c r="D374" s="18"/>
    </row>
    <row r="375" spans="1:4" ht="15.75" customHeight="1" thickBot="1" x14ac:dyDescent="0.3">
      <c r="A375" s="2"/>
      <c r="B375" s="3"/>
      <c r="C375" s="2"/>
      <c r="D375" s="1"/>
    </row>
    <row r="376" spans="1:4" ht="15.75" customHeight="1" thickBot="1" x14ac:dyDescent="0.3">
      <c r="A376" s="300"/>
      <c r="B376" s="301"/>
      <c r="C376" s="301"/>
      <c r="D376" s="302"/>
    </row>
    <row r="377" spans="1:4" ht="15.75" customHeight="1" x14ac:dyDescent="0.25">
      <c r="A377" s="5"/>
      <c r="B377" s="6"/>
      <c r="C377" s="7"/>
      <c r="D377" s="8"/>
    </row>
    <row r="378" spans="1:4" ht="15.75" customHeight="1" thickBot="1" x14ac:dyDescent="0.3">
      <c r="A378" s="9"/>
      <c r="B378" s="10"/>
      <c r="C378" s="10"/>
      <c r="D378" s="11"/>
    </row>
    <row r="379" spans="1:4" ht="15.75" customHeight="1" thickBot="1" x14ac:dyDescent="0.3">
      <c r="A379" s="15"/>
      <c r="B379" s="16"/>
      <c r="C379" s="21"/>
      <c r="D379" s="16"/>
    </row>
    <row r="380" spans="1:4" ht="15.75" customHeight="1" thickBot="1" x14ac:dyDescent="0.3">
      <c r="A380" s="12"/>
      <c r="B380" s="307"/>
      <c r="C380" s="306"/>
      <c r="D380" s="12"/>
    </row>
    <row r="381" spans="1:4" ht="15.75" customHeight="1" thickBot="1" x14ac:dyDescent="0.3">
      <c r="A381" s="38"/>
      <c r="B381" s="45"/>
      <c r="C381" s="45"/>
      <c r="D381" s="45"/>
    </row>
    <row r="382" spans="1:4" ht="15.75" customHeight="1" thickBot="1" x14ac:dyDescent="0.3">
      <c r="A382" s="19"/>
      <c r="B382" s="20"/>
      <c r="C382" s="50"/>
      <c r="D382" s="51"/>
    </row>
    <row r="383" spans="1:4" ht="15.75" customHeight="1" thickBot="1" x14ac:dyDescent="0.3">
      <c r="A383" s="19"/>
      <c r="B383" s="20"/>
      <c r="C383" s="52"/>
      <c r="D383" s="53"/>
    </row>
    <row r="384" spans="1:4" ht="15.75" customHeight="1" thickBot="1" x14ac:dyDescent="0.3">
      <c r="A384" s="19"/>
      <c r="B384" s="20"/>
      <c r="C384" s="13"/>
      <c r="D384" s="14"/>
    </row>
    <row r="385" spans="1:4" ht="15.75" customHeight="1" thickBot="1" x14ac:dyDescent="0.3">
      <c r="A385" s="2"/>
      <c r="B385" s="3"/>
      <c r="C385" s="2"/>
      <c r="D385" s="1"/>
    </row>
    <row r="386" spans="1:4" ht="15.75" customHeight="1" thickBot="1" x14ac:dyDescent="0.3">
      <c r="A386" s="4"/>
      <c r="B386" s="303"/>
      <c r="C386" s="304"/>
      <c r="D386" s="4"/>
    </row>
    <row r="387" spans="1:4" ht="15.75" customHeight="1" thickBot="1" x14ac:dyDescent="0.3">
      <c r="A387" s="4"/>
      <c r="B387" s="303"/>
      <c r="C387" s="304"/>
      <c r="D387" s="18"/>
    </row>
    <row r="388" spans="1:4" ht="15.75" customHeight="1" thickBot="1" x14ac:dyDescent="0.3">
      <c r="A388" s="4"/>
      <c r="B388" s="303"/>
      <c r="C388" s="304"/>
      <c r="D388" s="18"/>
    </row>
    <row r="389" spans="1:4" ht="15.75" customHeight="1" thickBot="1" x14ac:dyDescent="0.3">
      <c r="A389" s="4"/>
      <c r="B389" s="303"/>
      <c r="C389" s="304"/>
      <c r="D389" s="18"/>
    </row>
    <row r="390" spans="1:4" ht="15.75" customHeight="1" thickBot="1" x14ac:dyDescent="0.3">
      <c r="A390" s="4"/>
      <c r="B390" s="303"/>
      <c r="C390" s="304"/>
      <c r="D390" s="18"/>
    </row>
    <row r="391" spans="1:4" ht="15.75" customHeight="1" thickBot="1" x14ac:dyDescent="0.3">
      <c r="A391" s="4"/>
      <c r="B391" s="303"/>
      <c r="C391" s="304"/>
      <c r="D391" s="18"/>
    </row>
    <row r="392" spans="1:4" ht="15.75" customHeight="1" thickBot="1" x14ac:dyDescent="0.3">
      <c r="A392" s="4"/>
      <c r="B392" s="303"/>
      <c r="C392" s="304"/>
      <c r="D392" s="18"/>
    </row>
    <row r="393" spans="1:4" ht="15.75" customHeight="1" thickBot="1" x14ac:dyDescent="0.3">
      <c r="A393" s="4"/>
      <c r="B393" s="303"/>
      <c r="C393" s="304"/>
      <c r="D393" s="18"/>
    </row>
    <row r="394" spans="1:4" ht="15.75" customHeight="1" thickBot="1" x14ac:dyDescent="0.3">
      <c r="A394" s="4"/>
      <c r="B394" s="303"/>
      <c r="C394" s="304"/>
      <c r="D394" s="18"/>
    </row>
    <row r="395" spans="1:4" ht="15.75" customHeight="1" thickBot="1" x14ac:dyDescent="0.3">
      <c r="A395" s="2"/>
      <c r="B395" s="3"/>
      <c r="C395" s="2"/>
      <c r="D395" s="1"/>
    </row>
    <row r="396" spans="1:4" ht="15.75" customHeight="1" thickBot="1" x14ac:dyDescent="0.3">
      <c r="A396" s="300"/>
      <c r="B396" s="301"/>
      <c r="C396" s="301"/>
      <c r="D396" s="302"/>
    </row>
    <row r="397" spans="1:4" ht="15.75" customHeight="1" x14ac:dyDescent="0.25">
      <c r="A397" s="5"/>
      <c r="B397" s="6"/>
      <c r="C397" s="7"/>
      <c r="D397" s="8"/>
    </row>
    <row r="398" spans="1:4" ht="15.75" customHeight="1" thickBot="1" x14ac:dyDescent="0.3">
      <c r="A398" s="9"/>
      <c r="B398" s="10"/>
      <c r="C398" s="10"/>
      <c r="D398" s="11"/>
    </row>
    <row r="399" spans="1:4" ht="15.75" customHeight="1" thickBot="1" x14ac:dyDescent="0.3">
      <c r="A399" s="15"/>
      <c r="B399" s="16"/>
      <c r="C399" s="21"/>
      <c r="D399" s="16"/>
    </row>
    <row r="400" spans="1:4" ht="15.75" customHeight="1" thickBot="1" x14ac:dyDescent="0.3">
      <c r="A400" s="12"/>
      <c r="B400" s="305"/>
      <c r="C400" s="306"/>
      <c r="D400" s="54"/>
    </row>
    <row r="401" spans="1:4" ht="15.75" customHeight="1" thickBot="1" x14ac:dyDescent="0.3">
      <c r="A401" s="38"/>
      <c r="B401" s="45"/>
      <c r="C401" s="45"/>
      <c r="D401" s="45"/>
    </row>
    <row r="402" spans="1:4" ht="15.75" customHeight="1" thickBot="1" x14ac:dyDescent="0.3">
      <c r="A402" s="19"/>
      <c r="B402" s="20"/>
      <c r="C402" s="50"/>
      <c r="D402" s="51"/>
    </row>
    <row r="403" spans="1:4" ht="15.75" customHeight="1" thickBot="1" x14ac:dyDescent="0.3">
      <c r="A403" s="19"/>
      <c r="B403" s="20"/>
      <c r="C403" s="52"/>
      <c r="D403" s="53"/>
    </row>
    <row r="404" spans="1:4" ht="15.75" customHeight="1" thickBot="1" x14ac:dyDescent="0.3">
      <c r="A404" s="19"/>
      <c r="B404" s="20"/>
      <c r="C404" s="13"/>
      <c r="D404" s="14"/>
    </row>
    <row r="405" spans="1:4" ht="15.75" customHeight="1" thickBot="1" x14ac:dyDescent="0.3">
      <c r="A405" s="2"/>
      <c r="B405" s="3"/>
      <c r="C405" s="2"/>
      <c r="D405" s="1"/>
    </row>
    <row r="406" spans="1:4" ht="15.75" customHeight="1" thickBot="1" x14ac:dyDescent="0.3">
      <c r="A406" s="4"/>
      <c r="B406" s="303"/>
      <c r="C406" s="304"/>
      <c r="D406" s="4"/>
    </row>
    <row r="407" spans="1:4" ht="15.75" customHeight="1" thickBot="1" x14ac:dyDescent="0.3">
      <c r="A407" s="4"/>
      <c r="B407" s="303"/>
      <c r="C407" s="304"/>
      <c r="D407" s="18"/>
    </row>
    <row r="408" spans="1:4" ht="15.75" customHeight="1" thickBot="1" x14ac:dyDescent="0.3">
      <c r="A408" s="4"/>
      <c r="B408" s="303"/>
      <c r="C408" s="304"/>
      <c r="D408" s="18"/>
    </row>
    <row r="409" spans="1:4" ht="15.75" customHeight="1" thickBot="1" x14ac:dyDescent="0.3">
      <c r="A409" s="4"/>
      <c r="B409" s="303"/>
      <c r="C409" s="304"/>
      <c r="D409" s="18"/>
    </row>
    <row r="410" spans="1:4" ht="15.75" customHeight="1" thickBot="1" x14ac:dyDescent="0.3">
      <c r="A410" s="4"/>
      <c r="B410" s="303"/>
      <c r="C410" s="304"/>
      <c r="D410" s="18"/>
    </row>
    <row r="411" spans="1:4" ht="15.75" customHeight="1" thickBot="1" x14ac:dyDescent="0.3">
      <c r="A411" s="4"/>
      <c r="B411" s="303"/>
      <c r="C411" s="304"/>
      <c r="D411" s="18"/>
    </row>
    <row r="412" spans="1:4" ht="15.75" customHeight="1" thickBot="1" x14ac:dyDescent="0.3">
      <c r="A412" s="4"/>
      <c r="B412" s="303"/>
      <c r="C412" s="304"/>
      <c r="D412" s="18"/>
    </row>
    <row r="413" spans="1:4" ht="15.75" customHeight="1" thickBot="1" x14ac:dyDescent="0.3">
      <c r="A413" s="4"/>
      <c r="B413" s="303"/>
      <c r="C413" s="304"/>
      <c r="D413" s="18"/>
    </row>
    <row r="414" spans="1:4" ht="15.75" customHeight="1" thickBot="1" x14ac:dyDescent="0.3">
      <c r="A414" s="4"/>
      <c r="B414" s="303"/>
      <c r="C414" s="304"/>
      <c r="D414" s="18"/>
    </row>
    <row r="415" spans="1:4" ht="15.75" customHeight="1" thickBot="1" x14ac:dyDescent="0.3">
      <c r="A415" s="2"/>
      <c r="B415" s="3"/>
      <c r="C415" s="2"/>
      <c r="D415" s="1"/>
    </row>
    <row r="416" spans="1:4" ht="15.75" customHeight="1" thickBot="1" x14ac:dyDescent="0.3">
      <c r="A416" s="300"/>
      <c r="B416" s="301"/>
      <c r="C416" s="301"/>
      <c r="D416" s="302"/>
    </row>
    <row r="417" spans="1:4" ht="15.75" customHeight="1" x14ac:dyDescent="0.25">
      <c r="A417" s="5"/>
      <c r="B417" s="6"/>
      <c r="C417" s="7"/>
      <c r="D417" s="8"/>
    </row>
    <row r="418" spans="1:4" ht="15.75" customHeight="1" thickBot="1" x14ac:dyDescent="0.3">
      <c r="A418" s="9"/>
      <c r="B418" s="10"/>
      <c r="C418" s="10"/>
      <c r="D418" s="11"/>
    </row>
    <row r="419" spans="1:4" ht="15.75" customHeight="1" thickBot="1" x14ac:dyDescent="0.3">
      <c r="A419" s="15"/>
      <c r="B419" s="16"/>
      <c r="C419" s="21"/>
      <c r="D419" s="16"/>
    </row>
    <row r="420" spans="1:4" ht="15.75" customHeight="1" thickBot="1" x14ac:dyDescent="0.3">
      <c r="A420" s="12"/>
      <c r="B420" s="305"/>
      <c r="C420" s="306"/>
      <c r="D420" s="54"/>
    </row>
    <row r="421" spans="1:4" ht="15.75" customHeight="1" thickBot="1" x14ac:dyDescent="0.3">
      <c r="A421" s="38"/>
      <c r="B421" s="45"/>
      <c r="C421" s="45"/>
      <c r="D421" s="45"/>
    </row>
    <row r="422" spans="1:4" ht="15.75" customHeight="1" thickBot="1" x14ac:dyDescent="0.3">
      <c r="A422" s="19"/>
      <c r="B422" s="20"/>
      <c r="C422" s="50"/>
      <c r="D422" s="51"/>
    </row>
    <row r="423" spans="1:4" ht="15.75" customHeight="1" thickBot="1" x14ac:dyDescent="0.3">
      <c r="A423" s="19"/>
      <c r="B423" s="20"/>
      <c r="C423" s="52"/>
      <c r="D423" s="53"/>
    </row>
    <row r="424" spans="1:4" ht="15.75" customHeight="1" thickBot="1" x14ac:dyDescent="0.3">
      <c r="A424" s="19"/>
      <c r="B424" s="20"/>
      <c r="C424" s="13"/>
      <c r="D424" s="14"/>
    </row>
    <row r="425" spans="1:4" ht="15.75" customHeight="1" thickBot="1" x14ac:dyDescent="0.3">
      <c r="A425" s="2"/>
      <c r="B425" s="3"/>
      <c r="C425" s="2"/>
      <c r="D425" s="1"/>
    </row>
    <row r="426" spans="1:4" ht="15.75" customHeight="1" thickBot="1" x14ac:dyDescent="0.3">
      <c r="A426" s="4"/>
      <c r="B426" s="303"/>
      <c r="C426" s="304"/>
      <c r="D426" s="4"/>
    </row>
    <row r="427" spans="1:4" ht="15.75" customHeight="1" thickBot="1" x14ac:dyDescent="0.3">
      <c r="A427" s="4"/>
      <c r="B427" s="303"/>
      <c r="C427" s="304"/>
      <c r="D427" s="18"/>
    </row>
    <row r="428" spans="1:4" ht="15.75" customHeight="1" thickBot="1" x14ac:dyDescent="0.3">
      <c r="A428" s="4"/>
      <c r="B428" s="303"/>
      <c r="C428" s="304"/>
      <c r="D428" s="18"/>
    </row>
    <row r="429" spans="1:4" ht="15.75" customHeight="1" thickBot="1" x14ac:dyDescent="0.3">
      <c r="A429" s="4"/>
      <c r="B429" s="303"/>
      <c r="C429" s="304"/>
      <c r="D429" s="18"/>
    </row>
    <row r="430" spans="1:4" ht="15.75" customHeight="1" thickBot="1" x14ac:dyDescent="0.3">
      <c r="A430" s="4"/>
      <c r="B430" s="303"/>
      <c r="C430" s="304"/>
      <c r="D430" s="18"/>
    </row>
    <row r="431" spans="1:4" ht="15.75" customHeight="1" thickBot="1" x14ac:dyDescent="0.3">
      <c r="A431" s="4"/>
      <c r="B431" s="303"/>
      <c r="C431" s="304"/>
      <c r="D431" s="18"/>
    </row>
    <row r="432" spans="1:4" ht="15.75" customHeight="1" thickBot="1" x14ac:dyDescent="0.3">
      <c r="A432" s="4"/>
      <c r="B432" s="303"/>
      <c r="C432" s="304"/>
      <c r="D432" s="18"/>
    </row>
    <row r="433" spans="1:4" ht="15.75" customHeight="1" thickBot="1" x14ac:dyDescent="0.3">
      <c r="A433" s="4"/>
      <c r="B433" s="303"/>
      <c r="C433" s="304"/>
      <c r="D433" s="18"/>
    </row>
    <row r="434" spans="1:4" ht="15.75" customHeight="1" thickBot="1" x14ac:dyDescent="0.3">
      <c r="A434" s="4"/>
      <c r="B434" s="303"/>
      <c r="C434" s="304"/>
      <c r="D434" s="18"/>
    </row>
    <row r="435" spans="1:4" ht="15.75" customHeight="1" thickBot="1" x14ac:dyDescent="0.3">
      <c r="A435" s="2"/>
      <c r="B435" s="3"/>
      <c r="C435" s="2"/>
      <c r="D435" s="1"/>
    </row>
    <row r="436" spans="1:4" ht="15.75" customHeight="1" thickBot="1" x14ac:dyDescent="0.3">
      <c r="A436" s="300"/>
      <c r="B436" s="301"/>
      <c r="C436" s="301"/>
      <c r="D436" s="302"/>
    </row>
    <row r="437" spans="1:4" ht="15.75" customHeight="1" x14ac:dyDescent="0.25">
      <c r="A437" s="5"/>
      <c r="B437" s="6"/>
      <c r="C437" s="7"/>
      <c r="D437" s="8"/>
    </row>
    <row r="438" spans="1:4" ht="15.75" customHeight="1" thickBot="1" x14ac:dyDescent="0.3">
      <c r="A438" s="9"/>
      <c r="B438" s="10"/>
      <c r="C438" s="10"/>
      <c r="D438" s="11"/>
    </row>
    <row r="439" spans="1:4" ht="15.75" customHeight="1" thickBot="1" x14ac:dyDescent="0.3">
      <c r="A439" s="15"/>
      <c r="B439" s="16"/>
      <c r="C439" s="21"/>
      <c r="D439" s="16"/>
    </row>
    <row r="440" spans="1:4" ht="15.75" customHeight="1" thickBot="1" x14ac:dyDescent="0.3">
      <c r="A440" s="12"/>
      <c r="B440" s="305"/>
      <c r="C440" s="306"/>
      <c r="D440" s="54"/>
    </row>
    <row r="441" spans="1:4" ht="15.75" customHeight="1" thickBot="1" x14ac:dyDescent="0.3">
      <c r="A441" s="38"/>
      <c r="B441" s="45"/>
      <c r="C441" s="45"/>
      <c r="D441" s="45"/>
    </row>
    <row r="442" spans="1:4" ht="15.75" customHeight="1" thickBot="1" x14ac:dyDescent="0.3">
      <c r="A442" s="19"/>
      <c r="B442" s="20"/>
      <c r="C442" s="50"/>
      <c r="D442" s="51"/>
    </row>
    <row r="443" spans="1:4" ht="15.75" customHeight="1" thickBot="1" x14ac:dyDescent="0.3">
      <c r="A443" s="19"/>
      <c r="B443" s="20"/>
      <c r="C443" s="52"/>
      <c r="D443" s="53"/>
    </row>
    <row r="444" spans="1:4" ht="15.75" customHeight="1" thickBot="1" x14ac:dyDescent="0.3">
      <c r="A444" s="19"/>
      <c r="B444" s="20"/>
      <c r="C444" s="13"/>
      <c r="D444" s="14"/>
    </row>
    <row r="445" spans="1:4" ht="15.75" customHeight="1" thickBot="1" x14ac:dyDescent="0.3">
      <c r="A445" s="2"/>
      <c r="B445" s="3"/>
      <c r="C445" s="2"/>
      <c r="D445" s="1"/>
    </row>
    <row r="446" spans="1:4" ht="15.75" customHeight="1" thickBot="1" x14ac:dyDescent="0.3">
      <c r="A446" s="4"/>
      <c r="B446" s="303"/>
      <c r="C446" s="304"/>
      <c r="D446" s="4"/>
    </row>
    <row r="447" spans="1:4" ht="15.75" customHeight="1" thickBot="1" x14ac:dyDescent="0.3">
      <c r="A447" s="4"/>
      <c r="B447" s="303"/>
      <c r="C447" s="304"/>
      <c r="D447" s="18"/>
    </row>
    <row r="448" spans="1:4" ht="15.75" customHeight="1" thickBot="1" x14ac:dyDescent="0.3">
      <c r="A448" s="4"/>
      <c r="B448" s="303"/>
      <c r="C448" s="304"/>
      <c r="D448" s="18"/>
    </row>
    <row r="449" spans="1:4" ht="15.75" customHeight="1" thickBot="1" x14ac:dyDescent="0.3">
      <c r="A449" s="4"/>
      <c r="B449" s="303"/>
      <c r="C449" s="304"/>
      <c r="D449" s="18"/>
    </row>
    <row r="450" spans="1:4" ht="15.75" customHeight="1" thickBot="1" x14ac:dyDescent="0.3">
      <c r="A450" s="4"/>
      <c r="B450" s="303"/>
      <c r="C450" s="304"/>
      <c r="D450" s="18"/>
    </row>
    <row r="451" spans="1:4" ht="15.75" customHeight="1" thickBot="1" x14ac:dyDescent="0.3">
      <c r="A451" s="4"/>
      <c r="B451" s="303"/>
      <c r="C451" s="304"/>
      <c r="D451" s="18"/>
    </row>
    <row r="452" spans="1:4" ht="15.75" customHeight="1" thickBot="1" x14ac:dyDescent="0.3">
      <c r="A452" s="4"/>
      <c r="B452" s="303"/>
      <c r="C452" s="304"/>
      <c r="D452" s="18"/>
    </row>
    <row r="453" spans="1:4" ht="15.75" customHeight="1" thickBot="1" x14ac:dyDescent="0.3">
      <c r="A453" s="4"/>
      <c r="B453" s="303"/>
      <c r="C453" s="304"/>
      <c r="D453" s="18"/>
    </row>
    <row r="454" spans="1:4" ht="15.75" customHeight="1" thickBot="1" x14ac:dyDescent="0.3">
      <c r="A454" s="4"/>
      <c r="B454" s="303"/>
      <c r="C454" s="304"/>
      <c r="D454" s="18"/>
    </row>
    <row r="455" spans="1:4" ht="15.75" customHeight="1" thickBot="1" x14ac:dyDescent="0.3">
      <c r="A455" s="2"/>
      <c r="B455" s="3"/>
      <c r="C455" s="2"/>
      <c r="D455" s="1"/>
    </row>
    <row r="456" spans="1:4" ht="15.75" customHeight="1" thickBot="1" x14ac:dyDescent="0.3">
      <c r="A456" s="300"/>
      <c r="B456" s="301"/>
      <c r="C456" s="301"/>
      <c r="D456" s="302"/>
    </row>
    <row r="457" spans="1:4" ht="15.75" customHeight="1" x14ac:dyDescent="0.25">
      <c r="A457" s="5"/>
      <c r="B457" s="6"/>
      <c r="C457" s="7"/>
      <c r="D457" s="8"/>
    </row>
    <row r="458" spans="1:4" ht="15.75" customHeight="1" thickBot="1" x14ac:dyDescent="0.3">
      <c r="A458" s="9"/>
      <c r="B458" s="10"/>
      <c r="C458" s="10"/>
      <c r="D458" s="11"/>
    </row>
    <row r="459" spans="1:4" ht="15.75" customHeight="1" thickBot="1" x14ac:dyDescent="0.3">
      <c r="A459" s="15"/>
      <c r="B459" s="16"/>
      <c r="C459" s="21"/>
      <c r="D459" s="16"/>
    </row>
    <row r="460" spans="1:4" ht="15.75" customHeight="1" thickBot="1" x14ac:dyDescent="0.3">
      <c r="A460" s="12"/>
      <c r="B460" s="305"/>
      <c r="C460" s="306"/>
      <c r="D460" s="54"/>
    </row>
    <row r="461" spans="1:4" ht="15.75" customHeight="1" thickBot="1" x14ac:dyDescent="0.3">
      <c r="A461" s="38"/>
      <c r="B461" s="45"/>
      <c r="C461" s="45"/>
      <c r="D461" s="45"/>
    </row>
    <row r="462" spans="1:4" ht="15.75" customHeight="1" thickBot="1" x14ac:dyDescent="0.3">
      <c r="A462" s="19"/>
      <c r="B462" s="20"/>
      <c r="C462" s="50"/>
      <c r="D462" s="51"/>
    </row>
    <row r="463" spans="1:4" ht="15.75" customHeight="1" thickBot="1" x14ac:dyDescent="0.3">
      <c r="A463" s="19"/>
      <c r="B463" s="20"/>
      <c r="C463" s="52"/>
      <c r="D463" s="53"/>
    </row>
    <row r="464" spans="1:4" ht="15.75" customHeight="1" thickBot="1" x14ac:dyDescent="0.3">
      <c r="A464" s="19"/>
      <c r="B464" s="20"/>
      <c r="C464" s="13"/>
      <c r="D464" s="14"/>
    </row>
    <row r="465" spans="1:4" ht="15.75" customHeight="1" thickBot="1" x14ac:dyDescent="0.3">
      <c r="A465" s="2"/>
      <c r="B465" s="3"/>
      <c r="C465" s="2"/>
      <c r="D465" s="1"/>
    </row>
    <row r="466" spans="1:4" ht="15.75" customHeight="1" thickBot="1" x14ac:dyDescent="0.3">
      <c r="A466" s="4"/>
      <c r="B466" s="303"/>
      <c r="C466" s="304"/>
      <c r="D466" s="4"/>
    </row>
    <row r="467" spans="1:4" ht="15.75" customHeight="1" thickBot="1" x14ac:dyDescent="0.3">
      <c r="A467" s="4"/>
      <c r="B467" s="303"/>
      <c r="C467" s="304"/>
      <c r="D467" s="18"/>
    </row>
    <row r="468" spans="1:4" ht="15.75" customHeight="1" thickBot="1" x14ac:dyDescent="0.3">
      <c r="A468" s="4"/>
      <c r="B468" s="303"/>
      <c r="C468" s="304"/>
      <c r="D468" s="18"/>
    </row>
    <row r="469" spans="1:4" ht="15.75" customHeight="1" thickBot="1" x14ac:dyDescent="0.3">
      <c r="A469" s="4"/>
      <c r="B469" s="303"/>
      <c r="C469" s="304"/>
      <c r="D469" s="18"/>
    </row>
    <row r="470" spans="1:4" ht="15.75" customHeight="1" thickBot="1" x14ac:dyDescent="0.3">
      <c r="A470" s="4"/>
      <c r="B470" s="303"/>
      <c r="C470" s="304"/>
      <c r="D470" s="18"/>
    </row>
    <row r="471" spans="1:4" ht="15.75" customHeight="1" thickBot="1" x14ac:dyDescent="0.3">
      <c r="A471" s="4"/>
      <c r="B471" s="303"/>
      <c r="C471" s="304"/>
      <c r="D471" s="18"/>
    </row>
    <row r="472" spans="1:4" ht="15.75" customHeight="1" thickBot="1" x14ac:dyDescent="0.3">
      <c r="A472" s="4"/>
      <c r="B472" s="303"/>
      <c r="C472" s="304"/>
      <c r="D472" s="18"/>
    </row>
    <row r="473" spans="1:4" ht="15.75" customHeight="1" thickBot="1" x14ac:dyDescent="0.3">
      <c r="A473" s="4"/>
      <c r="B473" s="303"/>
      <c r="C473" s="304"/>
      <c r="D473" s="18"/>
    </row>
    <row r="474" spans="1:4" ht="15.75" customHeight="1" thickBot="1" x14ac:dyDescent="0.3">
      <c r="A474" s="4"/>
      <c r="B474" s="303"/>
      <c r="C474" s="304"/>
      <c r="D474" s="18"/>
    </row>
    <row r="475" spans="1:4" ht="15.75" customHeight="1" thickBot="1" x14ac:dyDescent="0.3">
      <c r="A475" s="2"/>
      <c r="B475" s="3"/>
      <c r="C475" s="2"/>
      <c r="D475" s="1"/>
    </row>
    <row r="476" spans="1:4" ht="15.75" customHeight="1" thickBot="1" x14ac:dyDescent="0.3">
      <c r="A476" s="300"/>
      <c r="B476" s="301"/>
      <c r="C476" s="301"/>
      <c r="D476" s="302"/>
    </row>
    <row r="477" spans="1:4" ht="15.75" customHeight="1" x14ac:dyDescent="0.25">
      <c r="A477" s="5"/>
      <c r="B477" s="6"/>
      <c r="C477" s="7"/>
      <c r="D477" s="8"/>
    </row>
    <row r="478" spans="1:4" ht="15.75" customHeight="1" thickBot="1" x14ac:dyDescent="0.3">
      <c r="A478" s="9"/>
      <c r="B478" s="10"/>
      <c r="C478" s="10"/>
      <c r="D478" s="11"/>
    </row>
    <row r="479" spans="1:4" ht="15.75" customHeight="1" thickBot="1" x14ac:dyDescent="0.3">
      <c r="A479" s="15"/>
      <c r="B479" s="16"/>
      <c r="C479" s="21"/>
      <c r="D479" s="16"/>
    </row>
    <row r="480" spans="1:4" ht="15.75" customHeight="1" thickBot="1" x14ac:dyDescent="0.3">
      <c r="A480" s="12"/>
      <c r="B480" s="305"/>
      <c r="C480" s="306"/>
      <c r="D480" s="54"/>
    </row>
    <row r="481" spans="1:4" ht="15.75" customHeight="1" thickBot="1" x14ac:dyDescent="0.3">
      <c r="A481" s="38"/>
      <c r="B481" s="45"/>
      <c r="C481" s="45"/>
      <c r="D481" s="45"/>
    </row>
    <row r="482" spans="1:4" ht="15.75" customHeight="1" thickBot="1" x14ac:dyDescent="0.3">
      <c r="A482" s="19"/>
      <c r="B482" s="20"/>
      <c r="C482" s="50"/>
      <c r="D482" s="51"/>
    </row>
    <row r="483" spans="1:4" ht="15.75" customHeight="1" thickBot="1" x14ac:dyDescent="0.3">
      <c r="A483" s="19"/>
      <c r="B483" s="20"/>
      <c r="C483" s="52"/>
      <c r="D483" s="53"/>
    </row>
    <row r="484" spans="1:4" ht="15.75" customHeight="1" thickBot="1" x14ac:dyDescent="0.3">
      <c r="A484" s="19"/>
      <c r="B484" s="20"/>
      <c r="C484" s="13"/>
      <c r="D484" s="14"/>
    </row>
    <row r="485" spans="1:4" ht="15.75" customHeight="1" thickBot="1" x14ac:dyDescent="0.3">
      <c r="A485" s="2"/>
      <c r="B485" s="3"/>
      <c r="C485" s="2"/>
      <c r="D485" s="1"/>
    </row>
    <row r="486" spans="1:4" ht="15.75" customHeight="1" thickBot="1" x14ac:dyDescent="0.3">
      <c r="A486" s="4"/>
      <c r="B486" s="303"/>
      <c r="C486" s="304"/>
      <c r="D486" s="4"/>
    </row>
    <row r="487" spans="1:4" ht="15.75" customHeight="1" thickBot="1" x14ac:dyDescent="0.3">
      <c r="A487" s="4"/>
      <c r="B487" s="303"/>
      <c r="C487" s="304"/>
      <c r="D487" s="18"/>
    </row>
    <row r="488" spans="1:4" ht="15.75" customHeight="1" thickBot="1" x14ac:dyDescent="0.3">
      <c r="A488" s="4"/>
      <c r="B488" s="303"/>
      <c r="C488" s="304"/>
      <c r="D488" s="18"/>
    </row>
    <row r="489" spans="1:4" ht="15.75" customHeight="1" thickBot="1" x14ac:dyDescent="0.3">
      <c r="A489" s="4"/>
      <c r="B489" s="303"/>
      <c r="C489" s="304"/>
      <c r="D489" s="18"/>
    </row>
    <row r="490" spans="1:4" ht="15.75" customHeight="1" thickBot="1" x14ac:dyDescent="0.3">
      <c r="A490" s="4"/>
      <c r="B490" s="303"/>
      <c r="C490" s="304"/>
      <c r="D490" s="18"/>
    </row>
    <row r="491" spans="1:4" ht="15.75" customHeight="1" thickBot="1" x14ac:dyDescent="0.3">
      <c r="A491" s="4"/>
      <c r="B491" s="303"/>
      <c r="C491" s="304"/>
      <c r="D491" s="18"/>
    </row>
    <row r="492" spans="1:4" ht="15.75" customHeight="1" thickBot="1" x14ac:dyDescent="0.3">
      <c r="A492" s="4"/>
      <c r="B492" s="303"/>
      <c r="C492" s="304"/>
      <c r="D492" s="18"/>
    </row>
    <row r="493" spans="1:4" ht="15.75" customHeight="1" thickBot="1" x14ac:dyDescent="0.3">
      <c r="A493" s="4"/>
      <c r="B493" s="303"/>
      <c r="C493" s="304"/>
      <c r="D493" s="18"/>
    </row>
    <row r="494" spans="1:4" ht="15.75" customHeight="1" thickBot="1" x14ac:dyDescent="0.3">
      <c r="A494" s="4"/>
      <c r="B494" s="303"/>
      <c r="C494" s="304"/>
      <c r="D494" s="18"/>
    </row>
    <row r="495" spans="1:4" ht="15.75" customHeight="1" thickBot="1" x14ac:dyDescent="0.3">
      <c r="A495" s="2"/>
      <c r="B495" s="3"/>
      <c r="C495" s="2"/>
      <c r="D495" s="1"/>
    </row>
    <row r="496" spans="1:4" ht="15.75" customHeight="1" thickBot="1" x14ac:dyDescent="0.3">
      <c r="A496" s="300"/>
      <c r="B496" s="301"/>
      <c r="C496" s="301"/>
      <c r="D496" s="302"/>
    </row>
    <row r="497" spans="1:4" ht="15.75" customHeight="1" x14ac:dyDescent="0.25">
      <c r="A497" s="5"/>
      <c r="B497" s="6"/>
      <c r="C497" s="7"/>
      <c r="D497" s="8"/>
    </row>
    <row r="498" spans="1:4" ht="15.75" customHeight="1" thickBot="1" x14ac:dyDescent="0.3">
      <c r="A498" s="9"/>
      <c r="B498" s="10"/>
      <c r="C498" s="10"/>
      <c r="D498" s="11"/>
    </row>
    <row r="499" spans="1:4" ht="15.75" customHeight="1" thickBot="1" x14ac:dyDescent="0.3">
      <c r="A499" s="15"/>
      <c r="B499" s="16"/>
      <c r="C499" s="21"/>
      <c r="D499" s="16"/>
    </row>
    <row r="500" spans="1:4" ht="15.75" customHeight="1" thickBot="1" x14ac:dyDescent="0.3">
      <c r="A500" s="12"/>
      <c r="B500" s="305"/>
      <c r="C500" s="306"/>
      <c r="D500" s="54"/>
    </row>
    <row r="501" spans="1:4" ht="15.75" customHeight="1" thickBot="1" x14ac:dyDescent="0.3">
      <c r="A501" s="38"/>
      <c r="B501" s="45"/>
      <c r="C501" s="45"/>
      <c r="D501" s="45"/>
    </row>
    <row r="502" spans="1:4" ht="15.75" customHeight="1" thickBot="1" x14ac:dyDescent="0.3">
      <c r="A502" s="19"/>
      <c r="B502" s="20"/>
      <c r="C502" s="50"/>
      <c r="D502" s="51"/>
    </row>
    <row r="503" spans="1:4" ht="15.75" customHeight="1" thickBot="1" x14ac:dyDescent="0.3">
      <c r="A503" s="19"/>
      <c r="B503" s="20"/>
      <c r="C503" s="52"/>
      <c r="D503" s="53"/>
    </row>
    <row r="504" spans="1:4" ht="15.75" customHeight="1" thickBot="1" x14ac:dyDescent="0.3">
      <c r="A504" s="19"/>
      <c r="B504" s="20"/>
      <c r="C504" s="13"/>
      <c r="D504" s="14"/>
    </row>
    <row r="505" spans="1:4" ht="15.75" customHeight="1" thickBot="1" x14ac:dyDescent="0.3">
      <c r="A505" s="2"/>
      <c r="B505" s="3"/>
      <c r="C505" s="2"/>
      <c r="D505" s="1"/>
    </row>
    <row r="506" spans="1:4" ht="15.75" customHeight="1" thickBot="1" x14ac:dyDescent="0.3">
      <c r="A506" s="4"/>
      <c r="B506" s="303"/>
      <c r="C506" s="304"/>
      <c r="D506" s="4"/>
    </row>
    <row r="507" spans="1:4" ht="15.75" customHeight="1" thickBot="1" x14ac:dyDescent="0.3">
      <c r="A507" s="4"/>
      <c r="B507" s="303"/>
      <c r="C507" s="304"/>
      <c r="D507" s="18"/>
    </row>
    <row r="508" spans="1:4" ht="15.75" customHeight="1" thickBot="1" x14ac:dyDescent="0.3">
      <c r="A508" s="4"/>
      <c r="B508" s="303"/>
      <c r="C508" s="304"/>
      <c r="D508" s="18"/>
    </row>
    <row r="509" spans="1:4" ht="15.75" customHeight="1" thickBot="1" x14ac:dyDescent="0.3">
      <c r="A509" s="4"/>
      <c r="B509" s="303"/>
      <c r="C509" s="304"/>
      <c r="D509" s="18"/>
    </row>
    <row r="510" spans="1:4" ht="15.75" customHeight="1" thickBot="1" x14ac:dyDescent="0.3">
      <c r="A510" s="4"/>
      <c r="B510" s="303"/>
      <c r="C510" s="304"/>
      <c r="D510" s="18"/>
    </row>
    <row r="511" spans="1:4" ht="15.75" customHeight="1" thickBot="1" x14ac:dyDescent="0.3">
      <c r="A511" s="4"/>
      <c r="B511" s="303"/>
      <c r="C511" s="304"/>
      <c r="D511" s="18"/>
    </row>
    <row r="512" spans="1:4" ht="15.75" customHeight="1" thickBot="1" x14ac:dyDescent="0.3">
      <c r="A512" s="4"/>
      <c r="B512" s="303"/>
      <c r="C512" s="304"/>
      <c r="D512" s="18"/>
    </row>
    <row r="513" spans="1:4" ht="15.75" customHeight="1" thickBot="1" x14ac:dyDescent="0.3">
      <c r="A513" s="4"/>
      <c r="B513" s="303"/>
      <c r="C513" s="304"/>
      <c r="D513" s="18"/>
    </row>
    <row r="514" spans="1:4" ht="15.75" customHeight="1" thickBot="1" x14ac:dyDescent="0.3">
      <c r="A514" s="4"/>
      <c r="B514" s="303"/>
      <c r="C514" s="304"/>
      <c r="D514" s="18"/>
    </row>
    <row r="515" spans="1:4" ht="15.75" customHeight="1" thickBot="1" x14ac:dyDescent="0.3">
      <c r="A515" s="2"/>
      <c r="B515" s="3"/>
      <c r="C515" s="2"/>
      <c r="D515" s="1"/>
    </row>
    <row r="516" spans="1:4" ht="15.75" customHeight="1" thickBot="1" x14ac:dyDescent="0.3">
      <c r="A516" s="300"/>
      <c r="B516" s="301"/>
      <c r="C516" s="301"/>
      <c r="D516" s="302"/>
    </row>
    <row r="517" spans="1:4" ht="15.75" customHeight="1" x14ac:dyDescent="0.25">
      <c r="A517" s="5"/>
      <c r="B517" s="6"/>
      <c r="C517" s="7"/>
      <c r="D517" s="8"/>
    </row>
    <row r="518" spans="1:4" ht="15.75" customHeight="1" thickBot="1" x14ac:dyDescent="0.3">
      <c r="A518" s="9"/>
      <c r="B518" s="10"/>
      <c r="C518" s="10"/>
      <c r="D518" s="11"/>
    </row>
    <row r="519" spans="1:4" ht="15.75" customHeight="1" thickBot="1" x14ac:dyDescent="0.3">
      <c r="A519" s="15"/>
      <c r="B519" s="16"/>
      <c r="C519" s="21"/>
      <c r="D519" s="16"/>
    </row>
    <row r="520" spans="1:4" ht="15.75" customHeight="1" thickBot="1" x14ac:dyDescent="0.3">
      <c r="A520" s="12"/>
      <c r="B520" s="305"/>
      <c r="C520" s="306"/>
      <c r="D520" s="54"/>
    </row>
    <row r="521" spans="1:4" ht="15.75" customHeight="1" thickBot="1" x14ac:dyDescent="0.3">
      <c r="A521" s="38"/>
      <c r="B521" s="45"/>
      <c r="C521" s="45"/>
      <c r="D521" s="45"/>
    </row>
    <row r="522" spans="1:4" ht="15.75" customHeight="1" thickBot="1" x14ac:dyDescent="0.3">
      <c r="A522" s="19"/>
      <c r="B522" s="20"/>
      <c r="C522" s="50"/>
      <c r="D522" s="51"/>
    </row>
    <row r="523" spans="1:4" ht="15.75" customHeight="1" thickBot="1" x14ac:dyDescent="0.3">
      <c r="A523" s="19"/>
      <c r="B523" s="20"/>
      <c r="C523" s="52"/>
      <c r="D523" s="53"/>
    </row>
    <row r="524" spans="1:4" ht="15.75" customHeight="1" thickBot="1" x14ac:dyDescent="0.3">
      <c r="A524" s="19"/>
      <c r="B524" s="20"/>
      <c r="C524" s="13"/>
      <c r="D524" s="14"/>
    </row>
    <row r="525" spans="1:4" ht="15.75" customHeight="1" thickBot="1" x14ac:dyDescent="0.3">
      <c r="A525" s="2"/>
      <c r="B525" s="3"/>
      <c r="C525" s="2"/>
      <c r="D525" s="1"/>
    </row>
    <row r="526" spans="1:4" ht="15.75" customHeight="1" thickBot="1" x14ac:dyDescent="0.3">
      <c r="A526" s="4"/>
      <c r="B526" s="303"/>
      <c r="C526" s="304"/>
      <c r="D526" s="4"/>
    </row>
    <row r="527" spans="1:4" ht="15.75" customHeight="1" thickBot="1" x14ac:dyDescent="0.3">
      <c r="A527" s="4"/>
      <c r="B527" s="303"/>
      <c r="C527" s="304"/>
      <c r="D527" s="18"/>
    </row>
    <row r="528" spans="1:4" ht="15.75" customHeight="1" thickBot="1" x14ac:dyDescent="0.3">
      <c r="A528" s="4"/>
      <c r="B528" s="303"/>
      <c r="C528" s="304"/>
      <c r="D528" s="18"/>
    </row>
    <row r="529" spans="1:4" ht="15.75" customHeight="1" thickBot="1" x14ac:dyDescent="0.3">
      <c r="A529" s="4"/>
      <c r="B529" s="303"/>
      <c r="C529" s="304"/>
      <c r="D529" s="18"/>
    </row>
    <row r="530" spans="1:4" ht="15.75" customHeight="1" thickBot="1" x14ac:dyDescent="0.3">
      <c r="A530" s="4"/>
      <c r="B530" s="303"/>
      <c r="C530" s="304"/>
      <c r="D530" s="18"/>
    </row>
    <row r="531" spans="1:4" ht="15.75" customHeight="1" thickBot="1" x14ac:dyDescent="0.3">
      <c r="A531" s="4"/>
      <c r="B531" s="303"/>
      <c r="C531" s="304"/>
      <c r="D531" s="18"/>
    </row>
    <row r="532" spans="1:4" ht="15.75" customHeight="1" thickBot="1" x14ac:dyDescent="0.3">
      <c r="A532" s="4"/>
      <c r="B532" s="303"/>
      <c r="C532" s="304"/>
      <c r="D532" s="18"/>
    </row>
    <row r="533" spans="1:4" ht="15.75" customHeight="1" thickBot="1" x14ac:dyDescent="0.3">
      <c r="A533" s="4"/>
      <c r="B533" s="303"/>
      <c r="C533" s="304"/>
      <c r="D533" s="18"/>
    </row>
    <row r="534" spans="1:4" ht="15.75" customHeight="1" thickBot="1" x14ac:dyDescent="0.3">
      <c r="A534" s="4"/>
      <c r="B534" s="303"/>
      <c r="C534" s="304"/>
      <c r="D534" s="18"/>
    </row>
    <row r="535" spans="1:4" ht="15.75" customHeight="1" thickBot="1" x14ac:dyDescent="0.3">
      <c r="A535" s="2"/>
      <c r="B535" s="3"/>
      <c r="C535" s="2"/>
      <c r="D535" s="1"/>
    </row>
    <row r="536" spans="1:4" ht="15.75" customHeight="1" thickBot="1" x14ac:dyDescent="0.3">
      <c r="A536" s="300"/>
      <c r="B536" s="301"/>
      <c r="C536" s="301"/>
      <c r="D536" s="302"/>
    </row>
    <row r="537" spans="1:4" ht="15.75" customHeight="1" x14ac:dyDescent="0.25">
      <c r="A537" s="5"/>
      <c r="B537" s="6"/>
      <c r="C537" s="7"/>
      <c r="D537" s="8"/>
    </row>
    <row r="538" spans="1:4" ht="15.75" customHeight="1" thickBot="1" x14ac:dyDescent="0.3">
      <c r="A538" s="9"/>
      <c r="B538" s="10"/>
      <c r="C538" s="10"/>
      <c r="D538" s="11"/>
    </row>
    <row r="539" spans="1:4" ht="15.75" customHeight="1" thickBot="1" x14ac:dyDescent="0.3">
      <c r="A539" s="15"/>
      <c r="B539" s="16"/>
      <c r="C539" s="21"/>
      <c r="D539" s="16"/>
    </row>
    <row r="540" spans="1:4" ht="15.75" customHeight="1" thickBot="1" x14ac:dyDescent="0.3">
      <c r="A540" s="12"/>
      <c r="B540" s="305"/>
      <c r="C540" s="306"/>
      <c r="D540" s="54"/>
    </row>
    <row r="541" spans="1:4" ht="15.75" customHeight="1" thickBot="1" x14ac:dyDescent="0.3">
      <c r="A541" s="38"/>
      <c r="B541" s="45"/>
      <c r="C541" s="45"/>
      <c r="D541" s="45"/>
    </row>
    <row r="542" spans="1:4" ht="15.75" customHeight="1" thickBot="1" x14ac:dyDescent="0.3">
      <c r="A542" s="19"/>
      <c r="B542" s="20"/>
      <c r="C542" s="50"/>
      <c r="D542" s="51"/>
    </row>
    <row r="543" spans="1:4" ht="15.75" customHeight="1" thickBot="1" x14ac:dyDescent="0.3">
      <c r="A543" s="19"/>
      <c r="B543" s="20"/>
      <c r="C543" s="52"/>
      <c r="D543" s="53"/>
    </row>
    <row r="544" spans="1:4" ht="15.75" customHeight="1" thickBot="1" x14ac:dyDescent="0.3">
      <c r="A544" s="19"/>
      <c r="B544" s="20"/>
      <c r="C544" s="13"/>
      <c r="D544" s="14"/>
    </row>
    <row r="545" spans="1:4" ht="15.75" customHeight="1" thickBot="1" x14ac:dyDescent="0.3">
      <c r="A545" s="2"/>
      <c r="B545" s="3"/>
      <c r="C545" s="2"/>
      <c r="D545" s="1"/>
    </row>
    <row r="546" spans="1:4" ht="15.75" customHeight="1" thickBot="1" x14ac:dyDescent="0.3">
      <c r="A546" s="4"/>
      <c r="B546" s="303"/>
      <c r="C546" s="304"/>
      <c r="D546" s="4"/>
    </row>
    <row r="547" spans="1:4" ht="15.75" customHeight="1" thickBot="1" x14ac:dyDescent="0.3">
      <c r="A547" s="4"/>
      <c r="B547" s="303"/>
      <c r="C547" s="304"/>
      <c r="D547" s="18"/>
    </row>
    <row r="548" spans="1:4" ht="15.75" customHeight="1" thickBot="1" x14ac:dyDescent="0.3">
      <c r="A548" s="4"/>
      <c r="B548" s="303"/>
      <c r="C548" s="304"/>
      <c r="D548" s="18"/>
    </row>
    <row r="549" spans="1:4" ht="15.75" customHeight="1" thickBot="1" x14ac:dyDescent="0.3">
      <c r="A549" s="4"/>
      <c r="B549" s="303"/>
      <c r="C549" s="304"/>
      <c r="D549" s="18"/>
    </row>
    <row r="550" spans="1:4" ht="15.75" customHeight="1" thickBot="1" x14ac:dyDescent="0.3">
      <c r="A550" s="4"/>
      <c r="B550" s="303"/>
      <c r="C550" s="304"/>
      <c r="D550" s="18"/>
    </row>
    <row r="551" spans="1:4" ht="15.75" customHeight="1" thickBot="1" x14ac:dyDescent="0.3">
      <c r="A551" s="4"/>
      <c r="B551" s="303"/>
      <c r="C551" s="304"/>
      <c r="D551" s="18"/>
    </row>
    <row r="552" spans="1:4" ht="15.75" customHeight="1" thickBot="1" x14ac:dyDescent="0.3">
      <c r="A552" s="4"/>
      <c r="B552" s="303"/>
      <c r="C552" s="304"/>
      <c r="D552" s="18"/>
    </row>
    <row r="553" spans="1:4" ht="15.75" customHeight="1" thickBot="1" x14ac:dyDescent="0.3">
      <c r="A553" s="4"/>
      <c r="B553" s="303"/>
      <c r="C553" s="304"/>
      <c r="D553" s="18"/>
    </row>
    <row r="554" spans="1:4" ht="15.75" customHeight="1" thickBot="1" x14ac:dyDescent="0.3">
      <c r="A554" s="4"/>
      <c r="B554" s="303"/>
      <c r="C554" s="304"/>
      <c r="D554" s="18"/>
    </row>
    <row r="555" spans="1:4" ht="15.75" customHeight="1" thickBot="1" x14ac:dyDescent="0.3">
      <c r="A555" s="2"/>
      <c r="B555" s="3"/>
      <c r="C555" s="2"/>
      <c r="D555" s="1"/>
    </row>
    <row r="556" spans="1:4" ht="15.75" customHeight="1" thickBot="1" x14ac:dyDescent="0.3">
      <c r="A556" s="300"/>
      <c r="B556" s="301"/>
      <c r="C556" s="301"/>
      <c r="D556" s="302"/>
    </row>
    <row r="557" spans="1:4" ht="15.75" customHeight="1" x14ac:dyDescent="0.25">
      <c r="A557" s="5"/>
      <c r="B557" s="6"/>
      <c r="C557" s="7"/>
      <c r="D557" s="8"/>
    </row>
    <row r="558" spans="1:4" ht="15.75" customHeight="1" thickBot="1" x14ac:dyDescent="0.3">
      <c r="A558" s="9"/>
      <c r="B558" s="10"/>
      <c r="C558" s="10"/>
      <c r="D558" s="11"/>
    </row>
    <row r="559" spans="1:4" ht="15.75" customHeight="1" thickBot="1" x14ac:dyDescent="0.3">
      <c r="A559" s="15"/>
      <c r="B559" s="16"/>
      <c r="C559" s="21"/>
      <c r="D559" s="16"/>
    </row>
    <row r="560" spans="1:4" ht="15.75" customHeight="1" thickBot="1" x14ac:dyDescent="0.3">
      <c r="A560" s="12"/>
      <c r="B560" s="305"/>
      <c r="C560" s="306"/>
      <c r="D560" s="54"/>
    </row>
    <row r="561" spans="1:4" ht="15.75" customHeight="1" thickBot="1" x14ac:dyDescent="0.3">
      <c r="A561" s="38"/>
      <c r="B561" s="45"/>
      <c r="C561" s="45"/>
      <c r="D561" s="45"/>
    </row>
    <row r="562" spans="1:4" ht="15.75" customHeight="1" thickBot="1" x14ac:dyDescent="0.3">
      <c r="A562" s="19"/>
      <c r="B562" s="20"/>
      <c r="C562" s="50"/>
      <c r="D562" s="51"/>
    </row>
    <row r="563" spans="1:4" ht="15.75" customHeight="1" thickBot="1" x14ac:dyDescent="0.3">
      <c r="A563" s="19"/>
      <c r="B563" s="20"/>
      <c r="C563" s="52"/>
      <c r="D563" s="53"/>
    </row>
    <row r="564" spans="1:4" ht="15.75" customHeight="1" thickBot="1" x14ac:dyDescent="0.3">
      <c r="A564" s="19"/>
      <c r="B564" s="20"/>
      <c r="C564" s="13"/>
      <c r="D564" s="14"/>
    </row>
    <row r="565" spans="1:4" ht="15.75" customHeight="1" thickBot="1" x14ac:dyDescent="0.3">
      <c r="A565" s="2"/>
      <c r="B565" s="3"/>
      <c r="C565" s="2"/>
      <c r="D565" s="1"/>
    </row>
    <row r="566" spans="1:4" ht="15.75" customHeight="1" thickBot="1" x14ac:dyDescent="0.3">
      <c r="A566" s="4"/>
      <c r="B566" s="303"/>
      <c r="C566" s="304"/>
      <c r="D566" s="4"/>
    </row>
    <row r="567" spans="1:4" ht="15.75" customHeight="1" thickBot="1" x14ac:dyDescent="0.3">
      <c r="A567" s="4"/>
      <c r="B567" s="303"/>
      <c r="C567" s="304"/>
      <c r="D567" s="18"/>
    </row>
    <row r="568" spans="1:4" ht="15.75" customHeight="1" thickBot="1" x14ac:dyDescent="0.3">
      <c r="A568" s="4"/>
      <c r="B568" s="303"/>
      <c r="C568" s="304"/>
      <c r="D568" s="18"/>
    </row>
    <row r="569" spans="1:4" ht="15.75" customHeight="1" thickBot="1" x14ac:dyDescent="0.3">
      <c r="A569" s="4"/>
      <c r="B569" s="303"/>
      <c r="C569" s="304"/>
      <c r="D569" s="18"/>
    </row>
    <row r="570" spans="1:4" ht="15.75" customHeight="1" thickBot="1" x14ac:dyDescent="0.3">
      <c r="A570" s="4"/>
      <c r="B570" s="303"/>
      <c r="C570" s="304"/>
      <c r="D570" s="18"/>
    </row>
    <row r="571" spans="1:4" ht="15.75" customHeight="1" thickBot="1" x14ac:dyDescent="0.3">
      <c r="A571" s="4"/>
      <c r="B571" s="303"/>
      <c r="C571" s="304"/>
      <c r="D571" s="18"/>
    </row>
    <row r="572" spans="1:4" ht="15.75" customHeight="1" thickBot="1" x14ac:dyDescent="0.3">
      <c r="A572" s="4"/>
      <c r="B572" s="303"/>
      <c r="C572" s="304"/>
      <c r="D572" s="18"/>
    </row>
    <row r="573" spans="1:4" ht="15.75" customHeight="1" thickBot="1" x14ac:dyDescent="0.3">
      <c r="A573" s="4"/>
      <c r="B573" s="303"/>
      <c r="C573" s="304"/>
      <c r="D573" s="18"/>
    </row>
    <row r="574" spans="1:4" ht="15.75" customHeight="1" thickBot="1" x14ac:dyDescent="0.3">
      <c r="A574" s="4"/>
      <c r="B574" s="303"/>
      <c r="C574" s="304"/>
      <c r="D574" s="18"/>
    </row>
    <row r="575" spans="1:4" ht="15.75" customHeight="1" thickBot="1" x14ac:dyDescent="0.3">
      <c r="A575" s="2"/>
      <c r="B575" s="3"/>
      <c r="C575" s="2"/>
      <c r="D575" s="1"/>
    </row>
    <row r="576" spans="1:4" ht="15.75" customHeight="1" thickBot="1" x14ac:dyDescent="0.3">
      <c r="A576" s="300"/>
      <c r="B576" s="301"/>
      <c r="C576" s="301"/>
      <c r="D576" s="302"/>
    </row>
    <row r="577" spans="1:4" ht="15.75" customHeight="1" x14ac:dyDescent="0.25">
      <c r="A577" s="5"/>
      <c r="B577" s="6"/>
      <c r="C577" s="7"/>
      <c r="D577" s="8"/>
    </row>
    <row r="578" spans="1:4" ht="15.75" customHeight="1" thickBot="1" x14ac:dyDescent="0.3">
      <c r="A578" s="9"/>
      <c r="B578" s="10"/>
      <c r="C578" s="10"/>
      <c r="D578" s="11"/>
    </row>
    <row r="579" spans="1:4" ht="15.75" customHeight="1" thickBot="1" x14ac:dyDescent="0.3">
      <c r="A579" s="15"/>
      <c r="B579" s="16"/>
      <c r="C579" s="21"/>
      <c r="D579" s="16"/>
    </row>
    <row r="580" spans="1:4" ht="15.75" customHeight="1" thickBot="1" x14ac:dyDescent="0.3">
      <c r="A580" s="12"/>
      <c r="B580" s="305"/>
      <c r="C580" s="306"/>
      <c r="D580" s="54"/>
    </row>
    <row r="581" spans="1:4" ht="15.75" customHeight="1" thickBot="1" x14ac:dyDescent="0.3">
      <c r="A581" s="38"/>
      <c r="B581" s="45"/>
      <c r="C581" s="45"/>
      <c r="D581" s="45"/>
    </row>
    <row r="582" spans="1:4" ht="15.75" customHeight="1" thickBot="1" x14ac:dyDescent="0.3">
      <c r="A582" s="19"/>
      <c r="B582" s="20"/>
      <c r="C582" s="50"/>
      <c r="D582" s="51"/>
    </row>
    <row r="583" spans="1:4" ht="15.75" customHeight="1" thickBot="1" x14ac:dyDescent="0.3">
      <c r="A583" s="19"/>
      <c r="B583" s="20"/>
      <c r="C583" s="52"/>
      <c r="D583" s="53"/>
    </row>
    <row r="584" spans="1:4" ht="15.75" customHeight="1" thickBot="1" x14ac:dyDescent="0.3">
      <c r="A584" s="19"/>
      <c r="B584" s="20"/>
      <c r="C584" s="13"/>
      <c r="D584" s="14"/>
    </row>
    <row r="585" spans="1:4" ht="15.75" customHeight="1" thickBot="1" x14ac:dyDescent="0.3">
      <c r="A585" s="2"/>
      <c r="B585" s="3"/>
      <c r="C585" s="2"/>
      <c r="D585" s="1"/>
    </row>
    <row r="586" spans="1:4" ht="15.75" customHeight="1" thickBot="1" x14ac:dyDescent="0.3">
      <c r="A586" s="4"/>
      <c r="B586" s="303"/>
      <c r="C586" s="304"/>
      <c r="D586" s="4"/>
    </row>
    <row r="587" spans="1:4" ht="15.75" customHeight="1" thickBot="1" x14ac:dyDescent="0.3">
      <c r="A587" s="4"/>
      <c r="B587" s="303"/>
      <c r="C587" s="304"/>
      <c r="D587" s="18"/>
    </row>
    <row r="588" spans="1:4" ht="15.75" customHeight="1" thickBot="1" x14ac:dyDescent="0.3">
      <c r="A588" s="4"/>
      <c r="B588" s="303"/>
      <c r="C588" s="304"/>
      <c r="D588" s="18"/>
    </row>
    <row r="589" spans="1:4" ht="15.75" customHeight="1" thickBot="1" x14ac:dyDescent="0.3">
      <c r="A589" s="4"/>
      <c r="B589" s="303"/>
      <c r="C589" s="304"/>
      <c r="D589" s="18"/>
    </row>
    <row r="590" spans="1:4" ht="15.75" customHeight="1" thickBot="1" x14ac:dyDescent="0.3">
      <c r="A590" s="4"/>
      <c r="B590" s="303"/>
      <c r="C590" s="304"/>
      <c r="D590" s="18"/>
    </row>
    <row r="591" spans="1:4" ht="15.75" customHeight="1" thickBot="1" x14ac:dyDescent="0.3">
      <c r="A591" s="4"/>
      <c r="B591" s="303"/>
      <c r="C591" s="304"/>
      <c r="D591" s="18"/>
    </row>
    <row r="592" spans="1:4" ht="15.75" customHeight="1" thickBot="1" x14ac:dyDescent="0.3">
      <c r="A592" s="4"/>
      <c r="B592" s="303"/>
      <c r="C592" s="304"/>
      <c r="D592" s="18"/>
    </row>
    <row r="593" spans="1:4" ht="15.75" customHeight="1" thickBot="1" x14ac:dyDescent="0.3">
      <c r="A593" s="4"/>
      <c r="B593" s="303"/>
      <c r="C593" s="304"/>
      <c r="D593" s="18"/>
    </row>
    <row r="594" spans="1:4" ht="15.75" customHeight="1" thickBot="1" x14ac:dyDescent="0.3">
      <c r="A594" s="4"/>
      <c r="B594" s="303"/>
      <c r="C594" s="304"/>
      <c r="D594" s="18"/>
    </row>
    <row r="595" spans="1:4" ht="15.75" customHeight="1" thickBot="1" x14ac:dyDescent="0.3">
      <c r="A595" s="2"/>
      <c r="B595" s="3"/>
      <c r="C595" s="2"/>
      <c r="D595" s="1"/>
    </row>
    <row r="596" spans="1:4" ht="15.75" customHeight="1" thickBot="1" x14ac:dyDescent="0.3">
      <c r="A596" s="300"/>
      <c r="B596" s="301"/>
      <c r="C596" s="301"/>
      <c r="D596" s="302"/>
    </row>
    <row r="597" spans="1:4" ht="15.75" customHeight="1" x14ac:dyDescent="0.25">
      <c r="A597" s="5"/>
      <c r="B597" s="6"/>
      <c r="C597" s="7"/>
      <c r="D597" s="8"/>
    </row>
    <row r="598" spans="1:4" ht="15.75" customHeight="1" thickBot="1" x14ac:dyDescent="0.3">
      <c r="A598" s="9"/>
      <c r="B598" s="10"/>
      <c r="C598" s="10"/>
      <c r="D598" s="11"/>
    </row>
    <row r="599" spans="1:4" ht="15.75" customHeight="1" thickBot="1" x14ac:dyDescent="0.3">
      <c r="A599" s="15"/>
      <c r="B599" s="16"/>
      <c r="C599" s="21"/>
      <c r="D599" s="16"/>
    </row>
    <row r="600" spans="1:4" ht="15.75" customHeight="1" thickBot="1" x14ac:dyDescent="0.3">
      <c r="A600" s="12"/>
      <c r="B600" s="305"/>
      <c r="C600" s="306"/>
      <c r="D600" s="54"/>
    </row>
    <row r="601" spans="1:4" ht="15.75" customHeight="1" thickBot="1" x14ac:dyDescent="0.3">
      <c r="A601" s="38"/>
      <c r="B601" s="45"/>
      <c r="C601" s="45"/>
      <c r="D601" s="45"/>
    </row>
    <row r="602" spans="1:4" ht="15.75" customHeight="1" thickBot="1" x14ac:dyDescent="0.3">
      <c r="A602" s="19"/>
      <c r="B602" s="20"/>
      <c r="C602" s="50"/>
      <c r="D602" s="51"/>
    </row>
    <row r="603" spans="1:4" ht="15.75" customHeight="1" thickBot="1" x14ac:dyDescent="0.3">
      <c r="A603" s="19"/>
      <c r="B603" s="20"/>
      <c r="C603" s="52"/>
      <c r="D603" s="53"/>
    </row>
    <row r="604" spans="1:4" ht="15.75" customHeight="1" thickBot="1" x14ac:dyDescent="0.3">
      <c r="A604" s="19"/>
      <c r="B604" s="20"/>
      <c r="C604" s="13"/>
      <c r="D604" s="14"/>
    </row>
    <row r="605" spans="1:4" ht="15.75" customHeight="1" thickBot="1" x14ac:dyDescent="0.3">
      <c r="A605" s="2"/>
      <c r="B605" s="3"/>
      <c r="C605" s="2"/>
      <c r="D605" s="1"/>
    </row>
    <row r="606" spans="1:4" ht="15.75" customHeight="1" thickBot="1" x14ac:dyDescent="0.3">
      <c r="A606" s="4"/>
      <c r="B606" s="303"/>
      <c r="C606" s="304"/>
      <c r="D606" s="4"/>
    </row>
    <row r="607" spans="1:4" ht="15.75" customHeight="1" thickBot="1" x14ac:dyDescent="0.3">
      <c r="A607" s="4"/>
      <c r="B607" s="303"/>
      <c r="C607" s="304"/>
      <c r="D607" s="18"/>
    </row>
    <row r="608" spans="1:4" ht="15.75" customHeight="1" thickBot="1" x14ac:dyDescent="0.3">
      <c r="A608" s="4"/>
      <c r="B608" s="303"/>
      <c r="C608" s="304"/>
      <c r="D608" s="18"/>
    </row>
    <row r="609" spans="1:4" ht="15.75" customHeight="1" thickBot="1" x14ac:dyDescent="0.3">
      <c r="A609" s="4"/>
      <c r="B609" s="303"/>
      <c r="C609" s="304"/>
      <c r="D609" s="18"/>
    </row>
    <row r="610" spans="1:4" ht="15.75" customHeight="1" thickBot="1" x14ac:dyDescent="0.3">
      <c r="A610" s="4"/>
      <c r="B610" s="303"/>
      <c r="C610" s="304"/>
      <c r="D610" s="18"/>
    </row>
    <row r="611" spans="1:4" ht="15.75" customHeight="1" thickBot="1" x14ac:dyDescent="0.3">
      <c r="A611" s="4"/>
      <c r="B611" s="303"/>
      <c r="C611" s="304"/>
      <c r="D611" s="18"/>
    </row>
    <row r="612" spans="1:4" ht="15.75" customHeight="1" thickBot="1" x14ac:dyDescent="0.3">
      <c r="A612" s="4"/>
      <c r="B612" s="303"/>
      <c r="C612" s="304"/>
      <c r="D612" s="18"/>
    </row>
    <row r="613" spans="1:4" ht="15.75" customHeight="1" thickBot="1" x14ac:dyDescent="0.3">
      <c r="A613" s="4"/>
      <c r="B613" s="303"/>
      <c r="C613" s="304"/>
      <c r="D613" s="18"/>
    </row>
    <row r="614" spans="1:4" ht="15.75" customHeight="1" thickBot="1" x14ac:dyDescent="0.3">
      <c r="A614" s="4"/>
      <c r="B614" s="303"/>
      <c r="C614" s="304"/>
      <c r="D614" s="18"/>
    </row>
    <row r="615" spans="1:4" ht="15.75" customHeight="1" thickBot="1" x14ac:dyDescent="0.3">
      <c r="A615" s="2"/>
      <c r="B615" s="3"/>
      <c r="C615" s="2"/>
      <c r="D615" s="1"/>
    </row>
    <row r="616" spans="1:4" ht="15.75" customHeight="1" thickBot="1" x14ac:dyDescent="0.3">
      <c r="A616" s="300"/>
      <c r="B616" s="301"/>
      <c r="C616" s="301"/>
      <c r="D616" s="302"/>
    </row>
    <row r="617" spans="1:4" ht="15.75" customHeight="1" x14ac:dyDescent="0.25">
      <c r="A617" s="5"/>
      <c r="B617" s="6"/>
      <c r="C617" s="7"/>
      <c r="D617" s="8"/>
    </row>
    <row r="618" spans="1:4" ht="15.75" customHeight="1" thickBot="1" x14ac:dyDescent="0.3">
      <c r="A618" s="9"/>
      <c r="B618" s="10"/>
      <c r="C618" s="10"/>
      <c r="D618" s="11"/>
    </row>
    <row r="619" spans="1:4" ht="15.75" customHeight="1" thickBot="1" x14ac:dyDescent="0.3">
      <c r="A619" s="15"/>
      <c r="B619" s="16"/>
      <c r="C619" s="21"/>
      <c r="D619" s="16"/>
    </row>
    <row r="620" spans="1:4" ht="15.75" customHeight="1" thickBot="1" x14ac:dyDescent="0.3">
      <c r="A620" s="12"/>
      <c r="B620" s="305"/>
      <c r="C620" s="306"/>
      <c r="D620" s="54"/>
    </row>
    <row r="621" spans="1:4" ht="15.75" customHeight="1" thickBot="1" x14ac:dyDescent="0.3">
      <c r="A621" s="38"/>
      <c r="B621" s="45"/>
      <c r="C621" s="45"/>
      <c r="D621" s="45"/>
    </row>
    <row r="622" spans="1:4" ht="15.75" customHeight="1" thickBot="1" x14ac:dyDescent="0.3">
      <c r="A622" s="19"/>
      <c r="B622" s="20"/>
      <c r="C622" s="50"/>
      <c r="D622" s="51"/>
    </row>
    <row r="623" spans="1:4" ht="15.75" customHeight="1" thickBot="1" x14ac:dyDescent="0.3">
      <c r="A623" s="19"/>
      <c r="B623" s="20"/>
      <c r="C623" s="52"/>
      <c r="D623" s="53"/>
    </row>
    <row r="624" spans="1:4" ht="15.75" customHeight="1" thickBot="1" x14ac:dyDescent="0.3">
      <c r="A624" s="19"/>
      <c r="B624" s="20"/>
      <c r="C624" s="13"/>
      <c r="D624" s="14"/>
    </row>
    <row r="625" spans="1:4" ht="15.75" customHeight="1" thickBot="1" x14ac:dyDescent="0.3">
      <c r="A625" s="2"/>
      <c r="B625" s="3"/>
      <c r="C625" s="2"/>
      <c r="D625" s="1"/>
    </row>
    <row r="626" spans="1:4" ht="15.75" customHeight="1" thickBot="1" x14ac:dyDescent="0.3">
      <c r="A626" s="4"/>
      <c r="B626" s="303"/>
      <c r="C626" s="304"/>
      <c r="D626" s="4"/>
    </row>
    <row r="627" spans="1:4" ht="15.75" customHeight="1" thickBot="1" x14ac:dyDescent="0.3">
      <c r="A627" s="4"/>
      <c r="B627" s="303"/>
      <c r="C627" s="304"/>
      <c r="D627" s="18"/>
    </row>
    <row r="628" spans="1:4" ht="15.75" customHeight="1" thickBot="1" x14ac:dyDescent="0.3">
      <c r="A628" s="4"/>
      <c r="B628" s="303"/>
      <c r="C628" s="304"/>
      <c r="D628" s="18"/>
    </row>
    <row r="629" spans="1:4" ht="15.75" customHeight="1" thickBot="1" x14ac:dyDescent="0.3">
      <c r="A629" s="4"/>
      <c r="B629" s="303"/>
      <c r="C629" s="304"/>
      <c r="D629" s="18"/>
    </row>
    <row r="630" spans="1:4" ht="15.75" customHeight="1" thickBot="1" x14ac:dyDescent="0.3">
      <c r="A630" s="4"/>
      <c r="B630" s="303"/>
      <c r="C630" s="304"/>
      <c r="D630" s="18"/>
    </row>
    <row r="631" spans="1:4" ht="15.75" customHeight="1" thickBot="1" x14ac:dyDescent="0.3">
      <c r="A631" s="4"/>
      <c r="B631" s="303"/>
      <c r="C631" s="304"/>
      <c r="D631" s="18"/>
    </row>
    <row r="632" spans="1:4" ht="15.75" customHeight="1" thickBot="1" x14ac:dyDescent="0.3">
      <c r="A632" s="4"/>
      <c r="B632" s="303"/>
      <c r="C632" s="304"/>
      <c r="D632" s="18"/>
    </row>
    <row r="633" spans="1:4" ht="15.75" customHeight="1" thickBot="1" x14ac:dyDescent="0.3">
      <c r="A633" s="4"/>
      <c r="B633" s="303"/>
      <c r="C633" s="304"/>
      <c r="D633" s="18"/>
    </row>
    <row r="634" spans="1:4" ht="15.75" customHeight="1" thickBot="1" x14ac:dyDescent="0.3">
      <c r="A634" s="4"/>
      <c r="B634" s="303"/>
      <c r="C634" s="304"/>
      <c r="D634" s="18"/>
    </row>
    <row r="635" spans="1:4" ht="15.75" customHeight="1" thickBot="1" x14ac:dyDescent="0.3">
      <c r="A635" s="2"/>
      <c r="B635" s="3"/>
      <c r="C635" s="2"/>
      <c r="D635" s="1"/>
    </row>
    <row r="636" spans="1:4" ht="15.75" customHeight="1" thickBot="1" x14ac:dyDescent="0.3">
      <c r="A636" s="300"/>
      <c r="B636" s="301"/>
      <c r="C636" s="301"/>
      <c r="D636" s="302"/>
    </row>
    <row r="637" spans="1:4" ht="15.75" customHeight="1" x14ac:dyDescent="0.25">
      <c r="A637" s="5"/>
      <c r="B637" s="6"/>
      <c r="C637" s="7"/>
      <c r="D637" s="8"/>
    </row>
    <row r="638" spans="1:4" ht="15.75" customHeight="1" thickBot="1" x14ac:dyDescent="0.3">
      <c r="A638" s="9"/>
      <c r="B638" s="10"/>
      <c r="C638" s="10"/>
      <c r="D638" s="11"/>
    </row>
    <row r="639" spans="1:4" ht="15.75" customHeight="1" thickBot="1" x14ac:dyDescent="0.3">
      <c r="A639" s="15"/>
      <c r="B639" s="16"/>
      <c r="C639" s="21"/>
      <c r="D639" s="16"/>
    </row>
    <row r="640" spans="1:4" ht="15.75" customHeight="1" thickBot="1" x14ac:dyDescent="0.3">
      <c r="A640" s="12"/>
      <c r="B640" s="305"/>
      <c r="C640" s="306"/>
      <c r="D640" s="54"/>
    </row>
    <row r="641" spans="1:4" ht="15.75" customHeight="1" thickBot="1" x14ac:dyDescent="0.3">
      <c r="A641" s="38"/>
      <c r="B641" s="45"/>
      <c r="C641" s="45"/>
      <c r="D641" s="45"/>
    </row>
    <row r="642" spans="1:4" ht="15.75" customHeight="1" thickBot="1" x14ac:dyDescent="0.3">
      <c r="A642" s="19"/>
      <c r="B642" s="20"/>
      <c r="C642" s="50"/>
      <c r="D642" s="51"/>
    </row>
    <row r="643" spans="1:4" ht="15.75" customHeight="1" thickBot="1" x14ac:dyDescent="0.3">
      <c r="A643" s="19"/>
      <c r="B643" s="20"/>
      <c r="C643" s="52"/>
      <c r="D643" s="53"/>
    </row>
    <row r="644" spans="1:4" ht="15.75" customHeight="1" thickBot="1" x14ac:dyDescent="0.3">
      <c r="A644" s="19"/>
      <c r="B644" s="20"/>
      <c r="C644" s="13"/>
      <c r="D644" s="14"/>
    </row>
    <row r="645" spans="1:4" ht="15.75" customHeight="1" thickBot="1" x14ac:dyDescent="0.3">
      <c r="A645" s="2"/>
      <c r="B645" s="3"/>
      <c r="C645" s="2"/>
      <c r="D645" s="1"/>
    </row>
    <row r="646" spans="1:4" ht="15.75" customHeight="1" thickBot="1" x14ac:dyDescent="0.3">
      <c r="A646" s="4"/>
      <c r="B646" s="303"/>
      <c r="C646" s="304"/>
      <c r="D646" s="4"/>
    </row>
    <row r="647" spans="1:4" ht="15.75" customHeight="1" thickBot="1" x14ac:dyDescent="0.3">
      <c r="A647" s="4"/>
      <c r="B647" s="303"/>
      <c r="C647" s="304"/>
      <c r="D647" s="18"/>
    </row>
    <row r="648" spans="1:4" ht="15.75" customHeight="1" thickBot="1" x14ac:dyDescent="0.3">
      <c r="A648" s="4"/>
      <c r="B648" s="303"/>
      <c r="C648" s="304"/>
      <c r="D648" s="18"/>
    </row>
    <row r="649" spans="1:4" ht="15.75" customHeight="1" thickBot="1" x14ac:dyDescent="0.3">
      <c r="A649" s="4"/>
      <c r="B649" s="303"/>
      <c r="C649" s="304"/>
      <c r="D649" s="18"/>
    </row>
    <row r="650" spans="1:4" ht="15.75" customHeight="1" thickBot="1" x14ac:dyDescent="0.3">
      <c r="A650" s="4"/>
      <c r="B650" s="303"/>
      <c r="C650" s="304"/>
      <c r="D650" s="18"/>
    </row>
    <row r="651" spans="1:4" ht="15.75" customHeight="1" thickBot="1" x14ac:dyDescent="0.3">
      <c r="A651" s="4"/>
      <c r="B651" s="303"/>
      <c r="C651" s="304"/>
      <c r="D651" s="18"/>
    </row>
    <row r="652" spans="1:4" ht="15.75" customHeight="1" thickBot="1" x14ac:dyDescent="0.3">
      <c r="A652" s="4"/>
      <c r="B652" s="303"/>
      <c r="C652" s="304"/>
      <c r="D652" s="18"/>
    </row>
    <row r="653" spans="1:4" ht="15.75" customHeight="1" thickBot="1" x14ac:dyDescent="0.3">
      <c r="A653" s="4"/>
      <c r="B653" s="303"/>
      <c r="C653" s="304"/>
      <c r="D653" s="18"/>
    </row>
    <row r="654" spans="1:4" ht="15.75" customHeight="1" thickBot="1" x14ac:dyDescent="0.3">
      <c r="A654" s="4"/>
      <c r="B654" s="303"/>
      <c r="C654" s="304"/>
      <c r="D654" s="18"/>
    </row>
    <row r="655" spans="1:4" ht="15.75" customHeight="1" thickBot="1" x14ac:dyDescent="0.3">
      <c r="A655" s="2"/>
      <c r="B655" s="3"/>
      <c r="C655" s="2"/>
      <c r="D655" s="1"/>
    </row>
    <row r="656" spans="1:4" ht="15.75" customHeight="1" thickBot="1" x14ac:dyDescent="0.3">
      <c r="A656" s="300"/>
      <c r="B656" s="301"/>
      <c r="C656" s="301"/>
      <c r="D656" s="302"/>
    </row>
    <row r="657" spans="1:4" ht="15.75" customHeight="1" x14ac:dyDescent="0.25">
      <c r="A657" s="5"/>
      <c r="B657" s="6"/>
      <c r="C657" s="7"/>
      <c r="D657" s="8"/>
    </row>
    <row r="658" spans="1:4" ht="15.75" customHeight="1" thickBot="1" x14ac:dyDescent="0.3">
      <c r="A658" s="9"/>
      <c r="B658" s="10"/>
      <c r="C658" s="10"/>
      <c r="D658" s="11"/>
    </row>
    <row r="659" spans="1:4" ht="15.75" customHeight="1" thickBot="1" x14ac:dyDescent="0.3">
      <c r="A659" s="15"/>
      <c r="B659" s="16"/>
      <c r="C659" s="21"/>
      <c r="D659" s="16"/>
    </row>
    <row r="660" spans="1:4" ht="15.75" customHeight="1" thickBot="1" x14ac:dyDescent="0.3">
      <c r="A660" s="12"/>
      <c r="B660" s="305"/>
      <c r="C660" s="306"/>
      <c r="D660" s="54"/>
    </row>
    <row r="661" spans="1:4" ht="15.75" customHeight="1" thickBot="1" x14ac:dyDescent="0.3">
      <c r="A661" s="38"/>
      <c r="B661" s="45"/>
      <c r="C661" s="45"/>
      <c r="D661" s="45"/>
    </row>
    <row r="662" spans="1:4" ht="15.75" customHeight="1" thickBot="1" x14ac:dyDescent="0.3">
      <c r="A662" s="19"/>
      <c r="B662" s="20"/>
      <c r="C662" s="50"/>
      <c r="D662" s="51"/>
    </row>
    <row r="663" spans="1:4" ht="15.75" customHeight="1" thickBot="1" x14ac:dyDescent="0.3">
      <c r="A663" s="19"/>
      <c r="B663" s="20"/>
      <c r="C663" s="52"/>
      <c r="D663" s="53"/>
    </row>
    <row r="664" spans="1:4" ht="15.75" customHeight="1" thickBot="1" x14ac:dyDescent="0.3">
      <c r="A664" s="19"/>
      <c r="B664" s="20"/>
      <c r="C664" s="13"/>
      <c r="D664" s="14"/>
    </row>
    <row r="665" spans="1:4" ht="15.75" customHeight="1" thickBot="1" x14ac:dyDescent="0.3">
      <c r="A665" s="2"/>
      <c r="B665" s="3"/>
      <c r="C665" s="2"/>
      <c r="D665" s="1"/>
    </row>
    <row r="666" spans="1:4" ht="15.75" customHeight="1" thickBot="1" x14ac:dyDescent="0.3">
      <c r="A666" s="4"/>
      <c r="B666" s="303"/>
      <c r="C666" s="304"/>
      <c r="D666" s="4"/>
    </row>
    <row r="667" spans="1:4" ht="15.75" customHeight="1" thickBot="1" x14ac:dyDescent="0.3">
      <c r="A667" s="4"/>
      <c r="B667" s="303"/>
      <c r="C667" s="304"/>
      <c r="D667" s="18"/>
    </row>
    <row r="668" spans="1:4" ht="15.75" customHeight="1" thickBot="1" x14ac:dyDescent="0.3">
      <c r="A668" s="4"/>
      <c r="B668" s="303"/>
      <c r="C668" s="304"/>
      <c r="D668" s="18"/>
    </row>
    <row r="669" spans="1:4" ht="15.75" customHeight="1" thickBot="1" x14ac:dyDescent="0.3">
      <c r="A669" s="4"/>
      <c r="B669" s="303"/>
      <c r="C669" s="304"/>
      <c r="D669" s="18"/>
    </row>
    <row r="670" spans="1:4" ht="15.75" customHeight="1" thickBot="1" x14ac:dyDescent="0.3">
      <c r="A670" s="4"/>
      <c r="B670" s="303"/>
      <c r="C670" s="304"/>
      <c r="D670" s="18"/>
    </row>
    <row r="671" spans="1:4" ht="15.75" customHeight="1" thickBot="1" x14ac:dyDescent="0.3">
      <c r="A671" s="4"/>
      <c r="B671" s="303"/>
      <c r="C671" s="304"/>
      <c r="D671" s="18"/>
    </row>
    <row r="672" spans="1:4" ht="15.75" customHeight="1" thickBot="1" x14ac:dyDescent="0.3">
      <c r="A672" s="4"/>
      <c r="B672" s="303"/>
      <c r="C672" s="304"/>
      <c r="D672" s="18"/>
    </row>
    <row r="673" spans="1:4" ht="15.75" customHeight="1" thickBot="1" x14ac:dyDescent="0.3">
      <c r="A673" s="4"/>
      <c r="B673" s="303"/>
      <c r="C673" s="304"/>
      <c r="D673" s="18"/>
    </row>
    <row r="674" spans="1:4" ht="15.75" customHeight="1" thickBot="1" x14ac:dyDescent="0.3">
      <c r="A674" s="4"/>
      <c r="B674" s="303"/>
      <c r="C674" s="304"/>
      <c r="D674" s="18"/>
    </row>
    <row r="675" spans="1:4" ht="15.75" customHeight="1" thickBot="1" x14ac:dyDescent="0.3">
      <c r="A675" s="2"/>
      <c r="B675" s="3"/>
      <c r="C675" s="2"/>
      <c r="D675" s="1"/>
    </row>
    <row r="676" spans="1:4" ht="15.75" customHeight="1" thickBot="1" x14ac:dyDescent="0.3">
      <c r="A676" s="300"/>
      <c r="B676" s="301"/>
      <c r="C676" s="301"/>
      <c r="D676" s="302"/>
    </row>
    <row r="677" spans="1:4" ht="15.75" customHeight="1" x14ac:dyDescent="0.25">
      <c r="A677" s="5"/>
      <c r="B677" s="6"/>
      <c r="C677" s="7"/>
      <c r="D677" s="8"/>
    </row>
    <row r="678" spans="1:4" ht="15.75" customHeight="1" thickBot="1" x14ac:dyDescent="0.3">
      <c r="A678" s="9"/>
      <c r="B678" s="10"/>
      <c r="C678" s="10"/>
      <c r="D678" s="11"/>
    </row>
    <row r="679" spans="1:4" ht="15.75" customHeight="1" thickBot="1" x14ac:dyDescent="0.3">
      <c r="A679" s="15"/>
      <c r="B679" s="16"/>
      <c r="C679" s="21"/>
      <c r="D679" s="16"/>
    </row>
    <row r="680" spans="1:4" ht="15.75" customHeight="1" thickBot="1" x14ac:dyDescent="0.3">
      <c r="A680" s="12"/>
      <c r="B680" s="305"/>
      <c r="C680" s="306"/>
      <c r="D680" s="54"/>
    </row>
    <row r="681" spans="1:4" ht="15.75" customHeight="1" thickBot="1" x14ac:dyDescent="0.3">
      <c r="A681" s="38"/>
      <c r="B681" s="45"/>
      <c r="C681" s="45"/>
      <c r="D681" s="45"/>
    </row>
    <row r="682" spans="1:4" ht="15.75" customHeight="1" thickBot="1" x14ac:dyDescent="0.3">
      <c r="A682" s="19"/>
      <c r="B682" s="20"/>
      <c r="C682" s="50"/>
      <c r="D682" s="51"/>
    </row>
    <row r="683" spans="1:4" ht="15.75" customHeight="1" thickBot="1" x14ac:dyDescent="0.3">
      <c r="A683" s="19"/>
      <c r="B683" s="20"/>
      <c r="C683" s="52"/>
      <c r="D683" s="53"/>
    </row>
    <row r="684" spans="1:4" ht="15.75" customHeight="1" thickBot="1" x14ac:dyDescent="0.3">
      <c r="A684" s="19"/>
      <c r="B684" s="20"/>
      <c r="C684" s="13"/>
      <c r="D684" s="14"/>
    </row>
    <row r="685" spans="1:4" ht="15.75" customHeight="1" thickBot="1" x14ac:dyDescent="0.3">
      <c r="A685" s="2"/>
      <c r="B685" s="3"/>
      <c r="C685" s="2"/>
      <c r="D685" s="1"/>
    </row>
    <row r="686" spans="1:4" ht="15.75" customHeight="1" thickBot="1" x14ac:dyDescent="0.3">
      <c r="A686" s="4"/>
      <c r="B686" s="303"/>
      <c r="C686" s="304"/>
      <c r="D686" s="4"/>
    </row>
    <row r="687" spans="1:4" ht="15.75" customHeight="1" thickBot="1" x14ac:dyDescent="0.3">
      <c r="A687" s="4"/>
      <c r="B687" s="303"/>
      <c r="C687" s="304"/>
      <c r="D687" s="18"/>
    </row>
    <row r="688" spans="1:4" ht="15.75" customHeight="1" thickBot="1" x14ac:dyDescent="0.3">
      <c r="A688" s="4"/>
      <c r="B688" s="303"/>
      <c r="C688" s="304"/>
      <c r="D688" s="18"/>
    </row>
    <row r="689" spans="1:4" ht="15.75" customHeight="1" thickBot="1" x14ac:dyDescent="0.3">
      <c r="A689" s="4"/>
      <c r="B689" s="303"/>
      <c r="C689" s="304"/>
      <c r="D689" s="18"/>
    </row>
    <row r="690" spans="1:4" ht="15.75" customHeight="1" thickBot="1" x14ac:dyDescent="0.3">
      <c r="A690" s="4"/>
      <c r="B690" s="303"/>
      <c r="C690" s="304"/>
      <c r="D690" s="18"/>
    </row>
    <row r="691" spans="1:4" ht="15.75" customHeight="1" thickBot="1" x14ac:dyDescent="0.3">
      <c r="A691" s="4"/>
      <c r="B691" s="303"/>
      <c r="C691" s="304"/>
      <c r="D691" s="18"/>
    </row>
    <row r="692" spans="1:4" ht="15.75" customHeight="1" thickBot="1" x14ac:dyDescent="0.3">
      <c r="A692" s="4"/>
      <c r="B692" s="303"/>
      <c r="C692" s="304"/>
      <c r="D692" s="18"/>
    </row>
    <row r="693" spans="1:4" ht="15.75" customHeight="1" thickBot="1" x14ac:dyDescent="0.3">
      <c r="A693" s="4"/>
      <c r="B693" s="303"/>
      <c r="C693" s="304"/>
      <c r="D693" s="18"/>
    </row>
    <row r="694" spans="1:4" ht="15.75" customHeight="1" thickBot="1" x14ac:dyDescent="0.3">
      <c r="A694" s="4"/>
      <c r="B694" s="303"/>
      <c r="C694" s="304"/>
      <c r="D694" s="18"/>
    </row>
    <row r="695" spans="1:4" ht="15.75" customHeight="1" thickBot="1" x14ac:dyDescent="0.3">
      <c r="A695" s="2"/>
      <c r="B695" s="3"/>
      <c r="C695" s="2"/>
      <c r="D695" s="1"/>
    </row>
    <row r="696" spans="1:4" ht="15.75" customHeight="1" thickBot="1" x14ac:dyDescent="0.3">
      <c r="A696" s="300"/>
      <c r="B696" s="301"/>
      <c r="C696" s="301"/>
      <c r="D696" s="302"/>
    </row>
    <row r="697" spans="1:4" ht="15.75" customHeight="1" x14ac:dyDescent="0.25">
      <c r="A697" s="5"/>
      <c r="B697" s="6"/>
      <c r="C697" s="7"/>
      <c r="D697" s="8"/>
    </row>
    <row r="698" spans="1:4" ht="15.75" customHeight="1" thickBot="1" x14ac:dyDescent="0.3">
      <c r="A698" s="9"/>
      <c r="B698" s="10"/>
      <c r="C698" s="10"/>
      <c r="D698" s="11"/>
    </row>
    <row r="699" spans="1:4" ht="15.75" customHeight="1" thickBot="1" x14ac:dyDescent="0.3">
      <c r="A699" s="15"/>
      <c r="B699" s="16"/>
      <c r="C699" s="21"/>
      <c r="D699" s="16"/>
    </row>
    <row r="700" spans="1:4" ht="15.75" customHeight="1" thickBot="1" x14ac:dyDescent="0.3">
      <c r="A700" s="12"/>
      <c r="B700" s="305"/>
      <c r="C700" s="306"/>
      <c r="D700" s="54"/>
    </row>
    <row r="701" spans="1:4" ht="15.75" customHeight="1" thickBot="1" x14ac:dyDescent="0.3">
      <c r="A701" s="38"/>
      <c r="B701" s="45"/>
      <c r="C701" s="45"/>
      <c r="D701" s="45"/>
    </row>
    <row r="702" spans="1:4" ht="15.75" customHeight="1" thickBot="1" x14ac:dyDescent="0.3">
      <c r="A702" s="19"/>
      <c r="B702" s="20"/>
      <c r="C702" s="50"/>
      <c r="D702" s="51"/>
    </row>
    <row r="703" spans="1:4" ht="15.75" customHeight="1" thickBot="1" x14ac:dyDescent="0.3">
      <c r="A703" s="19"/>
      <c r="B703" s="20"/>
      <c r="C703" s="52"/>
      <c r="D703" s="53"/>
    </row>
    <row r="704" spans="1:4" ht="15.75" customHeight="1" thickBot="1" x14ac:dyDescent="0.3">
      <c r="A704" s="19"/>
      <c r="B704" s="20"/>
      <c r="C704" s="13"/>
      <c r="D704" s="14"/>
    </row>
    <row r="705" spans="1:4" ht="15.75" customHeight="1" thickBot="1" x14ac:dyDescent="0.3">
      <c r="A705" s="2"/>
      <c r="B705" s="3"/>
      <c r="C705" s="2"/>
      <c r="D705" s="1"/>
    </row>
    <row r="706" spans="1:4" ht="15.75" customHeight="1" thickBot="1" x14ac:dyDescent="0.3">
      <c r="A706" s="4"/>
      <c r="B706" s="303"/>
      <c r="C706" s="304"/>
      <c r="D706" s="4"/>
    </row>
    <row r="707" spans="1:4" ht="15.75" customHeight="1" thickBot="1" x14ac:dyDescent="0.3">
      <c r="A707" s="4"/>
      <c r="B707" s="303"/>
      <c r="C707" s="304"/>
      <c r="D707" s="18"/>
    </row>
    <row r="708" spans="1:4" ht="15.75" customHeight="1" thickBot="1" x14ac:dyDescent="0.3">
      <c r="A708" s="4"/>
      <c r="B708" s="303"/>
      <c r="C708" s="304"/>
      <c r="D708" s="18"/>
    </row>
    <row r="709" spans="1:4" ht="15.75" customHeight="1" thickBot="1" x14ac:dyDescent="0.3">
      <c r="A709" s="4"/>
      <c r="B709" s="303"/>
      <c r="C709" s="304"/>
      <c r="D709" s="18"/>
    </row>
    <row r="710" spans="1:4" ht="15.75" customHeight="1" thickBot="1" x14ac:dyDescent="0.3">
      <c r="A710" s="4"/>
      <c r="B710" s="303"/>
      <c r="C710" s="304"/>
      <c r="D710" s="18"/>
    </row>
    <row r="711" spans="1:4" ht="15.75" customHeight="1" thickBot="1" x14ac:dyDescent="0.3">
      <c r="A711" s="4"/>
      <c r="B711" s="303"/>
      <c r="C711" s="304"/>
      <c r="D711" s="18"/>
    </row>
    <row r="712" spans="1:4" ht="15.75" customHeight="1" thickBot="1" x14ac:dyDescent="0.3">
      <c r="A712" s="4"/>
      <c r="B712" s="303"/>
      <c r="C712" s="304"/>
      <c r="D712" s="18"/>
    </row>
    <row r="713" spans="1:4" ht="15.75" customHeight="1" thickBot="1" x14ac:dyDescent="0.3">
      <c r="A713" s="4"/>
      <c r="B713" s="303"/>
      <c r="C713" s="304"/>
      <c r="D713" s="18"/>
    </row>
    <row r="714" spans="1:4" ht="15.75" customHeight="1" thickBot="1" x14ac:dyDescent="0.3">
      <c r="A714" s="4"/>
      <c r="B714" s="303"/>
      <c r="C714" s="304"/>
      <c r="D714" s="18"/>
    </row>
    <row r="715" spans="1:4" ht="15.75" customHeight="1" thickBot="1" x14ac:dyDescent="0.3">
      <c r="A715" s="2"/>
      <c r="B715" s="3"/>
      <c r="C715" s="2"/>
      <c r="D715" s="1"/>
    </row>
    <row r="716" spans="1:4" ht="15.75" customHeight="1" thickBot="1" x14ac:dyDescent="0.3">
      <c r="A716" s="300"/>
      <c r="B716" s="301"/>
      <c r="C716" s="301"/>
      <c r="D716" s="302"/>
    </row>
    <row r="717" spans="1:4" ht="15.75" customHeight="1" x14ac:dyDescent="0.25">
      <c r="A717" s="5"/>
      <c r="B717" s="6"/>
      <c r="C717" s="7"/>
      <c r="D717" s="8"/>
    </row>
    <row r="718" spans="1:4" ht="15.75" customHeight="1" thickBot="1" x14ac:dyDescent="0.3">
      <c r="A718" s="9"/>
      <c r="B718" s="10"/>
      <c r="C718" s="10"/>
      <c r="D718" s="11"/>
    </row>
    <row r="719" spans="1:4" ht="15.75" customHeight="1" thickBot="1" x14ac:dyDescent="0.3">
      <c r="A719" s="15"/>
      <c r="B719" s="16"/>
      <c r="C719" s="21"/>
      <c r="D719" s="16"/>
    </row>
    <row r="720" spans="1:4" ht="15.75" customHeight="1" thickBot="1" x14ac:dyDescent="0.3">
      <c r="A720" s="12"/>
      <c r="B720" s="305"/>
      <c r="C720" s="306"/>
      <c r="D720" s="54"/>
    </row>
    <row r="721" spans="1:4" ht="15.75" customHeight="1" thickBot="1" x14ac:dyDescent="0.3">
      <c r="A721" s="38"/>
      <c r="B721" s="45"/>
      <c r="C721" s="45"/>
      <c r="D721" s="45"/>
    </row>
    <row r="722" spans="1:4" ht="15.75" customHeight="1" thickBot="1" x14ac:dyDescent="0.3">
      <c r="A722" s="19"/>
      <c r="B722" s="20"/>
      <c r="C722" s="50"/>
      <c r="D722" s="51"/>
    </row>
    <row r="723" spans="1:4" ht="15.75" customHeight="1" thickBot="1" x14ac:dyDescent="0.3">
      <c r="A723" s="19"/>
      <c r="B723" s="20"/>
      <c r="C723" s="52"/>
      <c r="D723" s="53"/>
    </row>
    <row r="724" spans="1:4" ht="15.75" customHeight="1" thickBot="1" x14ac:dyDescent="0.3">
      <c r="A724" s="19"/>
      <c r="B724" s="20"/>
      <c r="C724" s="13"/>
      <c r="D724" s="14"/>
    </row>
    <row r="725" spans="1:4" ht="15.75" customHeight="1" thickBot="1" x14ac:dyDescent="0.3">
      <c r="A725" s="2"/>
      <c r="B725" s="3"/>
      <c r="C725" s="2"/>
      <c r="D725" s="1"/>
    </row>
    <row r="726" spans="1:4" ht="15.75" customHeight="1" thickBot="1" x14ac:dyDescent="0.3">
      <c r="A726" s="4"/>
      <c r="B726" s="303"/>
      <c r="C726" s="304"/>
      <c r="D726" s="4"/>
    </row>
    <row r="727" spans="1:4" ht="15.75" customHeight="1" thickBot="1" x14ac:dyDescent="0.3">
      <c r="A727" s="4"/>
      <c r="B727" s="303"/>
      <c r="C727" s="304"/>
      <c r="D727" s="18"/>
    </row>
    <row r="728" spans="1:4" ht="15.75" customHeight="1" thickBot="1" x14ac:dyDescent="0.3">
      <c r="A728" s="4"/>
      <c r="B728" s="303"/>
      <c r="C728" s="304"/>
      <c r="D728" s="18"/>
    </row>
    <row r="729" spans="1:4" ht="15.75" customHeight="1" thickBot="1" x14ac:dyDescent="0.3">
      <c r="A729" s="4"/>
      <c r="B729" s="303"/>
      <c r="C729" s="304"/>
      <c r="D729" s="18"/>
    </row>
    <row r="730" spans="1:4" ht="15.75" customHeight="1" thickBot="1" x14ac:dyDescent="0.3">
      <c r="A730" s="4"/>
      <c r="B730" s="303"/>
      <c r="C730" s="304"/>
      <c r="D730" s="18"/>
    </row>
    <row r="731" spans="1:4" ht="15.75" customHeight="1" thickBot="1" x14ac:dyDescent="0.3">
      <c r="A731" s="4"/>
      <c r="B731" s="303"/>
      <c r="C731" s="304"/>
      <c r="D731" s="18"/>
    </row>
    <row r="732" spans="1:4" ht="15.75" customHeight="1" thickBot="1" x14ac:dyDescent="0.3">
      <c r="A732" s="4"/>
      <c r="B732" s="303"/>
      <c r="C732" s="304"/>
      <c r="D732" s="18"/>
    </row>
    <row r="733" spans="1:4" ht="15.75" customHeight="1" thickBot="1" x14ac:dyDescent="0.3">
      <c r="A733" s="4"/>
      <c r="B733" s="303"/>
      <c r="C733" s="304"/>
      <c r="D733" s="18"/>
    </row>
    <row r="734" spans="1:4" ht="15.75" customHeight="1" thickBot="1" x14ac:dyDescent="0.3">
      <c r="A734" s="4"/>
      <c r="B734" s="303"/>
      <c r="C734" s="304"/>
      <c r="D734" s="18"/>
    </row>
    <row r="735" spans="1:4" ht="15.75" customHeight="1" thickBot="1" x14ac:dyDescent="0.3">
      <c r="A735" s="2"/>
      <c r="B735" s="3"/>
      <c r="C735" s="2"/>
      <c r="D735" s="1"/>
    </row>
    <row r="736" spans="1:4" ht="15.75" customHeight="1" thickBot="1" x14ac:dyDescent="0.3">
      <c r="A736" s="300"/>
      <c r="B736" s="301"/>
      <c r="C736" s="301"/>
      <c r="D736" s="302"/>
    </row>
    <row r="737" spans="1:4" ht="15.75" customHeight="1" x14ac:dyDescent="0.25">
      <c r="A737" s="5"/>
      <c r="B737" s="6"/>
      <c r="C737" s="7"/>
      <c r="D737" s="8"/>
    </row>
    <row r="738" spans="1:4" ht="15.75" customHeight="1" thickBot="1" x14ac:dyDescent="0.3">
      <c r="A738" s="9"/>
      <c r="B738" s="10"/>
      <c r="C738" s="10"/>
      <c r="D738" s="11"/>
    </row>
    <row r="739" spans="1:4" ht="15.75" customHeight="1" thickBot="1" x14ac:dyDescent="0.3">
      <c r="A739" s="15"/>
      <c r="B739" s="16"/>
      <c r="C739" s="21"/>
      <c r="D739" s="16"/>
    </row>
    <row r="740" spans="1:4" ht="15.75" customHeight="1" thickBot="1" x14ac:dyDescent="0.3">
      <c r="A740" s="12"/>
      <c r="B740" s="305"/>
      <c r="C740" s="306"/>
      <c r="D740" s="54"/>
    </row>
    <row r="741" spans="1:4" ht="15.75" customHeight="1" thickBot="1" x14ac:dyDescent="0.3">
      <c r="A741" s="38"/>
      <c r="B741" s="45"/>
      <c r="C741" s="45"/>
      <c r="D741" s="45"/>
    </row>
    <row r="742" spans="1:4" ht="15.75" customHeight="1" thickBot="1" x14ac:dyDescent="0.3">
      <c r="A742" s="19"/>
      <c r="B742" s="20"/>
      <c r="C742" s="50"/>
      <c r="D742" s="51"/>
    </row>
    <row r="743" spans="1:4" ht="15.75" customHeight="1" thickBot="1" x14ac:dyDescent="0.3">
      <c r="A743" s="19"/>
      <c r="B743" s="20"/>
      <c r="C743" s="52"/>
      <c r="D743" s="53"/>
    </row>
    <row r="744" spans="1:4" ht="15.75" customHeight="1" thickBot="1" x14ac:dyDescent="0.3">
      <c r="A744" s="19"/>
      <c r="B744" s="20"/>
      <c r="C744" s="13"/>
      <c r="D744" s="14"/>
    </row>
    <row r="745" spans="1:4" ht="15.75" customHeight="1" thickBot="1" x14ac:dyDescent="0.3">
      <c r="A745" s="2"/>
      <c r="B745" s="3"/>
      <c r="C745" s="2"/>
      <c r="D745" s="1"/>
    </row>
    <row r="746" spans="1:4" ht="15.75" customHeight="1" thickBot="1" x14ac:dyDescent="0.3">
      <c r="A746" s="4"/>
      <c r="B746" s="303"/>
      <c r="C746" s="304"/>
      <c r="D746" s="4"/>
    </row>
    <row r="747" spans="1:4" ht="15.75" customHeight="1" thickBot="1" x14ac:dyDescent="0.3">
      <c r="A747" s="4"/>
      <c r="B747" s="303"/>
      <c r="C747" s="304"/>
      <c r="D747" s="18"/>
    </row>
    <row r="748" spans="1:4" ht="15.75" customHeight="1" thickBot="1" x14ac:dyDescent="0.3">
      <c r="A748" s="4"/>
      <c r="B748" s="303"/>
      <c r="C748" s="304"/>
      <c r="D748" s="18"/>
    </row>
    <row r="749" spans="1:4" ht="15.75" customHeight="1" thickBot="1" x14ac:dyDescent="0.3">
      <c r="A749" s="4"/>
      <c r="B749" s="303"/>
      <c r="C749" s="304"/>
      <c r="D749" s="18"/>
    </row>
    <row r="750" spans="1:4" ht="15.75" customHeight="1" thickBot="1" x14ac:dyDescent="0.3">
      <c r="A750" s="4"/>
      <c r="B750" s="303"/>
      <c r="C750" s="304"/>
      <c r="D750" s="18"/>
    </row>
    <row r="751" spans="1:4" ht="15.75" customHeight="1" thickBot="1" x14ac:dyDescent="0.3">
      <c r="A751" s="4"/>
      <c r="B751" s="303"/>
      <c r="C751" s="304"/>
      <c r="D751" s="18"/>
    </row>
    <row r="752" spans="1:4" ht="15.75" customHeight="1" thickBot="1" x14ac:dyDescent="0.3">
      <c r="A752" s="4"/>
      <c r="B752" s="303"/>
      <c r="C752" s="304"/>
      <c r="D752" s="18"/>
    </row>
    <row r="753" spans="1:4" ht="15.75" customHeight="1" thickBot="1" x14ac:dyDescent="0.3">
      <c r="A753" s="4"/>
      <c r="B753" s="303"/>
      <c r="C753" s="304"/>
      <c r="D753" s="18"/>
    </row>
    <row r="754" spans="1:4" ht="15.75" customHeight="1" thickBot="1" x14ac:dyDescent="0.3">
      <c r="A754" s="4"/>
      <c r="B754" s="303"/>
      <c r="C754" s="304"/>
      <c r="D754" s="18"/>
    </row>
    <row r="755" spans="1:4" ht="15.75" customHeight="1" thickBot="1" x14ac:dyDescent="0.3">
      <c r="A755" s="2"/>
      <c r="B755" s="3"/>
      <c r="C755" s="2"/>
      <c r="D755" s="1"/>
    </row>
    <row r="756" spans="1:4" ht="15.75" customHeight="1" thickBot="1" x14ac:dyDescent="0.3">
      <c r="A756" s="300"/>
      <c r="B756" s="301"/>
      <c r="C756" s="301"/>
      <c r="D756" s="302"/>
    </row>
    <row r="757" spans="1:4" ht="15.75" customHeight="1" x14ac:dyDescent="0.25">
      <c r="A757" s="5"/>
      <c r="B757" s="6"/>
      <c r="C757" s="7"/>
      <c r="D757" s="8"/>
    </row>
    <row r="758" spans="1:4" ht="15.75" customHeight="1" thickBot="1" x14ac:dyDescent="0.3">
      <c r="A758" s="9"/>
      <c r="B758" s="10"/>
      <c r="C758" s="10"/>
      <c r="D758" s="11"/>
    </row>
    <row r="759" spans="1:4" ht="15.75" customHeight="1" thickBot="1" x14ac:dyDescent="0.3">
      <c r="A759" s="15"/>
      <c r="B759" s="16"/>
      <c r="C759" s="21"/>
      <c r="D759" s="16"/>
    </row>
    <row r="760" spans="1:4" ht="15.75" customHeight="1" thickBot="1" x14ac:dyDescent="0.3">
      <c r="A760" s="12"/>
      <c r="B760" s="305"/>
      <c r="C760" s="306"/>
      <c r="D760" s="54"/>
    </row>
    <row r="761" spans="1:4" ht="15.75" customHeight="1" thickBot="1" x14ac:dyDescent="0.3">
      <c r="A761" s="38"/>
      <c r="B761" s="45"/>
      <c r="C761" s="45"/>
      <c r="D761" s="45"/>
    </row>
    <row r="762" spans="1:4" ht="15.75" customHeight="1" thickBot="1" x14ac:dyDescent="0.3">
      <c r="A762" s="19"/>
      <c r="B762" s="20"/>
      <c r="C762" s="50"/>
      <c r="D762" s="51"/>
    </row>
    <row r="763" spans="1:4" ht="15.75" customHeight="1" thickBot="1" x14ac:dyDescent="0.3">
      <c r="A763" s="19"/>
      <c r="B763" s="20"/>
      <c r="C763" s="52"/>
      <c r="D763" s="53"/>
    </row>
    <row r="764" spans="1:4" ht="15.75" customHeight="1" thickBot="1" x14ac:dyDescent="0.3">
      <c r="A764" s="19"/>
      <c r="B764" s="20"/>
      <c r="C764" s="13"/>
      <c r="D764" s="14"/>
    </row>
    <row r="765" spans="1:4" ht="15.75" customHeight="1" thickBot="1" x14ac:dyDescent="0.3">
      <c r="A765" s="2"/>
      <c r="B765" s="3"/>
      <c r="C765" s="2"/>
      <c r="D765" s="1"/>
    </row>
    <row r="766" spans="1:4" ht="15.75" customHeight="1" thickBot="1" x14ac:dyDescent="0.3">
      <c r="A766" s="4"/>
      <c r="B766" s="303"/>
      <c r="C766" s="304"/>
      <c r="D766" s="4"/>
    </row>
    <row r="767" spans="1:4" ht="15.75" customHeight="1" thickBot="1" x14ac:dyDescent="0.3">
      <c r="A767" s="4"/>
      <c r="B767" s="303"/>
      <c r="C767" s="304"/>
      <c r="D767" s="18"/>
    </row>
    <row r="768" spans="1:4" ht="15.75" customHeight="1" thickBot="1" x14ac:dyDescent="0.3">
      <c r="A768" s="4"/>
      <c r="B768" s="303"/>
      <c r="C768" s="304"/>
      <c r="D768" s="18"/>
    </row>
    <row r="769" spans="1:4" ht="15.75" customHeight="1" thickBot="1" x14ac:dyDescent="0.3">
      <c r="A769" s="4"/>
      <c r="B769" s="303"/>
      <c r="C769" s="304"/>
      <c r="D769" s="18"/>
    </row>
    <row r="770" spans="1:4" ht="15.75" customHeight="1" thickBot="1" x14ac:dyDescent="0.3">
      <c r="A770" s="4"/>
      <c r="B770" s="303"/>
      <c r="C770" s="304"/>
      <c r="D770" s="18"/>
    </row>
    <row r="771" spans="1:4" ht="15.75" customHeight="1" thickBot="1" x14ac:dyDescent="0.3">
      <c r="A771" s="4"/>
      <c r="B771" s="303"/>
      <c r="C771" s="304"/>
      <c r="D771" s="18"/>
    </row>
    <row r="772" spans="1:4" ht="15.75" customHeight="1" thickBot="1" x14ac:dyDescent="0.3">
      <c r="A772" s="4"/>
      <c r="B772" s="303"/>
      <c r="C772" s="304"/>
      <c r="D772" s="18"/>
    </row>
    <row r="773" spans="1:4" ht="15.75" customHeight="1" thickBot="1" x14ac:dyDescent="0.3">
      <c r="A773" s="4"/>
      <c r="B773" s="303"/>
      <c r="C773" s="304"/>
      <c r="D773" s="18"/>
    </row>
    <row r="774" spans="1:4" ht="15.75" customHeight="1" thickBot="1" x14ac:dyDescent="0.3">
      <c r="A774" s="4"/>
      <c r="B774" s="303"/>
      <c r="C774" s="304"/>
      <c r="D774" s="18"/>
    </row>
    <row r="775" spans="1:4" ht="15.75" customHeight="1" thickBot="1" x14ac:dyDescent="0.3">
      <c r="A775" s="2"/>
      <c r="B775" s="3"/>
      <c r="C775" s="2"/>
      <c r="D775" s="1"/>
    </row>
    <row r="776" spans="1:4" ht="15.75" customHeight="1" thickBot="1" x14ac:dyDescent="0.3">
      <c r="A776" s="300"/>
      <c r="B776" s="301"/>
      <c r="C776" s="301"/>
      <c r="D776" s="302"/>
    </row>
    <row r="777" spans="1:4" ht="15.75" customHeight="1" x14ac:dyDescent="0.25">
      <c r="A777" s="5"/>
      <c r="B777" s="6"/>
      <c r="C777" s="7"/>
      <c r="D777" s="8"/>
    </row>
    <row r="778" spans="1:4" ht="15.75" customHeight="1" thickBot="1" x14ac:dyDescent="0.3">
      <c r="A778" s="9"/>
      <c r="B778" s="10"/>
      <c r="C778" s="10"/>
      <c r="D778" s="11"/>
    </row>
    <row r="779" spans="1:4" ht="15.75" customHeight="1" thickBot="1" x14ac:dyDescent="0.3">
      <c r="A779" s="15"/>
      <c r="B779" s="16"/>
      <c r="C779" s="21"/>
      <c r="D779" s="16"/>
    </row>
    <row r="780" spans="1:4" ht="15.75" customHeight="1" thickBot="1" x14ac:dyDescent="0.3">
      <c r="A780" s="12"/>
      <c r="B780" s="305"/>
      <c r="C780" s="306"/>
      <c r="D780" s="54"/>
    </row>
    <row r="781" spans="1:4" ht="15.75" customHeight="1" thickBot="1" x14ac:dyDescent="0.3">
      <c r="A781" s="38"/>
      <c r="B781" s="45"/>
      <c r="C781" s="45"/>
      <c r="D781" s="45"/>
    </row>
    <row r="782" spans="1:4" ht="15.75" customHeight="1" thickBot="1" x14ac:dyDescent="0.3">
      <c r="A782" s="19"/>
      <c r="B782" s="20"/>
      <c r="C782" s="50"/>
      <c r="D782" s="51"/>
    </row>
    <row r="783" spans="1:4" ht="15.75" customHeight="1" thickBot="1" x14ac:dyDescent="0.3">
      <c r="A783" s="19"/>
      <c r="B783" s="20"/>
      <c r="C783" s="52"/>
      <c r="D783" s="53"/>
    </row>
    <row r="784" spans="1:4" ht="15.75" customHeight="1" thickBot="1" x14ac:dyDescent="0.3">
      <c r="A784" s="19"/>
      <c r="B784" s="20"/>
      <c r="C784" s="13"/>
      <c r="D784" s="14"/>
    </row>
    <row r="785" spans="1:4" ht="15.75" customHeight="1" thickBot="1" x14ac:dyDescent="0.3">
      <c r="A785" s="2"/>
      <c r="B785" s="3"/>
      <c r="C785" s="2"/>
      <c r="D785" s="1"/>
    </row>
    <row r="786" spans="1:4" ht="15.75" customHeight="1" thickBot="1" x14ac:dyDescent="0.3">
      <c r="A786" s="4"/>
      <c r="B786" s="303"/>
      <c r="C786" s="304"/>
      <c r="D786" s="4"/>
    </row>
    <row r="787" spans="1:4" ht="15.75" customHeight="1" thickBot="1" x14ac:dyDescent="0.3">
      <c r="A787" s="4"/>
      <c r="B787" s="303"/>
      <c r="C787" s="304"/>
      <c r="D787" s="18"/>
    </row>
    <row r="788" spans="1:4" ht="15.75" customHeight="1" thickBot="1" x14ac:dyDescent="0.3">
      <c r="A788" s="4"/>
      <c r="B788" s="303"/>
      <c r="C788" s="304"/>
      <c r="D788" s="18"/>
    </row>
    <row r="789" spans="1:4" ht="15.75" customHeight="1" thickBot="1" x14ac:dyDescent="0.3">
      <c r="A789" s="4"/>
      <c r="B789" s="303"/>
      <c r="C789" s="304"/>
      <c r="D789" s="18"/>
    </row>
    <row r="790" spans="1:4" ht="15.75" customHeight="1" thickBot="1" x14ac:dyDescent="0.3">
      <c r="A790" s="4"/>
      <c r="B790" s="303"/>
      <c r="C790" s="304"/>
      <c r="D790" s="18"/>
    </row>
    <row r="791" spans="1:4" ht="15.75" customHeight="1" thickBot="1" x14ac:dyDescent="0.3">
      <c r="A791" s="4"/>
      <c r="B791" s="303"/>
      <c r="C791" s="304"/>
      <c r="D791" s="18"/>
    </row>
    <row r="792" spans="1:4" ht="15.75" customHeight="1" thickBot="1" x14ac:dyDescent="0.3">
      <c r="A792" s="4"/>
      <c r="B792" s="303"/>
      <c r="C792" s="304"/>
      <c r="D792" s="18"/>
    </row>
    <row r="793" spans="1:4" ht="15.75" customHeight="1" thickBot="1" x14ac:dyDescent="0.3">
      <c r="A793" s="4"/>
      <c r="B793" s="303"/>
      <c r="C793" s="304"/>
      <c r="D793" s="18"/>
    </row>
    <row r="794" spans="1:4" ht="15.75" customHeight="1" thickBot="1" x14ac:dyDescent="0.3">
      <c r="A794" s="4"/>
      <c r="B794" s="303"/>
      <c r="C794" s="304"/>
      <c r="D794" s="18"/>
    </row>
    <row r="795" spans="1:4" ht="15.75" customHeight="1" thickBot="1" x14ac:dyDescent="0.3">
      <c r="A795" s="2"/>
      <c r="B795" s="3"/>
      <c r="C795" s="2"/>
      <c r="D795" s="1"/>
    </row>
    <row r="796" spans="1:4" ht="15.75" customHeight="1" thickBot="1" x14ac:dyDescent="0.3">
      <c r="A796" s="300"/>
      <c r="B796" s="301"/>
      <c r="C796" s="301"/>
      <c r="D796" s="302"/>
    </row>
    <row r="797" spans="1:4" ht="15.75" customHeight="1" x14ac:dyDescent="0.25">
      <c r="A797" s="5"/>
      <c r="B797" s="6"/>
      <c r="C797" s="7"/>
      <c r="D797" s="8"/>
    </row>
    <row r="798" spans="1:4" ht="15.75" customHeight="1" thickBot="1" x14ac:dyDescent="0.3">
      <c r="A798" s="9"/>
      <c r="B798" s="10"/>
      <c r="C798" s="10"/>
      <c r="D798" s="11"/>
    </row>
    <row r="799" spans="1:4" ht="15.75" customHeight="1" thickBot="1" x14ac:dyDescent="0.3">
      <c r="A799" s="15"/>
      <c r="B799" s="16"/>
      <c r="C799" s="21"/>
      <c r="D799" s="16"/>
    </row>
    <row r="800" spans="1:4" ht="15.75" customHeight="1" thickBot="1" x14ac:dyDescent="0.3">
      <c r="A800" s="12"/>
      <c r="B800" s="305"/>
      <c r="C800" s="306"/>
      <c r="D800" s="54"/>
    </row>
    <row r="801" spans="1:4" ht="15.75" customHeight="1" thickBot="1" x14ac:dyDescent="0.3">
      <c r="A801" s="38"/>
      <c r="B801" s="45"/>
      <c r="C801" s="45"/>
      <c r="D801" s="45"/>
    </row>
    <row r="802" spans="1:4" ht="15.75" customHeight="1" thickBot="1" x14ac:dyDescent="0.3">
      <c r="A802" s="19"/>
      <c r="B802" s="20"/>
      <c r="C802" s="50"/>
      <c r="D802" s="51"/>
    </row>
    <row r="803" spans="1:4" ht="15.75" customHeight="1" thickBot="1" x14ac:dyDescent="0.3">
      <c r="A803" s="19"/>
      <c r="B803" s="20"/>
      <c r="C803" s="52"/>
      <c r="D803" s="53"/>
    </row>
    <row r="804" spans="1:4" ht="15.75" customHeight="1" thickBot="1" x14ac:dyDescent="0.3">
      <c r="A804" s="19"/>
      <c r="B804" s="20"/>
      <c r="C804" s="13"/>
      <c r="D804" s="14"/>
    </row>
    <row r="805" spans="1:4" ht="15.75" customHeight="1" thickBot="1" x14ac:dyDescent="0.3">
      <c r="A805" s="2"/>
      <c r="B805" s="3"/>
      <c r="C805" s="2"/>
      <c r="D805" s="1"/>
    </row>
    <row r="806" spans="1:4" ht="15.75" customHeight="1" thickBot="1" x14ac:dyDescent="0.3">
      <c r="A806" s="4"/>
      <c r="B806" s="303"/>
      <c r="C806" s="304"/>
      <c r="D806" s="4"/>
    </row>
    <row r="807" spans="1:4" ht="15.75" customHeight="1" thickBot="1" x14ac:dyDescent="0.3">
      <c r="A807" s="4"/>
      <c r="B807" s="303"/>
      <c r="C807" s="304"/>
      <c r="D807" s="18"/>
    </row>
    <row r="808" spans="1:4" ht="15.75" customHeight="1" thickBot="1" x14ac:dyDescent="0.3">
      <c r="A808" s="4"/>
      <c r="B808" s="303"/>
      <c r="C808" s="304"/>
      <c r="D808" s="18"/>
    </row>
    <row r="809" spans="1:4" ht="15.75" customHeight="1" thickBot="1" x14ac:dyDescent="0.3">
      <c r="A809" s="4"/>
      <c r="B809" s="303"/>
      <c r="C809" s="304"/>
      <c r="D809" s="18"/>
    </row>
    <row r="810" spans="1:4" ht="15.75" customHeight="1" thickBot="1" x14ac:dyDescent="0.3">
      <c r="A810" s="4"/>
      <c r="B810" s="303"/>
      <c r="C810" s="304"/>
      <c r="D810" s="18"/>
    </row>
    <row r="811" spans="1:4" ht="15.75" customHeight="1" thickBot="1" x14ac:dyDescent="0.3">
      <c r="A811" s="4"/>
      <c r="B811" s="303"/>
      <c r="C811" s="304"/>
      <c r="D811" s="18"/>
    </row>
    <row r="812" spans="1:4" ht="15.75" customHeight="1" thickBot="1" x14ac:dyDescent="0.3">
      <c r="A812" s="4"/>
      <c r="B812" s="303"/>
      <c r="C812" s="304"/>
      <c r="D812" s="18"/>
    </row>
    <row r="813" spans="1:4" ht="15.75" customHeight="1" thickBot="1" x14ac:dyDescent="0.3">
      <c r="A813" s="4"/>
      <c r="B813" s="303"/>
      <c r="C813" s="304"/>
      <c r="D813" s="18"/>
    </row>
    <row r="814" spans="1:4" ht="15.75" customHeight="1" thickBot="1" x14ac:dyDescent="0.3">
      <c r="A814" s="4"/>
      <c r="B814" s="303"/>
      <c r="C814" s="304"/>
      <c r="D814" s="18"/>
    </row>
    <row r="815" spans="1:4" ht="15.75" customHeight="1" thickBot="1" x14ac:dyDescent="0.3">
      <c r="A815" s="2"/>
      <c r="B815" s="3"/>
      <c r="C815" s="2"/>
      <c r="D815" s="1"/>
    </row>
    <row r="816" spans="1:4" ht="15.75" customHeight="1" thickBot="1" x14ac:dyDescent="0.3">
      <c r="A816" s="300"/>
      <c r="B816" s="301"/>
      <c r="C816" s="301"/>
      <c r="D816" s="302"/>
    </row>
    <row r="817" spans="1:4" ht="15.75" customHeight="1" x14ac:dyDescent="0.25">
      <c r="A817" s="5"/>
      <c r="B817" s="6"/>
      <c r="C817" s="7"/>
      <c r="D817" s="8"/>
    </row>
    <row r="818" spans="1:4" ht="15.75" customHeight="1" thickBot="1" x14ac:dyDescent="0.3">
      <c r="A818" s="9"/>
      <c r="B818" s="10"/>
      <c r="C818" s="10"/>
      <c r="D818" s="11"/>
    </row>
    <row r="819" spans="1:4" ht="15.75" customHeight="1" thickBot="1" x14ac:dyDescent="0.3">
      <c r="A819" s="15"/>
      <c r="B819" s="16"/>
      <c r="C819" s="21"/>
      <c r="D819" s="16"/>
    </row>
    <row r="820" spans="1:4" ht="15.75" customHeight="1" thickBot="1" x14ac:dyDescent="0.3">
      <c r="A820" s="12"/>
      <c r="B820" s="305"/>
      <c r="C820" s="306"/>
      <c r="D820" s="54"/>
    </row>
    <row r="821" spans="1:4" ht="15.75" customHeight="1" thickBot="1" x14ac:dyDescent="0.3">
      <c r="A821" s="38"/>
      <c r="B821" s="45"/>
      <c r="C821" s="45"/>
      <c r="D821" s="45"/>
    </row>
    <row r="822" spans="1:4" ht="15.75" customHeight="1" thickBot="1" x14ac:dyDescent="0.3">
      <c r="A822" s="19"/>
      <c r="B822" s="20"/>
      <c r="C822" s="50"/>
      <c r="D822" s="51"/>
    </row>
    <row r="823" spans="1:4" ht="15.75" customHeight="1" thickBot="1" x14ac:dyDescent="0.3">
      <c r="A823" s="19"/>
      <c r="B823" s="20"/>
      <c r="C823" s="52"/>
      <c r="D823" s="53"/>
    </row>
    <row r="824" spans="1:4" ht="15.75" customHeight="1" thickBot="1" x14ac:dyDescent="0.3">
      <c r="A824" s="19"/>
      <c r="B824" s="20"/>
      <c r="C824" s="13"/>
      <c r="D824" s="14"/>
    </row>
    <row r="825" spans="1:4" ht="15.75" customHeight="1" thickBot="1" x14ac:dyDescent="0.3">
      <c r="A825" s="2"/>
      <c r="B825" s="3"/>
      <c r="C825" s="2"/>
      <c r="D825" s="1"/>
    </row>
    <row r="826" spans="1:4" ht="15.75" customHeight="1" thickBot="1" x14ac:dyDescent="0.3">
      <c r="A826" s="4"/>
      <c r="B826" s="303"/>
      <c r="C826" s="304"/>
      <c r="D826" s="4"/>
    </row>
    <row r="827" spans="1:4" ht="15.75" customHeight="1" thickBot="1" x14ac:dyDescent="0.3">
      <c r="A827" s="4"/>
      <c r="B827" s="303"/>
      <c r="C827" s="304"/>
      <c r="D827" s="18"/>
    </row>
    <row r="828" spans="1:4" ht="15.75" customHeight="1" thickBot="1" x14ac:dyDescent="0.3">
      <c r="A828" s="4"/>
      <c r="B828" s="303"/>
      <c r="C828" s="304"/>
      <c r="D828" s="18"/>
    </row>
    <row r="829" spans="1:4" ht="15.75" customHeight="1" thickBot="1" x14ac:dyDescent="0.3">
      <c r="A829" s="4"/>
      <c r="B829" s="303"/>
      <c r="C829" s="304"/>
      <c r="D829" s="18"/>
    </row>
    <row r="830" spans="1:4" ht="15.75" customHeight="1" thickBot="1" x14ac:dyDescent="0.3">
      <c r="A830" s="4"/>
      <c r="B830" s="303"/>
      <c r="C830" s="304"/>
      <c r="D830" s="18"/>
    </row>
    <row r="831" spans="1:4" ht="15.75" customHeight="1" thickBot="1" x14ac:dyDescent="0.3">
      <c r="A831" s="4"/>
      <c r="B831" s="303"/>
      <c r="C831" s="304"/>
      <c r="D831" s="18"/>
    </row>
    <row r="832" spans="1:4" ht="15.75" customHeight="1" thickBot="1" x14ac:dyDescent="0.3">
      <c r="A832" s="4"/>
      <c r="B832" s="303"/>
      <c r="C832" s="304"/>
      <c r="D832" s="18"/>
    </row>
    <row r="833" spans="1:4" ht="15.75" customHeight="1" thickBot="1" x14ac:dyDescent="0.3">
      <c r="A833" s="4"/>
      <c r="B833" s="303"/>
      <c r="C833" s="304"/>
      <c r="D833" s="18"/>
    </row>
    <row r="834" spans="1:4" ht="15.75" customHeight="1" thickBot="1" x14ac:dyDescent="0.3">
      <c r="A834" s="4"/>
      <c r="B834" s="303"/>
      <c r="C834" s="304"/>
      <c r="D834" s="18"/>
    </row>
    <row r="835" spans="1:4" ht="15.75" customHeight="1" thickBot="1" x14ac:dyDescent="0.3">
      <c r="A835" s="2"/>
      <c r="B835" s="3"/>
      <c r="C835" s="2"/>
      <c r="D835" s="1"/>
    </row>
    <row r="836" spans="1:4" ht="15.75" customHeight="1" thickBot="1" x14ac:dyDescent="0.3">
      <c r="A836" s="300"/>
      <c r="B836" s="301"/>
      <c r="C836" s="301"/>
      <c r="D836" s="302"/>
    </row>
    <row r="837" spans="1:4" ht="15.75" customHeight="1" x14ac:dyDescent="0.25">
      <c r="A837" s="5"/>
      <c r="B837" s="6"/>
      <c r="C837" s="7"/>
      <c r="D837" s="8"/>
    </row>
    <row r="838" spans="1:4" ht="15.75" customHeight="1" thickBot="1" x14ac:dyDescent="0.3">
      <c r="A838" s="9"/>
      <c r="B838" s="10"/>
      <c r="C838" s="10"/>
      <c r="D838" s="11"/>
    </row>
    <row r="839" spans="1:4" ht="15.75" customHeight="1" thickBot="1" x14ac:dyDescent="0.3">
      <c r="A839" s="15"/>
      <c r="B839" s="16"/>
      <c r="C839" s="21"/>
      <c r="D839" s="16"/>
    </row>
    <row r="840" spans="1:4" ht="15.75" customHeight="1" thickBot="1" x14ac:dyDescent="0.3">
      <c r="A840" s="12"/>
      <c r="B840" s="305"/>
      <c r="C840" s="306"/>
      <c r="D840" s="54"/>
    </row>
    <row r="841" spans="1:4" ht="15.75" customHeight="1" thickBot="1" x14ac:dyDescent="0.3">
      <c r="A841" s="38"/>
      <c r="B841" s="45"/>
      <c r="C841" s="45"/>
      <c r="D841" s="45"/>
    </row>
    <row r="842" spans="1:4" ht="15.75" customHeight="1" thickBot="1" x14ac:dyDescent="0.3">
      <c r="A842" s="19"/>
      <c r="B842" s="20"/>
      <c r="C842" s="50"/>
      <c r="D842" s="51"/>
    </row>
    <row r="843" spans="1:4" ht="15.75" customHeight="1" thickBot="1" x14ac:dyDescent="0.3">
      <c r="A843" s="19"/>
      <c r="B843" s="20"/>
      <c r="C843" s="52"/>
      <c r="D843" s="53"/>
    </row>
    <row r="844" spans="1:4" ht="15.75" customHeight="1" thickBot="1" x14ac:dyDescent="0.3">
      <c r="A844" s="19"/>
      <c r="B844" s="20"/>
      <c r="C844" s="13"/>
      <c r="D844" s="14"/>
    </row>
    <row r="845" spans="1:4" ht="15.75" customHeight="1" thickBot="1" x14ac:dyDescent="0.3">
      <c r="A845" s="2"/>
      <c r="B845" s="3"/>
      <c r="C845" s="2"/>
      <c r="D845" s="1"/>
    </row>
    <row r="846" spans="1:4" ht="15.75" customHeight="1" thickBot="1" x14ac:dyDescent="0.3">
      <c r="A846" s="4"/>
      <c r="B846" s="303"/>
      <c r="C846" s="304"/>
      <c r="D846" s="4"/>
    </row>
    <row r="847" spans="1:4" ht="15.75" customHeight="1" thickBot="1" x14ac:dyDescent="0.3">
      <c r="A847" s="4"/>
      <c r="B847" s="303"/>
      <c r="C847" s="304"/>
      <c r="D847" s="18"/>
    </row>
    <row r="848" spans="1:4" ht="15.75" customHeight="1" thickBot="1" x14ac:dyDescent="0.3">
      <c r="A848" s="4"/>
      <c r="B848" s="303"/>
      <c r="C848" s="304"/>
      <c r="D848" s="18"/>
    </row>
    <row r="849" spans="1:4" ht="15.75" customHeight="1" thickBot="1" x14ac:dyDescent="0.3">
      <c r="A849" s="4"/>
      <c r="B849" s="303"/>
      <c r="C849" s="304"/>
      <c r="D849" s="18"/>
    </row>
    <row r="850" spans="1:4" ht="15.75" customHeight="1" thickBot="1" x14ac:dyDescent="0.3">
      <c r="A850" s="4"/>
      <c r="B850" s="303"/>
      <c r="C850" s="304"/>
      <c r="D850" s="18"/>
    </row>
    <row r="851" spans="1:4" ht="15.75" customHeight="1" thickBot="1" x14ac:dyDescent="0.3">
      <c r="A851" s="4"/>
      <c r="B851" s="303"/>
      <c r="C851" s="304"/>
      <c r="D851" s="18"/>
    </row>
    <row r="852" spans="1:4" ht="15.75" customHeight="1" thickBot="1" x14ac:dyDescent="0.3">
      <c r="A852" s="4"/>
      <c r="B852" s="303"/>
      <c r="C852" s="304"/>
      <c r="D852" s="18"/>
    </row>
    <row r="853" spans="1:4" ht="15.75" customHeight="1" thickBot="1" x14ac:dyDescent="0.3">
      <c r="A853" s="4"/>
      <c r="B853" s="303"/>
      <c r="C853" s="304"/>
      <c r="D853" s="18"/>
    </row>
    <row r="854" spans="1:4" ht="15.75" customHeight="1" thickBot="1" x14ac:dyDescent="0.3">
      <c r="A854" s="4"/>
      <c r="B854" s="303"/>
      <c r="C854" s="304"/>
      <c r="D854" s="18"/>
    </row>
    <row r="855" spans="1:4" ht="15.75" customHeight="1" thickBot="1" x14ac:dyDescent="0.3">
      <c r="A855" s="2"/>
      <c r="B855" s="3"/>
      <c r="C855" s="2"/>
      <c r="D855" s="1"/>
    </row>
    <row r="856" spans="1:4" ht="15.75" customHeight="1" thickBot="1" x14ac:dyDescent="0.3">
      <c r="A856" s="300"/>
      <c r="B856" s="301"/>
      <c r="C856" s="301"/>
      <c r="D856" s="302"/>
    </row>
    <row r="857" spans="1:4" ht="15.75" customHeight="1" x14ac:dyDescent="0.25">
      <c r="A857" s="5"/>
      <c r="B857" s="6"/>
      <c r="C857" s="7"/>
      <c r="D857" s="8"/>
    </row>
    <row r="858" spans="1:4" ht="15.75" customHeight="1" thickBot="1" x14ac:dyDescent="0.3">
      <c r="A858" s="9"/>
      <c r="B858" s="10"/>
      <c r="C858" s="10"/>
      <c r="D858" s="11"/>
    </row>
    <row r="859" spans="1:4" ht="15.75" customHeight="1" thickBot="1" x14ac:dyDescent="0.3">
      <c r="A859" s="15"/>
      <c r="B859" s="16"/>
      <c r="C859" s="21"/>
      <c r="D859" s="16"/>
    </row>
    <row r="860" spans="1:4" ht="15.75" customHeight="1" thickBot="1" x14ac:dyDescent="0.3">
      <c r="A860" s="12"/>
      <c r="B860" s="305"/>
      <c r="C860" s="306"/>
      <c r="D860" s="54"/>
    </row>
    <row r="861" spans="1:4" ht="15.75" customHeight="1" thickBot="1" x14ac:dyDescent="0.3">
      <c r="A861" s="38"/>
      <c r="B861" s="45"/>
      <c r="C861" s="45"/>
      <c r="D861" s="45"/>
    </row>
    <row r="862" spans="1:4" ht="15.75" customHeight="1" thickBot="1" x14ac:dyDescent="0.3">
      <c r="A862" s="19"/>
      <c r="B862" s="20"/>
      <c r="C862" s="50"/>
      <c r="D862" s="51"/>
    </row>
    <row r="863" spans="1:4" ht="15.75" customHeight="1" thickBot="1" x14ac:dyDescent="0.3">
      <c r="A863" s="19"/>
      <c r="B863" s="20"/>
      <c r="C863" s="52"/>
      <c r="D863" s="53"/>
    </row>
    <row r="864" spans="1:4" ht="15.75" customHeight="1" thickBot="1" x14ac:dyDescent="0.3">
      <c r="A864" s="19"/>
      <c r="B864" s="20"/>
      <c r="C864" s="13"/>
      <c r="D864" s="14"/>
    </row>
    <row r="865" spans="1:4" ht="15.75" customHeight="1" thickBot="1" x14ac:dyDescent="0.3">
      <c r="A865" s="2"/>
      <c r="B865" s="3"/>
      <c r="C865" s="2"/>
      <c r="D865" s="1"/>
    </row>
    <row r="866" spans="1:4" ht="15.75" customHeight="1" thickBot="1" x14ac:dyDescent="0.3">
      <c r="A866" s="4"/>
      <c r="B866" s="303"/>
      <c r="C866" s="304"/>
      <c r="D866" s="4"/>
    </row>
    <row r="867" spans="1:4" ht="15.75" customHeight="1" thickBot="1" x14ac:dyDescent="0.3">
      <c r="A867" s="4"/>
      <c r="B867" s="303"/>
      <c r="C867" s="304"/>
      <c r="D867" s="18"/>
    </row>
    <row r="868" spans="1:4" ht="15.75" customHeight="1" thickBot="1" x14ac:dyDescent="0.3">
      <c r="A868" s="4"/>
      <c r="B868" s="303"/>
      <c r="C868" s="304"/>
      <c r="D868" s="18"/>
    </row>
    <row r="869" spans="1:4" ht="15.75" customHeight="1" thickBot="1" x14ac:dyDescent="0.3">
      <c r="A869" s="4"/>
      <c r="B869" s="303"/>
      <c r="C869" s="304"/>
      <c r="D869" s="18"/>
    </row>
    <row r="870" spans="1:4" ht="15.75" customHeight="1" thickBot="1" x14ac:dyDescent="0.3">
      <c r="A870" s="4"/>
      <c r="B870" s="303"/>
      <c r="C870" s="304"/>
      <c r="D870" s="18"/>
    </row>
    <row r="871" spans="1:4" ht="15.75" customHeight="1" thickBot="1" x14ac:dyDescent="0.3">
      <c r="A871" s="4"/>
      <c r="B871" s="303"/>
      <c r="C871" s="304"/>
      <c r="D871" s="18"/>
    </row>
    <row r="872" spans="1:4" ht="15.75" customHeight="1" thickBot="1" x14ac:dyDescent="0.3">
      <c r="A872" s="4"/>
      <c r="B872" s="303"/>
      <c r="C872" s="304"/>
      <c r="D872" s="18"/>
    </row>
    <row r="873" spans="1:4" ht="15.75" customHeight="1" thickBot="1" x14ac:dyDescent="0.3">
      <c r="A873" s="4"/>
      <c r="B873" s="303"/>
      <c r="C873" s="304"/>
      <c r="D873" s="18"/>
    </row>
    <row r="874" spans="1:4" ht="15.75" customHeight="1" thickBot="1" x14ac:dyDescent="0.3">
      <c r="A874" s="4"/>
      <c r="B874" s="303"/>
      <c r="C874" s="304"/>
      <c r="D874" s="18"/>
    </row>
    <row r="875" spans="1:4" ht="15.75" customHeight="1" thickBot="1" x14ac:dyDescent="0.3">
      <c r="A875" s="2"/>
      <c r="B875" s="3"/>
      <c r="C875" s="2"/>
      <c r="D875" s="1"/>
    </row>
    <row r="876" spans="1:4" ht="15.75" customHeight="1" thickBot="1" x14ac:dyDescent="0.3">
      <c r="A876" s="300"/>
      <c r="B876" s="301"/>
      <c r="C876" s="301"/>
      <c r="D876" s="302"/>
    </row>
    <row r="877" spans="1:4" ht="15.75" customHeight="1" x14ac:dyDescent="0.25">
      <c r="A877" s="5"/>
      <c r="B877" s="6"/>
      <c r="C877" s="7"/>
      <c r="D877" s="8"/>
    </row>
    <row r="878" spans="1:4" ht="15.75" customHeight="1" thickBot="1" x14ac:dyDescent="0.3">
      <c r="A878" s="9"/>
      <c r="B878" s="10"/>
      <c r="C878" s="10"/>
      <c r="D878" s="11"/>
    </row>
    <row r="879" spans="1:4" ht="15.75" customHeight="1" thickBot="1" x14ac:dyDescent="0.3">
      <c r="A879" s="15"/>
      <c r="B879" s="16"/>
      <c r="C879" s="21"/>
      <c r="D879" s="16"/>
    </row>
    <row r="880" spans="1:4" ht="15.75" customHeight="1" thickBot="1" x14ac:dyDescent="0.3">
      <c r="A880" s="12"/>
      <c r="B880" s="305"/>
      <c r="C880" s="306"/>
      <c r="D880" s="54"/>
    </row>
    <row r="881" spans="1:4" ht="15.75" customHeight="1" thickBot="1" x14ac:dyDescent="0.3">
      <c r="A881" s="38"/>
      <c r="B881" s="45"/>
      <c r="C881" s="45"/>
      <c r="D881" s="45"/>
    </row>
    <row r="882" spans="1:4" ht="15.75" customHeight="1" thickBot="1" x14ac:dyDescent="0.3">
      <c r="A882" s="19"/>
      <c r="B882" s="20"/>
      <c r="C882" s="50"/>
      <c r="D882" s="51"/>
    </row>
    <row r="883" spans="1:4" ht="15.75" customHeight="1" thickBot="1" x14ac:dyDescent="0.3">
      <c r="A883" s="19"/>
      <c r="B883" s="20"/>
      <c r="C883" s="52"/>
      <c r="D883" s="53"/>
    </row>
    <row r="884" spans="1:4" ht="15.75" customHeight="1" thickBot="1" x14ac:dyDescent="0.3">
      <c r="A884" s="19"/>
      <c r="B884" s="20"/>
      <c r="C884" s="13"/>
      <c r="D884" s="14"/>
    </row>
    <row r="885" spans="1:4" ht="15.75" customHeight="1" thickBot="1" x14ac:dyDescent="0.3">
      <c r="A885" s="2"/>
      <c r="B885" s="3"/>
      <c r="C885" s="2"/>
      <c r="D885" s="1"/>
    </row>
    <row r="886" spans="1:4" ht="15.75" customHeight="1" thickBot="1" x14ac:dyDescent="0.3">
      <c r="A886" s="4"/>
      <c r="B886" s="303"/>
      <c r="C886" s="304"/>
      <c r="D886" s="4"/>
    </row>
    <row r="887" spans="1:4" ht="15.75" customHeight="1" thickBot="1" x14ac:dyDescent="0.3">
      <c r="A887" s="4"/>
      <c r="B887" s="303"/>
      <c r="C887" s="304"/>
      <c r="D887" s="18"/>
    </row>
    <row r="888" spans="1:4" ht="15.75" customHeight="1" thickBot="1" x14ac:dyDescent="0.3">
      <c r="A888" s="4"/>
      <c r="B888" s="303"/>
      <c r="C888" s="304"/>
      <c r="D888" s="18"/>
    </row>
    <row r="889" spans="1:4" ht="15.75" customHeight="1" thickBot="1" x14ac:dyDescent="0.3">
      <c r="A889" s="4"/>
      <c r="B889" s="303"/>
      <c r="C889" s="304"/>
      <c r="D889" s="18"/>
    </row>
    <row r="890" spans="1:4" ht="15.75" customHeight="1" thickBot="1" x14ac:dyDescent="0.3">
      <c r="A890" s="4"/>
      <c r="B890" s="303"/>
      <c r="C890" s="304"/>
      <c r="D890" s="18"/>
    </row>
    <row r="891" spans="1:4" ht="15.75" customHeight="1" thickBot="1" x14ac:dyDescent="0.3">
      <c r="A891" s="4"/>
      <c r="B891" s="303"/>
      <c r="C891" s="304"/>
      <c r="D891" s="18"/>
    </row>
    <row r="892" spans="1:4" ht="15.75" customHeight="1" thickBot="1" x14ac:dyDescent="0.3">
      <c r="A892" s="4"/>
      <c r="B892" s="303"/>
      <c r="C892" s="304"/>
      <c r="D892" s="18"/>
    </row>
    <row r="893" spans="1:4" ht="15.75" customHeight="1" thickBot="1" x14ac:dyDescent="0.3">
      <c r="A893" s="4"/>
      <c r="B893" s="303"/>
      <c r="C893" s="304"/>
      <c r="D893" s="18"/>
    </row>
    <row r="894" spans="1:4" ht="15.75" customHeight="1" thickBot="1" x14ac:dyDescent="0.3">
      <c r="A894" s="4"/>
      <c r="B894" s="303"/>
      <c r="C894" s="304"/>
      <c r="D894" s="18"/>
    </row>
    <row r="895" spans="1:4" ht="15.75" customHeight="1" thickBot="1" x14ac:dyDescent="0.3">
      <c r="A895" s="2"/>
      <c r="B895" s="3"/>
      <c r="C895" s="2"/>
      <c r="D895" s="1"/>
    </row>
    <row r="896" spans="1:4" ht="15.75" customHeight="1" thickBot="1" x14ac:dyDescent="0.3">
      <c r="A896" s="300"/>
      <c r="B896" s="301"/>
      <c r="C896" s="301"/>
      <c r="D896" s="302"/>
    </row>
    <row r="897" spans="1:4" ht="15.75" customHeight="1" x14ac:dyDescent="0.25">
      <c r="A897" s="5"/>
      <c r="B897" s="6"/>
      <c r="C897" s="7"/>
      <c r="D897" s="8"/>
    </row>
    <row r="898" spans="1:4" ht="15.75" customHeight="1" thickBot="1" x14ac:dyDescent="0.3">
      <c r="A898" s="9"/>
      <c r="B898" s="10"/>
      <c r="C898" s="10"/>
      <c r="D898" s="11"/>
    </row>
    <row r="899" spans="1:4" ht="15.75" customHeight="1" thickBot="1" x14ac:dyDescent="0.3">
      <c r="A899" s="15"/>
      <c r="B899" s="16"/>
      <c r="C899" s="21"/>
      <c r="D899" s="16"/>
    </row>
    <row r="900" spans="1:4" ht="15.75" customHeight="1" thickBot="1" x14ac:dyDescent="0.3">
      <c r="A900" s="12"/>
      <c r="B900" s="305"/>
      <c r="C900" s="306"/>
      <c r="D900" s="54"/>
    </row>
    <row r="901" spans="1:4" ht="15.75" customHeight="1" thickBot="1" x14ac:dyDescent="0.3">
      <c r="A901" s="38"/>
      <c r="B901" s="45"/>
      <c r="C901" s="45"/>
      <c r="D901" s="45"/>
    </row>
    <row r="902" spans="1:4" ht="15.75" customHeight="1" thickBot="1" x14ac:dyDescent="0.3">
      <c r="A902" s="19"/>
      <c r="B902" s="20"/>
      <c r="C902" s="50"/>
      <c r="D902" s="51"/>
    </row>
    <row r="903" spans="1:4" ht="15.75" customHeight="1" thickBot="1" x14ac:dyDescent="0.3">
      <c r="A903" s="19"/>
      <c r="B903" s="20"/>
      <c r="C903" s="52"/>
      <c r="D903" s="53"/>
    </row>
    <row r="904" spans="1:4" ht="15.75" customHeight="1" thickBot="1" x14ac:dyDescent="0.3">
      <c r="A904" s="19"/>
      <c r="B904" s="20"/>
      <c r="C904" s="13"/>
      <c r="D904" s="14"/>
    </row>
    <row r="905" spans="1:4" ht="15.75" customHeight="1" thickBot="1" x14ac:dyDescent="0.3">
      <c r="A905" s="2"/>
      <c r="B905" s="3"/>
      <c r="C905" s="2"/>
      <c r="D905" s="1"/>
    </row>
    <row r="906" spans="1:4" ht="15.75" customHeight="1" thickBot="1" x14ac:dyDescent="0.3">
      <c r="A906" s="4"/>
      <c r="B906" s="303"/>
      <c r="C906" s="304"/>
      <c r="D906" s="4"/>
    </row>
    <row r="907" spans="1:4" ht="15.75" customHeight="1" thickBot="1" x14ac:dyDescent="0.3">
      <c r="A907" s="4"/>
      <c r="B907" s="303"/>
      <c r="C907" s="304"/>
      <c r="D907" s="18"/>
    </row>
    <row r="908" spans="1:4" ht="15.75" customHeight="1" thickBot="1" x14ac:dyDescent="0.3">
      <c r="A908" s="4"/>
      <c r="B908" s="303"/>
      <c r="C908" s="304"/>
      <c r="D908" s="18"/>
    </row>
    <row r="909" spans="1:4" ht="15.75" customHeight="1" thickBot="1" x14ac:dyDescent="0.3">
      <c r="A909" s="4"/>
      <c r="B909" s="303"/>
      <c r="C909" s="304"/>
      <c r="D909" s="18"/>
    </row>
    <row r="910" spans="1:4" ht="15.75" customHeight="1" thickBot="1" x14ac:dyDescent="0.3">
      <c r="A910" s="4"/>
      <c r="B910" s="303"/>
      <c r="C910" s="304"/>
      <c r="D910" s="18"/>
    </row>
    <row r="911" spans="1:4" ht="15.75" customHeight="1" thickBot="1" x14ac:dyDescent="0.3">
      <c r="A911" s="4"/>
      <c r="B911" s="303"/>
      <c r="C911" s="304"/>
      <c r="D911" s="18"/>
    </row>
    <row r="912" spans="1:4" ht="15.75" customHeight="1" thickBot="1" x14ac:dyDescent="0.3">
      <c r="A912" s="4"/>
      <c r="B912" s="303"/>
      <c r="C912" s="304"/>
      <c r="D912" s="18"/>
    </row>
    <row r="913" spans="1:4" ht="15.75" customHeight="1" thickBot="1" x14ac:dyDescent="0.3">
      <c r="A913" s="4"/>
      <c r="B913" s="303"/>
      <c r="C913" s="304"/>
      <c r="D913" s="18"/>
    </row>
    <row r="914" spans="1:4" ht="15.75" customHeight="1" thickBot="1" x14ac:dyDescent="0.3">
      <c r="A914" s="4"/>
      <c r="B914" s="303"/>
      <c r="C914" s="304"/>
      <c r="D914" s="18"/>
    </row>
    <row r="915" spans="1:4" ht="15.75" customHeight="1" thickBot="1" x14ac:dyDescent="0.3">
      <c r="A915" s="2"/>
      <c r="B915" s="3"/>
      <c r="C915" s="2"/>
      <c r="D915" s="1"/>
    </row>
    <row r="916" spans="1:4" ht="15.75" customHeight="1" thickBot="1" x14ac:dyDescent="0.3">
      <c r="A916" s="300"/>
      <c r="B916" s="301"/>
      <c r="C916" s="301"/>
      <c r="D916" s="302"/>
    </row>
    <row r="917" spans="1:4" ht="15.75" customHeight="1" x14ac:dyDescent="0.25">
      <c r="A917" s="5"/>
      <c r="B917" s="6"/>
      <c r="C917" s="7"/>
      <c r="D917" s="8"/>
    </row>
    <row r="918" spans="1:4" ht="15.75" customHeight="1" thickBot="1" x14ac:dyDescent="0.3">
      <c r="A918" s="9"/>
      <c r="B918" s="10"/>
      <c r="C918" s="10"/>
      <c r="D918" s="11"/>
    </row>
    <row r="919" spans="1:4" ht="15.75" customHeight="1" thickBot="1" x14ac:dyDescent="0.3">
      <c r="A919" s="15"/>
      <c r="B919" s="16"/>
      <c r="C919" s="21"/>
      <c r="D919" s="16"/>
    </row>
    <row r="920" spans="1:4" ht="15.75" customHeight="1" thickBot="1" x14ac:dyDescent="0.3">
      <c r="A920" s="12"/>
      <c r="B920" s="305"/>
      <c r="C920" s="306"/>
      <c r="D920" s="54"/>
    </row>
    <row r="921" spans="1:4" ht="15.75" customHeight="1" thickBot="1" x14ac:dyDescent="0.3">
      <c r="A921" s="38"/>
      <c r="B921" s="45"/>
      <c r="C921" s="45"/>
      <c r="D921" s="45"/>
    </row>
    <row r="922" spans="1:4" ht="15.75" customHeight="1" thickBot="1" x14ac:dyDescent="0.3">
      <c r="A922" s="19"/>
      <c r="B922" s="20"/>
      <c r="C922" s="50"/>
      <c r="D922" s="51"/>
    </row>
    <row r="923" spans="1:4" ht="15.75" customHeight="1" thickBot="1" x14ac:dyDescent="0.3">
      <c r="A923" s="19"/>
      <c r="B923" s="20"/>
      <c r="C923" s="52"/>
      <c r="D923" s="53"/>
    </row>
    <row r="924" spans="1:4" ht="15.75" customHeight="1" thickBot="1" x14ac:dyDescent="0.3">
      <c r="A924" s="19"/>
      <c r="B924" s="20"/>
      <c r="C924" s="13"/>
      <c r="D924" s="14"/>
    </row>
    <row r="925" spans="1:4" ht="15.75" customHeight="1" thickBot="1" x14ac:dyDescent="0.3">
      <c r="A925" s="2"/>
      <c r="B925" s="3"/>
      <c r="C925" s="2"/>
      <c r="D925" s="1"/>
    </row>
    <row r="926" spans="1:4" ht="15.75" customHeight="1" thickBot="1" x14ac:dyDescent="0.3">
      <c r="A926" s="4"/>
      <c r="B926" s="303"/>
      <c r="C926" s="304"/>
      <c r="D926" s="4"/>
    </row>
    <row r="927" spans="1:4" ht="15.75" customHeight="1" thickBot="1" x14ac:dyDescent="0.3">
      <c r="A927" s="4"/>
      <c r="B927" s="303"/>
      <c r="C927" s="304"/>
      <c r="D927" s="18"/>
    </row>
    <row r="928" spans="1:4" ht="15.75" customHeight="1" thickBot="1" x14ac:dyDescent="0.3">
      <c r="A928" s="4"/>
      <c r="B928" s="303"/>
      <c r="C928" s="304"/>
      <c r="D928" s="18"/>
    </row>
    <row r="929" spans="1:4" ht="15.75" customHeight="1" thickBot="1" x14ac:dyDescent="0.3">
      <c r="A929" s="4"/>
      <c r="B929" s="303"/>
      <c r="C929" s="304"/>
      <c r="D929" s="18"/>
    </row>
    <row r="930" spans="1:4" ht="15.75" customHeight="1" thickBot="1" x14ac:dyDescent="0.3">
      <c r="A930" s="4"/>
      <c r="B930" s="303"/>
      <c r="C930" s="304"/>
      <c r="D930" s="18"/>
    </row>
    <row r="931" spans="1:4" ht="15.75" customHeight="1" thickBot="1" x14ac:dyDescent="0.3">
      <c r="A931" s="4"/>
      <c r="B931" s="303"/>
      <c r="C931" s="304"/>
      <c r="D931" s="18"/>
    </row>
    <row r="932" spans="1:4" ht="15.75" customHeight="1" thickBot="1" x14ac:dyDescent="0.3">
      <c r="A932" s="4"/>
      <c r="B932" s="303"/>
      <c r="C932" s="304"/>
      <c r="D932" s="18"/>
    </row>
    <row r="933" spans="1:4" ht="15.75" customHeight="1" thickBot="1" x14ac:dyDescent="0.3">
      <c r="A933" s="4"/>
      <c r="B933" s="303"/>
      <c r="C933" s="304"/>
      <c r="D933" s="18"/>
    </row>
    <row r="934" spans="1:4" ht="15.75" customHeight="1" thickBot="1" x14ac:dyDescent="0.3">
      <c r="A934" s="4"/>
      <c r="B934" s="303"/>
      <c r="C934" s="304"/>
      <c r="D934" s="18"/>
    </row>
    <row r="935" spans="1:4" ht="15.75" customHeight="1" thickBot="1" x14ac:dyDescent="0.3">
      <c r="A935" s="2"/>
      <c r="B935" s="3"/>
      <c r="C935" s="2"/>
      <c r="D935" s="1"/>
    </row>
    <row r="936" spans="1:4" ht="15.75" customHeight="1" thickBot="1" x14ac:dyDescent="0.3">
      <c r="A936" s="300"/>
      <c r="B936" s="301"/>
      <c r="C936" s="301"/>
      <c r="D936" s="302"/>
    </row>
    <row r="937" spans="1:4" ht="15.75" customHeight="1" x14ac:dyDescent="0.25">
      <c r="A937" s="5"/>
      <c r="B937" s="6"/>
      <c r="C937" s="7"/>
      <c r="D937" s="8"/>
    </row>
    <row r="938" spans="1:4" ht="15.75" customHeight="1" thickBot="1" x14ac:dyDescent="0.3">
      <c r="A938" s="9"/>
      <c r="B938" s="10"/>
      <c r="C938" s="10"/>
      <c r="D938" s="11"/>
    </row>
    <row r="939" spans="1:4" ht="15.75" customHeight="1" thickBot="1" x14ac:dyDescent="0.3">
      <c r="A939" s="15"/>
      <c r="B939" s="16"/>
      <c r="C939" s="21"/>
      <c r="D939" s="16"/>
    </row>
    <row r="940" spans="1:4" ht="15.75" customHeight="1" thickBot="1" x14ac:dyDescent="0.3">
      <c r="A940" s="12"/>
      <c r="B940" s="305"/>
      <c r="C940" s="306"/>
      <c r="D940" s="54"/>
    </row>
    <row r="941" spans="1:4" ht="15.75" customHeight="1" thickBot="1" x14ac:dyDescent="0.3">
      <c r="A941" s="38"/>
      <c r="B941" s="45"/>
      <c r="C941" s="45"/>
      <c r="D941" s="45"/>
    </row>
    <row r="942" spans="1:4" ht="15.75" customHeight="1" thickBot="1" x14ac:dyDescent="0.3">
      <c r="A942" s="19"/>
      <c r="B942" s="20"/>
      <c r="C942" s="50"/>
      <c r="D942" s="51"/>
    </row>
    <row r="943" spans="1:4" ht="15.75" customHeight="1" thickBot="1" x14ac:dyDescent="0.3">
      <c r="A943" s="19"/>
      <c r="B943" s="20"/>
      <c r="C943" s="52"/>
      <c r="D943" s="53"/>
    </row>
    <row r="944" spans="1:4" ht="15.75" customHeight="1" thickBot="1" x14ac:dyDescent="0.3">
      <c r="A944" s="19"/>
      <c r="B944" s="20"/>
      <c r="C944" s="13"/>
      <c r="D944" s="14"/>
    </row>
    <row r="945" spans="1:4" ht="15.75" customHeight="1" thickBot="1" x14ac:dyDescent="0.3">
      <c r="A945" s="2"/>
      <c r="B945" s="3"/>
      <c r="C945" s="2"/>
      <c r="D945" s="1"/>
    </row>
    <row r="946" spans="1:4" ht="15.75" customHeight="1" thickBot="1" x14ac:dyDescent="0.3">
      <c r="A946" s="4"/>
      <c r="B946" s="303"/>
      <c r="C946" s="304"/>
      <c r="D946" s="4"/>
    </row>
    <row r="947" spans="1:4" ht="15.75" customHeight="1" thickBot="1" x14ac:dyDescent="0.3">
      <c r="A947" s="4"/>
      <c r="B947" s="303"/>
      <c r="C947" s="304"/>
      <c r="D947" s="18"/>
    </row>
    <row r="948" spans="1:4" ht="15.75" customHeight="1" thickBot="1" x14ac:dyDescent="0.3">
      <c r="A948" s="4"/>
      <c r="B948" s="303"/>
      <c r="C948" s="304"/>
      <c r="D948" s="18"/>
    </row>
    <row r="949" spans="1:4" ht="15.75" customHeight="1" thickBot="1" x14ac:dyDescent="0.3">
      <c r="A949" s="4"/>
      <c r="B949" s="303"/>
      <c r="C949" s="304"/>
      <c r="D949" s="18"/>
    </row>
    <row r="950" spans="1:4" ht="15.75" customHeight="1" thickBot="1" x14ac:dyDescent="0.3">
      <c r="A950" s="4"/>
      <c r="B950" s="303"/>
      <c r="C950" s="304"/>
      <c r="D950" s="18"/>
    </row>
    <row r="951" spans="1:4" ht="15.75" customHeight="1" thickBot="1" x14ac:dyDescent="0.3">
      <c r="A951" s="4"/>
      <c r="B951" s="303"/>
      <c r="C951" s="304"/>
      <c r="D951" s="18"/>
    </row>
    <row r="952" spans="1:4" ht="15.75" customHeight="1" thickBot="1" x14ac:dyDescent="0.3">
      <c r="A952" s="4"/>
      <c r="B952" s="303"/>
      <c r="C952" s="304"/>
      <c r="D952" s="18"/>
    </row>
    <row r="953" spans="1:4" ht="15.75" customHeight="1" thickBot="1" x14ac:dyDescent="0.3">
      <c r="A953" s="4"/>
      <c r="B953" s="303"/>
      <c r="C953" s="304"/>
      <c r="D953" s="18"/>
    </row>
    <row r="954" spans="1:4" ht="15.75" customHeight="1" thickBot="1" x14ac:dyDescent="0.3">
      <c r="A954" s="4"/>
      <c r="B954" s="303"/>
      <c r="C954" s="304"/>
      <c r="D954" s="18"/>
    </row>
    <row r="955" spans="1:4" ht="15.75" customHeight="1" thickBot="1" x14ac:dyDescent="0.3">
      <c r="A955" s="2"/>
      <c r="B955" s="3"/>
      <c r="C955" s="2"/>
      <c r="D955" s="1"/>
    </row>
    <row r="956" spans="1:4" ht="15.75" customHeight="1" thickBot="1" x14ac:dyDescent="0.3">
      <c r="A956" s="300"/>
      <c r="B956" s="301"/>
      <c r="C956" s="301"/>
      <c r="D956" s="302"/>
    </row>
    <row r="957" spans="1:4" ht="15.75" customHeight="1" x14ac:dyDescent="0.25">
      <c r="A957" s="5"/>
      <c r="B957" s="6"/>
      <c r="C957" s="7"/>
      <c r="D957" s="8"/>
    </row>
    <row r="958" spans="1:4" ht="15.75" customHeight="1" thickBot="1" x14ac:dyDescent="0.3">
      <c r="A958" s="9"/>
      <c r="B958" s="10"/>
      <c r="C958" s="10"/>
      <c r="D958" s="11"/>
    </row>
    <row r="959" spans="1:4" ht="15.75" customHeight="1" thickBot="1" x14ac:dyDescent="0.3">
      <c r="A959" s="15"/>
      <c r="B959" s="16"/>
      <c r="C959" s="21"/>
      <c r="D959" s="16"/>
    </row>
    <row r="960" spans="1:4" ht="15.75" customHeight="1" thickBot="1" x14ac:dyDescent="0.3">
      <c r="A960" s="12"/>
      <c r="B960" s="305"/>
      <c r="C960" s="306"/>
      <c r="D960" s="54"/>
    </row>
    <row r="961" spans="1:4" ht="15.75" customHeight="1" thickBot="1" x14ac:dyDescent="0.3">
      <c r="A961" s="38"/>
      <c r="B961" s="45"/>
      <c r="C961" s="45"/>
      <c r="D961" s="45"/>
    </row>
    <row r="962" spans="1:4" ht="15.75" customHeight="1" thickBot="1" x14ac:dyDescent="0.3">
      <c r="A962" s="19"/>
      <c r="B962" s="20"/>
      <c r="C962" s="50"/>
      <c r="D962" s="51"/>
    </row>
    <row r="963" spans="1:4" ht="15.75" customHeight="1" thickBot="1" x14ac:dyDescent="0.3">
      <c r="A963" s="19"/>
      <c r="B963" s="20"/>
      <c r="C963" s="52"/>
      <c r="D963" s="53"/>
    </row>
    <row r="964" spans="1:4" ht="15.75" customHeight="1" thickBot="1" x14ac:dyDescent="0.3">
      <c r="A964" s="19"/>
      <c r="B964" s="20"/>
      <c r="C964" s="13"/>
      <c r="D964" s="14"/>
    </row>
    <row r="965" spans="1:4" ht="15.75" customHeight="1" thickBot="1" x14ac:dyDescent="0.3">
      <c r="A965" s="2"/>
      <c r="B965" s="3"/>
      <c r="C965" s="2"/>
      <c r="D965" s="1"/>
    </row>
    <row r="966" spans="1:4" ht="15.75" customHeight="1" thickBot="1" x14ac:dyDescent="0.3">
      <c r="A966" s="4"/>
      <c r="B966" s="303"/>
      <c r="C966" s="304"/>
      <c r="D966" s="4"/>
    </row>
    <row r="967" spans="1:4" ht="15.75" customHeight="1" thickBot="1" x14ac:dyDescent="0.3">
      <c r="A967" s="4"/>
      <c r="B967" s="303"/>
      <c r="C967" s="304"/>
      <c r="D967" s="18"/>
    </row>
    <row r="968" spans="1:4" ht="15.75" customHeight="1" thickBot="1" x14ac:dyDescent="0.3">
      <c r="A968" s="4"/>
      <c r="B968" s="303"/>
      <c r="C968" s="304"/>
      <c r="D968" s="18"/>
    </row>
    <row r="969" spans="1:4" ht="15.75" customHeight="1" thickBot="1" x14ac:dyDescent="0.3">
      <c r="A969" s="4"/>
      <c r="B969" s="303"/>
      <c r="C969" s="304"/>
      <c r="D969" s="18"/>
    </row>
    <row r="970" spans="1:4" ht="15.75" customHeight="1" thickBot="1" x14ac:dyDescent="0.3">
      <c r="A970" s="4"/>
      <c r="B970" s="303"/>
      <c r="C970" s="304"/>
      <c r="D970" s="18"/>
    </row>
    <row r="971" spans="1:4" ht="15.75" customHeight="1" thickBot="1" x14ac:dyDescent="0.3">
      <c r="A971" s="4"/>
      <c r="B971" s="303"/>
      <c r="C971" s="304"/>
      <c r="D971" s="18"/>
    </row>
    <row r="972" spans="1:4" ht="15.75" customHeight="1" thickBot="1" x14ac:dyDescent="0.3">
      <c r="A972" s="4"/>
      <c r="B972" s="303"/>
      <c r="C972" s="304"/>
      <c r="D972" s="18"/>
    </row>
    <row r="973" spans="1:4" ht="15.75" customHeight="1" thickBot="1" x14ac:dyDescent="0.3">
      <c r="A973" s="4"/>
      <c r="B973" s="303"/>
      <c r="C973" s="304"/>
      <c r="D973" s="18"/>
    </row>
    <row r="974" spans="1:4" ht="15.75" customHeight="1" thickBot="1" x14ac:dyDescent="0.3">
      <c r="A974" s="4"/>
      <c r="B974" s="303"/>
      <c r="C974" s="304"/>
      <c r="D974" s="18"/>
    </row>
    <row r="975" spans="1:4" ht="15.75" customHeight="1" thickBot="1" x14ac:dyDescent="0.3">
      <c r="A975" s="2"/>
      <c r="B975" s="3"/>
      <c r="C975" s="2"/>
      <c r="D975" s="1"/>
    </row>
    <row r="976" spans="1:4" ht="15.75" customHeight="1" thickBot="1" x14ac:dyDescent="0.3">
      <c r="A976" s="300"/>
      <c r="B976" s="301"/>
      <c r="C976" s="301"/>
      <c r="D976" s="302"/>
    </row>
    <row r="977" spans="1:4" ht="15.75" customHeight="1" x14ac:dyDescent="0.25">
      <c r="A977" s="5"/>
      <c r="B977" s="6"/>
      <c r="C977" s="7"/>
      <c r="D977" s="8"/>
    </row>
    <row r="978" spans="1:4" ht="15.75" customHeight="1" thickBot="1" x14ac:dyDescent="0.3">
      <c r="A978" s="9"/>
      <c r="B978" s="10"/>
      <c r="C978" s="10"/>
      <c r="D978" s="11"/>
    </row>
    <row r="979" spans="1:4" ht="15.75" customHeight="1" thickBot="1" x14ac:dyDescent="0.3">
      <c r="A979" s="15"/>
      <c r="B979" s="16"/>
      <c r="C979" s="21"/>
      <c r="D979" s="16"/>
    </row>
    <row r="980" spans="1:4" ht="15.75" customHeight="1" thickBot="1" x14ac:dyDescent="0.3">
      <c r="A980" s="12"/>
      <c r="B980" s="305"/>
      <c r="C980" s="306"/>
      <c r="D980" s="54"/>
    </row>
    <row r="981" spans="1:4" ht="15.75" customHeight="1" thickBot="1" x14ac:dyDescent="0.3">
      <c r="A981" s="38"/>
      <c r="B981" s="45"/>
      <c r="C981" s="45"/>
      <c r="D981" s="45"/>
    </row>
    <row r="982" spans="1:4" ht="15.75" customHeight="1" thickBot="1" x14ac:dyDescent="0.3">
      <c r="A982" s="19"/>
      <c r="B982" s="20"/>
      <c r="C982" s="50"/>
      <c r="D982" s="51"/>
    </row>
    <row r="983" spans="1:4" ht="15.75" customHeight="1" thickBot="1" x14ac:dyDescent="0.3">
      <c r="A983" s="19"/>
      <c r="B983" s="20"/>
      <c r="C983" s="52"/>
      <c r="D983" s="53"/>
    </row>
    <row r="984" spans="1:4" ht="15.75" customHeight="1" thickBot="1" x14ac:dyDescent="0.3">
      <c r="A984" s="19"/>
      <c r="B984" s="20"/>
      <c r="C984" s="13"/>
      <c r="D984" s="14"/>
    </row>
    <row r="985" spans="1:4" ht="15.75" customHeight="1" thickBot="1" x14ac:dyDescent="0.3">
      <c r="A985" s="2"/>
      <c r="B985" s="3"/>
      <c r="C985" s="2"/>
      <c r="D985" s="1"/>
    </row>
    <row r="986" spans="1:4" ht="15.75" customHeight="1" thickBot="1" x14ac:dyDescent="0.3">
      <c r="A986" s="4"/>
      <c r="B986" s="303"/>
      <c r="C986" s="304"/>
      <c r="D986" s="4"/>
    </row>
    <row r="987" spans="1:4" ht="15.75" customHeight="1" thickBot="1" x14ac:dyDescent="0.3">
      <c r="A987" s="4"/>
      <c r="B987" s="303"/>
      <c r="C987" s="304"/>
      <c r="D987" s="18"/>
    </row>
    <row r="988" spans="1:4" ht="15.75" customHeight="1" thickBot="1" x14ac:dyDescent="0.3">
      <c r="A988" s="4"/>
      <c r="B988" s="303"/>
      <c r="C988" s="304"/>
      <c r="D988" s="18"/>
    </row>
    <row r="989" spans="1:4" ht="15.75" customHeight="1" thickBot="1" x14ac:dyDescent="0.3">
      <c r="A989" s="4"/>
      <c r="B989" s="303"/>
      <c r="C989" s="304"/>
      <c r="D989" s="18"/>
    </row>
    <row r="990" spans="1:4" ht="15.75" customHeight="1" thickBot="1" x14ac:dyDescent="0.3">
      <c r="A990" s="4"/>
      <c r="B990" s="303"/>
      <c r="C990" s="304"/>
      <c r="D990" s="18"/>
    </row>
    <row r="991" spans="1:4" ht="15.75" customHeight="1" thickBot="1" x14ac:dyDescent="0.3">
      <c r="A991" s="4"/>
      <c r="B991" s="303"/>
      <c r="C991" s="304"/>
      <c r="D991" s="18"/>
    </row>
    <row r="992" spans="1:4" ht="15.75" customHeight="1" thickBot="1" x14ac:dyDescent="0.3">
      <c r="A992" s="4"/>
      <c r="B992" s="303"/>
      <c r="C992" s="304"/>
      <c r="D992" s="18"/>
    </row>
    <row r="993" spans="1:4" ht="15.75" customHeight="1" thickBot="1" x14ac:dyDescent="0.3">
      <c r="A993" s="4"/>
      <c r="B993" s="303"/>
      <c r="C993" s="304"/>
      <c r="D993" s="18"/>
    </row>
    <row r="994" spans="1:4" ht="15.75" customHeight="1" thickBot="1" x14ac:dyDescent="0.3">
      <c r="A994" s="4"/>
      <c r="B994" s="303"/>
      <c r="C994" s="304"/>
      <c r="D994" s="18"/>
    </row>
    <row r="995" spans="1:4" ht="15.75" customHeight="1" thickBot="1" x14ac:dyDescent="0.3">
      <c r="A995" s="2"/>
      <c r="B995" s="3"/>
      <c r="C995" s="2"/>
      <c r="D995" s="1"/>
    </row>
    <row r="996" spans="1:4" ht="15.75" customHeight="1" thickBot="1" x14ac:dyDescent="0.3">
      <c r="A996" s="300"/>
      <c r="B996" s="301"/>
      <c r="C996" s="301"/>
      <c r="D996" s="302"/>
    </row>
    <row r="997" spans="1:4" ht="15.75" customHeight="1" x14ac:dyDescent="0.25">
      <c r="A997" s="5"/>
      <c r="B997" s="6"/>
      <c r="C997" s="7"/>
      <c r="D997" s="8"/>
    </row>
    <row r="998" spans="1:4" ht="15.75" customHeight="1" thickBot="1" x14ac:dyDescent="0.3">
      <c r="A998" s="9"/>
      <c r="B998" s="10"/>
      <c r="C998" s="10"/>
      <c r="D998" s="11"/>
    </row>
    <row r="999" spans="1:4" ht="15.75" customHeight="1" thickBot="1" x14ac:dyDescent="0.3">
      <c r="A999" s="15"/>
      <c r="B999" s="16"/>
      <c r="C999" s="21"/>
      <c r="D999" s="16"/>
    </row>
    <row r="1000" spans="1:4" ht="15.75" customHeight="1" thickBot="1" x14ac:dyDescent="0.3">
      <c r="A1000" s="12"/>
      <c r="B1000" s="305"/>
      <c r="C1000" s="306"/>
      <c r="D1000" s="54"/>
    </row>
    <row r="1001" spans="1:4" ht="15.75" customHeight="1" thickBot="1" x14ac:dyDescent="0.3">
      <c r="A1001" s="38"/>
      <c r="B1001" s="45"/>
      <c r="C1001" s="45"/>
      <c r="D1001" s="45"/>
    </row>
    <row r="1002" spans="1:4" ht="15.75" customHeight="1" thickBot="1" x14ac:dyDescent="0.3">
      <c r="A1002" s="19"/>
      <c r="B1002" s="20"/>
      <c r="C1002" s="50"/>
      <c r="D1002" s="51"/>
    </row>
    <row r="1003" spans="1:4" ht="15.75" customHeight="1" thickBot="1" x14ac:dyDescent="0.3">
      <c r="A1003" s="19"/>
      <c r="B1003" s="20"/>
      <c r="C1003" s="52"/>
      <c r="D1003" s="53"/>
    </row>
    <row r="1004" spans="1:4" ht="15.75" customHeight="1" thickBot="1" x14ac:dyDescent="0.3">
      <c r="A1004" s="19"/>
      <c r="B1004" s="20"/>
      <c r="C1004" s="13"/>
      <c r="D1004" s="14"/>
    </row>
    <row r="1005" spans="1:4" ht="15.75" customHeight="1" thickBot="1" x14ac:dyDescent="0.3">
      <c r="A1005" s="2"/>
      <c r="B1005" s="3"/>
      <c r="C1005" s="2"/>
      <c r="D1005" s="1"/>
    </row>
    <row r="1006" spans="1:4" ht="15.75" customHeight="1" thickBot="1" x14ac:dyDescent="0.3">
      <c r="A1006" s="4"/>
      <c r="B1006" s="303"/>
      <c r="C1006" s="304"/>
      <c r="D1006" s="4"/>
    </row>
    <row r="1007" spans="1:4" ht="15.75" customHeight="1" thickBot="1" x14ac:dyDescent="0.3">
      <c r="A1007" s="4"/>
      <c r="B1007" s="303"/>
      <c r="C1007" s="304"/>
      <c r="D1007" s="18"/>
    </row>
    <row r="1008" spans="1:4" ht="15.75" customHeight="1" thickBot="1" x14ac:dyDescent="0.3">
      <c r="A1008" s="4"/>
      <c r="B1008" s="303"/>
      <c r="C1008" s="304"/>
      <c r="D1008" s="18"/>
    </row>
    <row r="1009" spans="1:4" ht="15.75" customHeight="1" thickBot="1" x14ac:dyDescent="0.3">
      <c r="A1009" s="4"/>
      <c r="B1009" s="303"/>
      <c r="C1009" s="304"/>
      <c r="D1009" s="18"/>
    </row>
    <row r="1010" spans="1:4" ht="15.75" customHeight="1" thickBot="1" x14ac:dyDescent="0.3">
      <c r="A1010" s="4"/>
      <c r="B1010" s="303"/>
      <c r="C1010" s="304"/>
      <c r="D1010" s="18"/>
    </row>
    <row r="1011" spans="1:4" ht="15.75" customHeight="1" thickBot="1" x14ac:dyDescent="0.3">
      <c r="A1011" s="4"/>
      <c r="B1011" s="303"/>
      <c r="C1011" s="304"/>
      <c r="D1011" s="18"/>
    </row>
    <row r="1012" spans="1:4" ht="15.75" customHeight="1" thickBot="1" x14ac:dyDescent="0.3">
      <c r="A1012" s="4"/>
      <c r="B1012" s="303"/>
      <c r="C1012" s="304"/>
      <c r="D1012" s="18"/>
    </row>
    <row r="1013" spans="1:4" ht="15.75" customHeight="1" thickBot="1" x14ac:dyDescent="0.3">
      <c r="A1013" s="4"/>
      <c r="B1013" s="303"/>
      <c r="C1013" s="304"/>
      <c r="D1013" s="18"/>
    </row>
    <row r="1014" spans="1:4" ht="15.75" customHeight="1" thickBot="1" x14ac:dyDescent="0.3">
      <c r="A1014" s="4"/>
      <c r="B1014" s="303"/>
      <c r="C1014" s="304"/>
      <c r="D1014" s="18"/>
    </row>
    <row r="1015" spans="1:4" ht="15.75" customHeight="1" thickBot="1" x14ac:dyDescent="0.3">
      <c r="A1015" s="2"/>
      <c r="B1015" s="3"/>
      <c r="C1015" s="2"/>
      <c r="D1015" s="1"/>
    </row>
    <row r="1016" spans="1:4" ht="15.75" customHeight="1" thickBot="1" x14ac:dyDescent="0.3">
      <c r="A1016" s="300"/>
      <c r="B1016" s="301"/>
      <c r="C1016" s="301"/>
      <c r="D1016" s="302"/>
    </row>
    <row r="1017" spans="1:4" ht="15.75" customHeight="1" x14ac:dyDescent="0.25">
      <c r="A1017" s="5"/>
      <c r="B1017" s="6"/>
      <c r="C1017" s="7"/>
      <c r="D1017" s="8"/>
    </row>
    <row r="1018" spans="1:4" ht="15.75" customHeight="1" thickBot="1" x14ac:dyDescent="0.3">
      <c r="A1018" s="9"/>
      <c r="B1018" s="10"/>
      <c r="C1018" s="10"/>
      <c r="D1018" s="11"/>
    </row>
    <row r="1019" spans="1:4" ht="15.75" customHeight="1" thickBot="1" x14ac:dyDescent="0.3">
      <c r="A1019" s="15"/>
      <c r="B1019" s="16"/>
      <c r="C1019" s="21"/>
      <c r="D1019" s="16"/>
    </row>
    <row r="1020" spans="1:4" ht="15.75" customHeight="1" thickBot="1" x14ac:dyDescent="0.3">
      <c r="A1020" s="12"/>
      <c r="B1020" s="305"/>
      <c r="C1020" s="306"/>
      <c r="D1020" s="54"/>
    </row>
    <row r="1021" spans="1:4" ht="15.75" customHeight="1" thickBot="1" x14ac:dyDescent="0.3">
      <c r="A1021" s="38"/>
      <c r="B1021" s="45"/>
      <c r="C1021" s="45"/>
      <c r="D1021" s="45"/>
    </row>
    <row r="1022" spans="1:4" ht="15.75" customHeight="1" thickBot="1" x14ac:dyDescent="0.3">
      <c r="A1022" s="19"/>
      <c r="B1022" s="20"/>
      <c r="C1022" s="50"/>
      <c r="D1022" s="51"/>
    </row>
    <row r="1023" spans="1:4" ht="15.75" customHeight="1" thickBot="1" x14ac:dyDescent="0.3">
      <c r="A1023" s="19"/>
      <c r="B1023" s="20"/>
      <c r="C1023" s="52"/>
      <c r="D1023" s="53"/>
    </row>
    <row r="1024" spans="1:4" ht="15.75" customHeight="1" thickBot="1" x14ac:dyDescent="0.3">
      <c r="A1024" s="19"/>
      <c r="B1024" s="20"/>
      <c r="C1024" s="13"/>
      <c r="D1024" s="14"/>
    </row>
    <row r="1025" spans="1:4" ht="15.75" customHeight="1" thickBot="1" x14ac:dyDescent="0.3">
      <c r="A1025" s="2"/>
      <c r="B1025" s="3"/>
      <c r="C1025" s="2"/>
      <c r="D1025" s="1"/>
    </row>
    <row r="1026" spans="1:4" ht="15.75" customHeight="1" thickBot="1" x14ac:dyDescent="0.3">
      <c r="A1026" s="4"/>
      <c r="B1026" s="303"/>
      <c r="C1026" s="304"/>
      <c r="D1026" s="4"/>
    </row>
    <row r="1027" spans="1:4" ht="15.75" customHeight="1" thickBot="1" x14ac:dyDescent="0.3">
      <c r="A1027" s="4"/>
      <c r="B1027" s="303"/>
      <c r="C1027" s="304"/>
      <c r="D1027" s="18"/>
    </row>
    <row r="1028" spans="1:4" ht="15.75" customHeight="1" thickBot="1" x14ac:dyDescent="0.3">
      <c r="A1028" s="4"/>
      <c r="B1028" s="303"/>
      <c r="C1028" s="304"/>
      <c r="D1028" s="18"/>
    </row>
    <row r="1029" spans="1:4" ht="15.75" customHeight="1" thickBot="1" x14ac:dyDescent="0.3">
      <c r="A1029" s="4"/>
      <c r="B1029" s="303"/>
      <c r="C1029" s="304"/>
      <c r="D1029" s="18"/>
    </row>
    <row r="1030" spans="1:4" ht="15.75" customHeight="1" thickBot="1" x14ac:dyDescent="0.3">
      <c r="A1030" s="4"/>
      <c r="B1030" s="303"/>
      <c r="C1030" s="304"/>
      <c r="D1030" s="18"/>
    </row>
    <row r="1031" spans="1:4" ht="15.75" customHeight="1" thickBot="1" x14ac:dyDescent="0.3">
      <c r="A1031" s="4"/>
      <c r="B1031" s="303"/>
      <c r="C1031" s="304"/>
      <c r="D1031" s="18"/>
    </row>
    <row r="1032" spans="1:4" ht="15.75" customHeight="1" thickBot="1" x14ac:dyDescent="0.3">
      <c r="A1032" s="4"/>
      <c r="B1032" s="303"/>
      <c r="C1032" s="304"/>
      <c r="D1032" s="18"/>
    </row>
    <row r="1033" spans="1:4" ht="15.75" customHeight="1" thickBot="1" x14ac:dyDescent="0.3">
      <c r="A1033" s="4"/>
      <c r="B1033" s="303"/>
      <c r="C1033" s="304"/>
      <c r="D1033" s="18"/>
    </row>
    <row r="1034" spans="1:4" ht="15.75" customHeight="1" thickBot="1" x14ac:dyDescent="0.3">
      <c r="A1034" s="4"/>
      <c r="B1034" s="303"/>
      <c r="C1034" s="304"/>
      <c r="D1034" s="18"/>
    </row>
    <row r="1035" spans="1:4" ht="15.75" customHeight="1" thickBot="1" x14ac:dyDescent="0.3">
      <c r="A1035" s="2"/>
      <c r="B1035" s="3"/>
      <c r="C1035" s="2"/>
      <c r="D1035" s="1"/>
    </row>
    <row r="1036" spans="1:4" ht="15.75" customHeight="1" thickBot="1" x14ac:dyDescent="0.3">
      <c r="A1036" s="300"/>
      <c r="B1036" s="301"/>
      <c r="C1036" s="301"/>
      <c r="D1036" s="302"/>
    </row>
    <row r="1037" spans="1:4" ht="15.75" customHeight="1" x14ac:dyDescent="0.25">
      <c r="A1037" s="5"/>
      <c r="B1037" s="6"/>
      <c r="C1037" s="7"/>
      <c r="D1037" s="8"/>
    </row>
    <row r="1038" spans="1:4" ht="15.75" customHeight="1" thickBot="1" x14ac:dyDescent="0.3">
      <c r="A1038" s="9"/>
      <c r="B1038" s="10"/>
      <c r="C1038" s="10"/>
      <c r="D1038" s="11"/>
    </row>
    <row r="1039" spans="1:4" ht="15.75" customHeight="1" thickBot="1" x14ac:dyDescent="0.3">
      <c r="A1039" s="15"/>
      <c r="B1039" s="16"/>
      <c r="C1039" s="21"/>
      <c r="D1039" s="16"/>
    </row>
    <row r="1040" spans="1:4" ht="15.75" customHeight="1" thickBot="1" x14ac:dyDescent="0.3">
      <c r="A1040" s="12"/>
      <c r="B1040" s="305"/>
      <c r="C1040" s="306"/>
      <c r="D1040" s="54"/>
    </row>
    <row r="1041" spans="1:4" ht="15.75" customHeight="1" thickBot="1" x14ac:dyDescent="0.3">
      <c r="A1041" s="38"/>
      <c r="B1041" s="45"/>
      <c r="C1041" s="45"/>
      <c r="D1041" s="45"/>
    </row>
    <row r="1042" spans="1:4" ht="15.75" customHeight="1" thickBot="1" x14ac:dyDescent="0.3">
      <c r="A1042" s="19"/>
      <c r="B1042" s="20"/>
      <c r="C1042" s="50"/>
      <c r="D1042" s="51"/>
    </row>
    <row r="1043" spans="1:4" ht="15.75" customHeight="1" thickBot="1" x14ac:dyDescent="0.3">
      <c r="A1043" s="19"/>
      <c r="B1043" s="20"/>
      <c r="C1043" s="52"/>
      <c r="D1043" s="53"/>
    </row>
    <row r="1044" spans="1:4" ht="15.75" customHeight="1" thickBot="1" x14ac:dyDescent="0.3">
      <c r="A1044" s="19"/>
      <c r="B1044" s="20"/>
      <c r="C1044" s="13"/>
      <c r="D1044" s="14"/>
    </row>
    <row r="1045" spans="1:4" ht="15.75" customHeight="1" thickBot="1" x14ac:dyDescent="0.3">
      <c r="A1045" s="2"/>
      <c r="B1045" s="3"/>
      <c r="C1045" s="2"/>
      <c r="D1045" s="1"/>
    </row>
    <row r="1046" spans="1:4" ht="15.75" customHeight="1" thickBot="1" x14ac:dyDescent="0.3">
      <c r="A1046" s="4"/>
      <c r="B1046" s="303"/>
      <c r="C1046" s="304"/>
      <c r="D1046" s="4"/>
    </row>
    <row r="1047" spans="1:4" ht="15.75" customHeight="1" thickBot="1" x14ac:dyDescent="0.3">
      <c r="A1047" s="4"/>
      <c r="B1047" s="303"/>
      <c r="C1047" s="304"/>
      <c r="D1047" s="18"/>
    </row>
    <row r="1048" spans="1:4" ht="15.75" customHeight="1" thickBot="1" x14ac:dyDescent="0.3">
      <c r="A1048" s="4"/>
      <c r="B1048" s="303"/>
      <c r="C1048" s="304"/>
      <c r="D1048" s="18"/>
    </row>
    <row r="1049" spans="1:4" ht="15.75" customHeight="1" thickBot="1" x14ac:dyDescent="0.3">
      <c r="A1049" s="4"/>
      <c r="B1049" s="303"/>
      <c r="C1049" s="304"/>
      <c r="D1049" s="18"/>
    </row>
    <row r="1050" spans="1:4" ht="15.75" customHeight="1" thickBot="1" x14ac:dyDescent="0.3">
      <c r="A1050" s="4"/>
      <c r="B1050" s="303"/>
      <c r="C1050" s="304"/>
      <c r="D1050" s="18"/>
    </row>
    <row r="1051" spans="1:4" ht="15.75" customHeight="1" thickBot="1" x14ac:dyDescent="0.3">
      <c r="A1051" s="4"/>
      <c r="B1051" s="303"/>
      <c r="C1051" s="304"/>
      <c r="D1051" s="18"/>
    </row>
    <row r="1052" spans="1:4" ht="15.75" customHeight="1" thickBot="1" x14ac:dyDescent="0.3">
      <c r="A1052" s="4"/>
      <c r="B1052" s="303"/>
      <c r="C1052" s="304"/>
      <c r="D1052" s="18"/>
    </row>
    <row r="1053" spans="1:4" ht="15.75" customHeight="1" thickBot="1" x14ac:dyDescent="0.3">
      <c r="A1053" s="4"/>
      <c r="B1053" s="303"/>
      <c r="C1053" s="304"/>
      <c r="D1053" s="18"/>
    </row>
    <row r="1054" spans="1:4" ht="15.75" customHeight="1" thickBot="1" x14ac:dyDescent="0.3">
      <c r="A1054" s="4"/>
      <c r="B1054" s="303"/>
      <c r="C1054" s="304"/>
      <c r="D1054" s="18"/>
    </row>
    <row r="1055" spans="1:4" ht="15.75" customHeight="1" thickBot="1" x14ac:dyDescent="0.3">
      <c r="A1055" s="2"/>
      <c r="B1055" s="3"/>
      <c r="C1055" s="2"/>
      <c r="D1055" s="1"/>
    </row>
    <row r="1056" spans="1:4" ht="15.75" customHeight="1" thickBot="1" x14ac:dyDescent="0.3">
      <c r="A1056" s="300"/>
      <c r="B1056" s="301"/>
      <c r="C1056" s="301"/>
      <c r="D1056" s="302"/>
    </row>
    <row r="1057" spans="1:4" ht="15.75" customHeight="1" x14ac:dyDescent="0.25">
      <c r="A1057" s="5"/>
      <c r="B1057" s="6"/>
      <c r="C1057" s="7"/>
      <c r="D1057" s="8"/>
    </row>
    <row r="1058" spans="1:4" ht="15.75" customHeight="1" thickBot="1" x14ac:dyDescent="0.3">
      <c r="A1058" s="9"/>
      <c r="B1058" s="10"/>
      <c r="C1058" s="10"/>
      <c r="D1058" s="11"/>
    </row>
    <row r="1059" spans="1:4" ht="15.75" customHeight="1" thickBot="1" x14ac:dyDescent="0.3">
      <c r="A1059" s="15"/>
      <c r="B1059" s="16"/>
      <c r="C1059" s="21"/>
      <c r="D1059" s="16"/>
    </row>
    <row r="1060" spans="1:4" ht="15.75" customHeight="1" thickBot="1" x14ac:dyDescent="0.3">
      <c r="A1060" s="12"/>
      <c r="B1060" s="305"/>
      <c r="C1060" s="306"/>
      <c r="D1060" s="54"/>
    </row>
    <row r="1061" spans="1:4" ht="15.75" customHeight="1" thickBot="1" x14ac:dyDescent="0.3">
      <c r="A1061" s="38"/>
      <c r="B1061" s="45"/>
      <c r="C1061" s="45"/>
      <c r="D1061" s="45"/>
    </row>
    <row r="1062" spans="1:4" ht="15.75" customHeight="1" thickBot="1" x14ac:dyDescent="0.3">
      <c r="A1062" s="19"/>
      <c r="B1062" s="20"/>
      <c r="C1062" s="50"/>
      <c r="D1062" s="51"/>
    </row>
    <row r="1063" spans="1:4" ht="15.75" customHeight="1" thickBot="1" x14ac:dyDescent="0.3">
      <c r="A1063" s="19"/>
      <c r="B1063" s="20"/>
      <c r="C1063" s="52"/>
      <c r="D1063" s="53"/>
    </row>
    <row r="1064" spans="1:4" ht="15.75" customHeight="1" thickBot="1" x14ac:dyDescent="0.3">
      <c r="A1064" s="19"/>
      <c r="B1064" s="20"/>
      <c r="C1064" s="13"/>
      <c r="D1064" s="14"/>
    </row>
    <row r="1065" spans="1:4" ht="15.75" customHeight="1" thickBot="1" x14ac:dyDescent="0.3">
      <c r="A1065" s="2"/>
      <c r="B1065" s="3"/>
      <c r="C1065" s="2"/>
      <c r="D1065" s="1"/>
    </row>
    <row r="1066" spans="1:4" ht="15.75" customHeight="1" thickBot="1" x14ac:dyDescent="0.3">
      <c r="A1066" s="4"/>
      <c r="B1066" s="303"/>
      <c r="C1066" s="304"/>
      <c r="D1066" s="4"/>
    </row>
    <row r="1067" spans="1:4" ht="15.75" customHeight="1" thickBot="1" x14ac:dyDescent="0.3">
      <c r="A1067" s="4"/>
      <c r="B1067" s="303"/>
      <c r="C1067" s="304"/>
      <c r="D1067" s="18"/>
    </row>
    <row r="1068" spans="1:4" ht="15.75" customHeight="1" thickBot="1" x14ac:dyDescent="0.3">
      <c r="A1068" s="4"/>
      <c r="B1068" s="303"/>
      <c r="C1068" s="304"/>
      <c r="D1068" s="18"/>
    </row>
    <row r="1069" spans="1:4" ht="15.75" customHeight="1" thickBot="1" x14ac:dyDescent="0.3">
      <c r="A1069" s="4"/>
      <c r="B1069" s="303"/>
      <c r="C1069" s="304"/>
      <c r="D1069" s="18"/>
    </row>
    <row r="1070" spans="1:4" ht="15.75" customHeight="1" thickBot="1" x14ac:dyDescent="0.3">
      <c r="A1070" s="4"/>
      <c r="B1070" s="303"/>
      <c r="C1070" s="304"/>
      <c r="D1070" s="18"/>
    </row>
    <row r="1071" spans="1:4" ht="15.75" customHeight="1" thickBot="1" x14ac:dyDescent="0.3">
      <c r="A1071" s="4"/>
      <c r="B1071" s="303"/>
      <c r="C1071" s="304"/>
      <c r="D1071" s="18"/>
    </row>
    <row r="1072" spans="1:4" ht="15.75" customHeight="1" thickBot="1" x14ac:dyDescent="0.3">
      <c r="A1072" s="4"/>
      <c r="B1072" s="303"/>
      <c r="C1072" s="304"/>
      <c r="D1072" s="18"/>
    </row>
    <row r="1073" spans="1:4" ht="15.75" customHeight="1" thickBot="1" x14ac:dyDescent="0.3">
      <c r="A1073" s="4"/>
      <c r="B1073" s="303"/>
      <c r="C1073" s="304"/>
      <c r="D1073" s="18"/>
    </row>
    <row r="1074" spans="1:4" ht="15.75" customHeight="1" thickBot="1" x14ac:dyDescent="0.3">
      <c r="A1074" s="4"/>
      <c r="B1074" s="303"/>
      <c r="C1074" s="304"/>
      <c r="D1074" s="18"/>
    </row>
    <row r="1075" spans="1:4" ht="15.75" customHeight="1" thickBot="1" x14ac:dyDescent="0.3">
      <c r="A1075" s="2"/>
      <c r="B1075" s="3"/>
      <c r="C1075" s="2"/>
      <c r="D1075" s="1"/>
    </row>
    <row r="1076" spans="1:4" ht="15.75" customHeight="1" thickBot="1" x14ac:dyDescent="0.3">
      <c r="A1076" s="300"/>
      <c r="B1076" s="301"/>
      <c r="C1076" s="301"/>
      <c r="D1076" s="302"/>
    </row>
    <row r="1077" spans="1:4" ht="15.75" customHeight="1" x14ac:dyDescent="0.25">
      <c r="A1077" s="5"/>
      <c r="B1077" s="6"/>
      <c r="C1077" s="7"/>
      <c r="D1077" s="8"/>
    </row>
    <row r="1078" spans="1:4" ht="15.75" customHeight="1" thickBot="1" x14ac:dyDescent="0.3">
      <c r="A1078" s="9"/>
      <c r="B1078" s="10"/>
      <c r="C1078" s="10"/>
      <c r="D1078" s="11"/>
    </row>
    <row r="1079" spans="1:4" ht="15.75" customHeight="1" thickBot="1" x14ac:dyDescent="0.3">
      <c r="A1079" s="15"/>
      <c r="B1079" s="16"/>
      <c r="C1079" s="21"/>
      <c r="D1079" s="16"/>
    </row>
    <row r="1080" spans="1:4" ht="15.75" customHeight="1" thickBot="1" x14ac:dyDescent="0.3">
      <c r="A1080" s="12"/>
      <c r="B1080" s="305"/>
      <c r="C1080" s="306"/>
      <c r="D1080" s="54"/>
    </row>
    <row r="1081" spans="1:4" ht="15.75" customHeight="1" thickBot="1" x14ac:dyDescent="0.3">
      <c r="A1081" s="38"/>
      <c r="B1081" s="45"/>
      <c r="C1081" s="45"/>
      <c r="D1081" s="45"/>
    </row>
    <row r="1082" spans="1:4" ht="15.75" customHeight="1" thickBot="1" x14ac:dyDescent="0.3">
      <c r="A1082" s="19"/>
      <c r="B1082" s="20"/>
      <c r="C1082" s="50"/>
      <c r="D1082" s="51"/>
    </row>
    <row r="1083" spans="1:4" ht="15.75" customHeight="1" thickBot="1" x14ac:dyDescent="0.3">
      <c r="A1083" s="19"/>
      <c r="B1083" s="20"/>
      <c r="C1083" s="52"/>
      <c r="D1083" s="53"/>
    </row>
    <row r="1084" spans="1:4" ht="15.75" customHeight="1" thickBot="1" x14ac:dyDescent="0.3">
      <c r="A1084" s="19"/>
      <c r="B1084" s="20"/>
      <c r="C1084" s="13"/>
      <c r="D1084" s="14"/>
    </row>
    <row r="1085" spans="1:4" ht="15.75" customHeight="1" thickBot="1" x14ac:dyDescent="0.3">
      <c r="A1085" s="2"/>
      <c r="B1085" s="3"/>
      <c r="C1085" s="2"/>
      <c r="D1085" s="1"/>
    </row>
    <row r="1086" spans="1:4" ht="15.75" customHeight="1" thickBot="1" x14ac:dyDescent="0.3">
      <c r="A1086" s="4"/>
      <c r="B1086" s="303"/>
      <c r="C1086" s="304"/>
      <c r="D1086" s="4"/>
    </row>
    <row r="1087" spans="1:4" ht="15.75" customHeight="1" thickBot="1" x14ac:dyDescent="0.3">
      <c r="A1087" s="4"/>
      <c r="B1087" s="303"/>
      <c r="C1087" s="304"/>
      <c r="D1087" s="18"/>
    </row>
    <row r="1088" spans="1:4" ht="15.75" customHeight="1" thickBot="1" x14ac:dyDescent="0.3">
      <c r="A1088" s="4"/>
      <c r="B1088" s="303"/>
      <c r="C1088" s="304"/>
      <c r="D1088" s="18"/>
    </row>
    <row r="1089" spans="1:4" ht="15.75" customHeight="1" thickBot="1" x14ac:dyDescent="0.3">
      <c r="A1089" s="4"/>
      <c r="B1089" s="303"/>
      <c r="C1089" s="304"/>
      <c r="D1089" s="18"/>
    </row>
    <row r="1090" spans="1:4" ht="15.75" customHeight="1" thickBot="1" x14ac:dyDescent="0.3">
      <c r="A1090" s="4"/>
      <c r="B1090" s="303"/>
      <c r="C1090" s="304"/>
      <c r="D1090" s="18"/>
    </row>
    <row r="1091" spans="1:4" ht="15.75" customHeight="1" thickBot="1" x14ac:dyDescent="0.3">
      <c r="A1091" s="4"/>
      <c r="B1091" s="303"/>
      <c r="C1091" s="304"/>
      <c r="D1091" s="18"/>
    </row>
    <row r="1092" spans="1:4" ht="15.75" customHeight="1" thickBot="1" x14ac:dyDescent="0.3">
      <c r="A1092" s="4"/>
      <c r="B1092" s="303"/>
      <c r="C1092" s="304"/>
      <c r="D1092" s="18"/>
    </row>
    <row r="1093" spans="1:4" ht="15.75" customHeight="1" thickBot="1" x14ac:dyDescent="0.3">
      <c r="A1093" s="4"/>
      <c r="B1093" s="303"/>
      <c r="C1093" s="304"/>
      <c r="D1093" s="18"/>
    </row>
    <row r="1094" spans="1:4" ht="15.75" customHeight="1" thickBot="1" x14ac:dyDescent="0.3">
      <c r="A1094" s="4"/>
      <c r="B1094" s="303"/>
      <c r="C1094" s="304"/>
      <c r="D1094" s="18"/>
    </row>
    <row r="1095" spans="1:4" ht="15.75" customHeight="1" thickBot="1" x14ac:dyDescent="0.3">
      <c r="A1095" s="2"/>
      <c r="B1095" s="3"/>
      <c r="C1095" s="2"/>
      <c r="D1095" s="1"/>
    </row>
    <row r="1096" spans="1:4" ht="15.75" customHeight="1" thickBot="1" x14ac:dyDescent="0.3">
      <c r="A1096" s="300"/>
      <c r="B1096" s="301"/>
      <c r="C1096" s="301"/>
      <c r="D1096" s="302"/>
    </row>
    <row r="1097" spans="1:4" ht="15.75" customHeight="1" x14ac:dyDescent="0.25">
      <c r="A1097" s="5"/>
      <c r="B1097" s="6"/>
      <c r="C1097" s="7"/>
      <c r="D1097" s="8"/>
    </row>
    <row r="1098" spans="1:4" ht="15.75" customHeight="1" thickBot="1" x14ac:dyDescent="0.3">
      <c r="A1098" s="9"/>
      <c r="B1098" s="10"/>
      <c r="C1098" s="10"/>
      <c r="D1098" s="11"/>
    </row>
    <row r="1099" spans="1:4" ht="15.75" customHeight="1" thickBot="1" x14ac:dyDescent="0.3">
      <c r="A1099" s="15"/>
      <c r="B1099" s="16"/>
      <c r="C1099" s="21"/>
      <c r="D1099" s="16"/>
    </row>
    <row r="1100" spans="1:4" ht="15.75" customHeight="1" thickBot="1" x14ac:dyDescent="0.3">
      <c r="A1100" s="12"/>
      <c r="B1100" s="305"/>
      <c r="C1100" s="306"/>
      <c r="D1100" s="54"/>
    </row>
    <row r="1101" spans="1:4" ht="15.75" customHeight="1" thickBot="1" x14ac:dyDescent="0.3">
      <c r="A1101" s="38"/>
      <c r="B1101" s="45"/>
      <c r="C1101" s="45"/>
      <c r="D1101" s="45"/>
    </row>
    <row r="1102" spans="1:4" ht="15.75" customHeight="1" thickBot="1" x14ac:dyDescent="0.3">
      <c r="A1102" s="19"/>
      <c r="B1102" s="20"/>
      <c r="C1102" s="50"/>
      <c r="D1102" s="51"/>
    </row>
    <row r="1103" spans="1:4" ht="15.75" customHeight="1" thickBot="1" x14ac:dyDescent="0.3">
      <c r="A1103" s="19"/>
      <c r="B1103" s="20"/>
      <c r="C1103" s="52"/>
      <c r="D1103" s="53"/>
    </row>
    <row r="1104" spans="1:4" ht="15.75" customHeight="1" thickBot="1" x14ac:dyDescent="0.3">
      <c r="A1104" s="19"/>
      <c r="B1104" s="20"/>
      <c r="C1104" s="13"/>
      <c r="D1104" s="14"/>
    </row>
    <row r="1105" spans="1:4" ht="15.75" customHeight="1" thickBot="1" x14ac:dyDescent="0.3">
      <c r="A1105" s="2"/>
      <c r="B1105" s="3"/>
      <c r="C1105" s="2"/>
      <c r="D1105" s="1"/>
    </row>
    <row r="1106" spans="1:4" ht="15.75" customHeight="1" thickBot="1" x14ac:dyDescent="0.3">
      <c r="A1106" s="4"/>
      <c r="B1106" s="303"/>
      <c r="C1106" s="304"/>
      <c r="D1106" s="4"/>
    </row>
    <row r="1107" spans="1:4" ht="15.75" customHeight="1" thickBot="1" x14ac:dyDescent="0.3">
      <c r="A1107" s="4"/>
      <c r="B1107" s="303"/>
      <c r="C1107" s="304"/>
      <c r="D1107" s="18"/>
    </row>
    <row r="1108" spans="1:4" ht="15.75" customHeight="1" thickBot="1" x14ac:dyDescent="0.3">
      <c r="A1108" s="4"/>
      <c r="B1108" s="303"/>
      <c r="C1108" s="304"/>
      <c r="D1108" s="18"/>
    </row>
    <row r="1109" spans="1:4" ht="15.75" customHeight="1" thickBot="1" x14ac:dyDescent="0.3">
      <c r="A1109" s="4"/>
      <c r="B1109" s="303"/>
      <c r="C1109" s="304"/>
      <c r="D1109" s="18"/>
    </row>
    <row r="1110" spans="1:4" ht="15.75" customHeight="1" thickBot="1" x14ac:dyDescent="0.3">
      <c r="A1110" s="4"/>
      <c r="B1110" s="303"/>
      <c r="C1110" s="304"/>
      <c r="D1110" s="18"/>
    </row>
    <row r="1111" spans="1:4" ht="15.75" customHeight="1" thickBot="1" x14ac:dyDescent="0.3">
      <c r="A1111" s="4"/>
      <c r="B1111" s="303"/>
      <c r="C1111" s="304"/>
      <c r="D1111" s="18"/>
    </row>
    <row r="1112" spans="1:4" ht="15.75" customHeight="1" thickBot="1" x14ac:dyDescent="0.3">
      <c r="A1112" s="4"/>
      <c r="B1112" s="303"/>
      <c r="C1112" s="304"/>
      <c r="D1112" s="18"/>
    </row>
    <row r="1113" spans="1:4" ht="15.75" customHeight="1" thickBot="1" x14ac:dyDescent="0.3">
      <c r="A1113" s="4"/>
      <c r="B1113" s="303"/>
      <c r="C1113" s="304"/>
      <c r="D1113" s="18"/>
    </row>
    <row r="1114" spans="1:4" ht="15.75" customHeight="1" thickBot="1" x14ac:dyDescent="0.3">
      <c r="A1114" s="4"/>
      <c r="B1114" s="303"/>
      <c r="C1114" s="304"/>
      <c r="D1114" s="18"/>
    </row>
    <row r="1115" spans="1:4" ht="15.75" customHeight="1" thickBot="1" x14ac:dyDescent="0.3">
      <c r="A1115" s="2"/>
      <c r="B1115" s="3"/>
      <c r="C1115" s="2"/>
      <c r="D1115" s="1"/>
    </row>
    <row r="1116" spans="1:4" ht="15.75" customHeight="1" thickBot="1" x14ac:dyDescent="0.3">
      <c r="A1116" s="300"/>
      <c r="B1116" s="301"/>
      <c r="C1116" s="301"/>
      <c r="D1116" s="302"/>
    </row>
    <row r="1117" spans="1:4" ht="15.75" customHeight="1" x14ac:dyDescent="0.25">
      <c r="A1117" s="5"/>
      <c r="B1117" s="6"/>
      <c r="C1117" s="7"/>
      <c r="D1117" s="8"/>
    </row>
    <row r="1118" spans="1:4" ht="15.75" customHeight="1" thickBot="1" x14ac:dyDescent="0.3">
      <c r="A1118" s="9"/>
      <c r="B1118" s="10"/>
      <c r="C1118" s="10"/>
      <c r="D1118" s="11"/>
    </row>
    <row r="1119" spans="1:4" ht="15.75" customHeight="1" thickBot="1" x14ac:dyDescent="0.3">
      <c r="A1119" s="15"/>
      <c r="B1119" s="16"/>
      <c r="C1119" s="21"/>
      <c r="D1119" s="16"/>
    </row>
    <row r="1120" spans="1:4" ht="15.75" customHeight="1" thickBot="1" x14ac:dyDescent="0.3">
      <c r="A1120" s="12"/>
      <c r="B1120" s="305"/>
      <c r="C1120" s="306"/>
      <c r="D1120" s="54"/>
    </row>
    <row r="1121" spans="1:4" ht="15.75" customHeight="1" thickBot="1" x14ac:dyDescent="0.3">
      <c r="A1121" s="38"/>
      <c r="B1121" s="45"/>
      <c r="C1121" s="45"/>
      <c r="D1121" s="45"/>
    </row>
    <row r="1122" spans="1:4" ht="15.75" customHeight="1" thickBot="1" x14ac:dyDescent="0.3">
      <c r="A1122" s="19"/>
      <c r="B1122" s="20"/>
      <c r="C1122" s="50"/>
      <c r="D1122" s="51"/>
    </row>
    <row r="1123" spans="1:4" ht="15.75" customHeight="1" thickBot="1" x14ac:dyDescent="0.3">
      <c r="A1123" s="19"/>
      <c r="B1123" s="20"/>
      <c r="C1123" s="52"/>
      <c r="D1123" s="53"/>
    </row>
    <row r="1124" spans="1:4" ht="15.75" customHeight="1" thickBot="1" x14ac:dyDescent="0.3">
      <c r="A1124" s="19"/>
      <c r="B1124" s="20"/>
      <c r="C1124" s="13"/>
      <c r="D1124" s="14"/>
    </row>
    <row r="1125" spans="1:4" ht="15.75" customHeight="1" thickBot="1" x14ac:dyDescent="0.3">
      <c r="A1125" s="2"/>
      <c r="B1125" s="3"/>
      <c r="C1125" s="2"/>
      <c r="D1125" s="1"/>
    </row>
    <row r="1126" spans="1:4" ht="15.75" customHeight="1" thickBot="1" x14ac:dyDescent="0.3">
      <c r="A1126" s="4"/>
      <c r="B1126" s="303"/>
      <c r="C1126" s="304"/>
      <c r="D1126" s="4"/>
    </row>
    <row r="1127" spans="1:4" ht="15.75" customHeight="1" thickBot="1" x14ac:dyDescent="0.3">
      <c r="A1127" s="4"/>
      <c r="B1127" s="303"/>
      <c r="C1127" s="304"/>
      <c r="D1127" s="18"/>
    </row>
    <row r="1128" spans="1:4" ht="15.75" customHeight="1" thickBot="1" x14ac:dyDescent="0.3">
      <c r="A1128" s="4"/>
      <c r="B1128" s="303"/>
      <c r="C1128" s="304"/>
      <c r="D1128" s="18"/>
    </row>
    <row r="1129" spans="1:4" ht="15.75" customHeight="1" thickBot="1" x14ac:dyDescent="0.3">
      <c r="A1129" s="4"/>
      <c r="B1129" s="303"/>
      <c r="C1129" s="304"/>
      <c r="D1129" s="18"/>
    </row>
    <row r="1130" spans="1:4" ht="15.75" customHeight="1" thickBot="1" x14ac:dyDescent="0.3">
      <c r="A1130" s="4"/>
      <c r="B1130" s="303"/>
      <c r="C1130" s="304"/>
      <c r="D1130" s="18"/>
    </row>
    <row r="1131" spans="1:4" ht="15.75" customHeight="1" thickBot="1" x14ac:dyDescent="0.3">
      <c r="A1131" s="4"/>
      <c r="B1131" s="303"/>
      <c r="C1131" s="304"/>
      <c r="D1131" s="18"/>
    </row>
    <row r="1132" spans="1:4" ht="15.75" customHeight="1" thickBot="1" x14ac:dyDescent="0.3">
      <c r="A1132" s="4"/>
      <c r="B1132" s="303"/>
      <c r="C1132" s="304"/>
      <c r="D1132" s="18"/>
    </row>
    <row r="1133" spans="1:4" ht="15.75" customHeight="1" thickBot="1" x14ac:dyDescent="0.3">
      <c r="A1133" s="4"/>
      <c r="B1133" s="303"/>
      <c r="C1133" s="304"/>
      <c r="D1133" s="18"/>
    </row>
    <row r="1134" spans="1:4" ht="15.75" customHeight="1" thickBot="1" x14ac:dyDescent="0.3">
      <c r="A1134" s="4"/>
      <c r="B1134" s="303"/>
      <c r="C1134" s="304"/>
      <c r="D1134" s="18"/>
    </row>
    <row r="1135" spans="1:4" ht="15.75" customHeight="1" thickBot="1" x14ac:dyDescent="0.3">
      <c r="A1135" s="2"/>
      <c r="B1135" s="3"/>
      <c r="C1135" s="2"/>
      <c r="D1135" s="1"/>
    </row>
    <row r="1136" spans="1:4" ht="15.75" customHeight="1" thickBot="1" x14ac:dyDescent="0.3">
      <c r="A1136" s="300"/>
      <c r="B1136" s="301"/>
      <c r="C1136" s="301"/>
      <c r="D1136" s="302"/>
    </row>
    <row r="1137" spans="1:4" ht="15.75" customHeight="1" x14ac:dyDescent="0.25">
      <c r="A1137" s="5"/>
      <c r="B1137" s="6"/>
      <c r="C1137" s="7"/>
      <c r="D1137" s="8"/>
    </row>
    <row r="1138" spans="1:4" ht="15.75" customHeight="1" thickBot="1" x14ac:dyDescent="0.3">
      <c r="A1138" s="9"/>
      <c r="B1138" s="10"/>
      <c r="C1138" s="10"/>
      <c r="D1138" s="11"/>
    </row>
    <row r="1139" spans="1:4" ht="15.75" customHeight="1" thickBot="1" x14ac:dyDescent="0.3">
      <c r="A1139" s="15"/>
      <c r="B1139" s="16"/>
      <c r="C1139" s="21"/>
      <c r="D1139" s="16"/>
    </row>
    <row r="1140" spans="1:4" ht="15.75" customHeight="1" thickBot="1" x14ac:dyDescent="0.3">
      <c r="A1140" s="12"/>
      <c r="B1140" s="305"/>
      <c r="C1140" s="306"/>
      <c r="D1140" s="54"/>
    </row>
    <row r="1141" spans="1:4" ht="15.75" customHeight="1" thickBot="1" x14ac:dyDescent="0.3">
      <c r="A1141" s="38"/>
      <c r="B1141" s="45"/>
      <c r="C1141" s="45"/>
      <c r="D1141" s="45"/>
    </row>
    <row r="1142" spans="1:4" ht="15.75" customHeight="1" thickBot="1" x14ac:dyDescent="0.3">
      <c r="A1142" s="19"/>
      <c r="B1142" s="20"/>
      <c r="C1142" s="50"/>
      <c r="D1142" s="51"/>
    </row>
    <row r="1143" spans="1:4" ht="15.75" customHeight="1" thickBot="1" x14ac:dyDescent="0.3">
      <c r="A1143" s="19"/>
      <c r="B1143" s="20"/>
      <c r="C1143" s="52"/>
      <c r="D1143" s="53"/>
    </row>
    <row r="1144" spans="1:4" ht="15.75" customHeight="1" thickBot="1" x14ac:dyDescent="0.3">
      <c r="A1144" s="19"/>
      <c r="B1144" s="20"/>
      <c r="C1144" s="13"/>
      <c r="D1144" s="14"/>
    </row>
    <row r="1145" spans="1:4" ht="15.75" customHeight="1" thickBot="1" x14ac:dyDescent="0.3">
      <c r="A1145" s="2"/>
      <c r="B1145" s="3"/>
      <c r="C1145" s="2"/>
      <c r="D1145" s="1"/>
    </row>
    <row r="1146" spans="1:4" ht="15.75" customHeight="1" thickBot="1" x14ac:dyDescent="0.3">
      <c r="A1146" s="4"/>
      <c r="B1146" s="303"/>
      <c r="C1146" s="304"/>
      <c r="D1146" s="4"/>
    </row>
    <row r="1147" spans="1:4" ht="15.75" customHeight="1" thickBot="1" x14ac:dyDescent="0.3">
      <c r="A1147" s="4"/>
      <c r="B1147" s="303"/>
      <c r="C1147" s="304"/>
      <c r="D1147" s="18"/>
    </row>
    <row r="1148" spans="1:4" ht="15.75" customHeight="1" thickBot="1" x14ac:dyDescent="0.3">
      <c r="A1148" s="4"/>
      <c r="B1148" s="303"/>
      <c r="C1148" s="304"/>
      <c r="D1148" s="18"/>
    </row>
    <row r="1149" spans="1:4" ht="15.75" customHeight="1" thickBot="1" x14ac:dyDescent="0.3">
      <c r="A1149" s="4"/>
      <c r="B1149" s="303"/>
      <c r="C1149" s="304"/>
      <c r="D1149" s="18"/>
    </row>
    <row r="1150" spans="1:4" ht="15.75" customHeight="1" thickBot="1" x14ac:dyDescent="0.3">
      <c r="A1150" s="4"/>
      <c r="B1150" s="303"/>
      <c r="C1150" s="304"/>
      <c r="D1150" s="18"/>
    </row>
    <row r="1151" spans="1:4" ht="15.75" customHeight="1" thickBot="1" x14ac:dyDescent="0.3">
      <c r="A1151" s="4"/>
      <c r="B1151" s="303"/>
      <c r="C1151" s="304"/>
      <c r="D1151" s="18"/>
    </row>
    <row r="1152" spans="1:4" ht="15.75" customHeight="1" thickBot="1" x14ac:dyDescent="0.3">
      <c r="A1152" s="4"/>
      <c r="B1152" s="303"/>
      <c r="C1152" s="304"/>
      <c r="D1152" s="18"/>
    </row>
    <row r="1153" spans="1:4" ht="15.75" customHeight="1" thickBot="1" x14ac:dyDescent="0.3">
      <c r="A1153" s="4"/>
      <c r="B1153" s="303"/>
      <c r="C1153" s="304"/>
      <c r="D1153" s="18"/>
    </row>
    <row r="1154" spans="1:4" ht="15.75" customHeight="1" thickBot="1" x14ac:dyDescent="0.3">
      <c r="A1154" s="4"/>
      <c r="B1154" s="303"/>
      <c r="C1154" s="304"/>
      <c r="D1154" s="18"/>
    </row>
    <row r="1155" spans="1:4" ht="15.75" customHeight="1" thickBot="1" x14ac:dyDescent="0.3">
      <c r="A1155" s="2"/>
      <c r="B1155" s="3"/>
      <c r="C1155" s="2"/>
      <c r="D1155" s="1"/>
    </row>
    <row r="1156" spans="1:4" ht="15.75" customHeight="1" thickBot="1" x14ac:dyDescent="0.3">
      <c r="A1156" s="300"/>
      <c r="B1156" s="301"/>
      <c r="C1156" s="301"/>
      <c r="D1156" s="302"/>
    </row>
    <row r="1157" spans="1:4" ht="15.75" customHeight="1" x14ac:dyDescent="0.25">
      <c r="A1157" s="5"/>
      <c r="B1157" s="6"/>
      <c r="C1157" s="7"/>
      <c r="D1157" s="8"/>
    </row>
    <row r="1158" spans="1:4" ht="15.75" customHeight="1" thickBot="1" x14ac:dyDescent="0.3">
      <c r="A1158" s="9"/>
      <c r="B1158" s="10"/>
      <c r="C1158" s="10"/>
      <c r="D1158" s="11"/>
    </row>
    <row r="1159" spans="1:4" ht="15.75" customHeight="1" thickBot="1" x14ac:dyDescent="0.3">
      <c r="A1159" s="15"/>
      <c r="B1159" s="16"/>
      <c r="C1159" s="21"/>
      <c r="D1159" s="16"/>
    </row>
    <row r="1160" spans="1:4" ht="15.75" customHeight="1" thickBot="1" x14ac:dyDescent="0.3">
      <c r="A1160" s="12"/>
      <c r="B1160" s="305"/>
      <c r="C1160" s="306"/>
      <c r="D1160" s="54"/>
    </row>
    <row r="1161" spans="1:4" ht="15.75" customHeight="1" thickBot="1" x14ac:dyDescent="0.3">
      <c r="A1161" s="38"/>
      <c r="B1161" s="45"/>
      <c r="C1161" s="45"/>
      <c r="D1161" s="45"/>
    </row>
    <row r="1162" spans="1:4" ht="15.75" customHeight="1" thickBot="1" x14ac:dyDescent="0.3">
      <c r="A1162" s="19"/>
      <c r="B1162" s="20"/>
      <c r="C1162" s="50"/>
      <c r="D1162" s="51"/>
    </row>
    <row r="1163" spans="1:4" ht="15.75" customHeight="1" thickBot="1" x14ac:dyDescent="0.3">
      <c r="A1163" s="19"/>
      <c r="B1163" s="20"/>
      <c r="C1163" s="52"/>
      <c r="D1163" s="53"/>
    </row>
    <row r="1164" spans="1:4" ht="15.75" customHeight="1" thickBot="1" x14ac:dyDescent="0.3">
      <c r="A1164" s="19"/>
      <c r="B1164" s="20"/>
      <c r="C1164" s="13"/>
      <c r="D1164" s="14"/>
    </row>
    <row r="1165" spans="1:4" ht="15.75" customHeight="1" thickBot="1" x14ac:dyDescent="0.3">
      <c r="A1165" s="2"/>
      <c r="B1165" s="3"/>
      <c r="C1165" s="2"/>
      <c r="D1165" s="1"/>
    </row>
    <row r="1166" spans="1:4" ht="15.75" customHeight="1" thickBot="1" x14ac:dyDescent="0.3">
      <c r="A1166" s="4"/>
      <c r="B1166" s="303"/>
      <c r="C1166" s="304"/>
      <c r="D1166" s="4"/>
    </row>
    <row r="1167" spans="1:4" ht="15.75" customHeight="1" thickBot="1" x14ac:dyDescent="0.3">
      <c r="A1167" s="4"/>
      <c r="B1167" s="303"/>
      <c r="C1167" s="304"/>
      <c r="D1167" s="18"/>
    </row>
    <row r="1168" spans="1:4" ht="15.75" customHeight="1" thickBot="1" x14ac:dyDescent="0.3">
      <c r="A1168" s="4"/>
      <c r="B1168" s="303"/>
      <c r="C1168" s="304"/>
      <c r="D1168" s="18"/>
    </row>
    <row r="1169" spans="1:4" ht="15.75" customHeight="1" thickBot="1" x14ac:dyDescent="0.3">
      <c r="A1169" s="4"/>
      <c r="B1169" s="303"/>
      <c r="C1169" s="304"/>
      <c r="D1169" s="18"/>
    </row>
    <row r="1170" spans="1:4" ht="15.75" customHeight="1" thickBot="1" x14ac:dyDescent="0.3">
      <c r="A1170" s="4"/>
      <c r="B1170" s="303"/>
      <c r="C1170" s="304"/>
      <c r="D1170" s="18"/>
    </row>
    <row r="1171" spans="1:4" ht="15.75" customHeight="1" thickBot="1" x14ac:dyDescent="0.3">
      <c r="A1171" s="4"/>
      <c r="B1171" s="303"/>
      <c r="C1171" s="304"/>
      <c r="D1171" s="18"/>
    </row>
    <row r="1172" spans="1:4" ht="15.75" customHeight="1" thickBot="1" x14ac:dyDescent="0.3">
      <c r="A1172" s="4"/>
      <c r="B1172" s="303"/>
      <c r="C1172" s="304"/>
      <c r="D1172" s="18"/>
    </row>
    <row r="1173" spans="1:4" ht="15.75" customHeight="1" thickBot="1" x14ac:dyDescent="0.3">
      <c r="A1173" s="4"/>
      <c r="B1173" s="303"/>
      <c r="C1173" s="304"/>
      <c r="D1173" s="18"/>
    </row>
    <row r="1174" spans="1:4" ht="15.75" customHeight="1" thickBot="1" x14ac:dyDescent="0.3">
      <c r="A1174" s="4"/>
      <c r="B1174" s="303"/>
      <c r="C1174" s="304"/>
      <c r="D1174" s="18"/>
    </row>
    <row r="1175" spans="1:4" ht="15.75" customHeight="1" thickBot="1" x14ac:dyDescent="0.3">
      <c r="A1175" s="2"/>
      <c r="B1175" s="3"/>
      <c r="C1175" s="2"/>
      <c r="D1175" s="1"/>
    </row>
    <row r="1176" spans="1:4" ht="15.75" customHeight="1" thickBot="1" x14ac:dyDescent="0.3">
      <c r="A1176" s="300"/>
      <c r="B1176" s="301"/>
      <c r="C1176" s="301"/>
      <c r="D1176" s="302"/>
    </row>
    <row r="1177" spans="1:4" ht="15.75" customHeight="1" x14ac:dyDescent="0.25">
      <c r="A1177" s="5"/>
      <c r="B1177" s="6"/>
      <c r="C1177" s="7"/>
      <c r="D1177" s="8"/>
    </row>
    <row r="1178" spans="1:4" ht="15.75" customHeight="1" thickBot="1" x14ac:dyDescent="0.3">
      <c r="A1178" s="9"/>
      <c r="B1178" s="10"/>
      <c r="C1178" s="10"/>
      <c r="D1178" s="11"/>
    </row>
    <row r="1179" spans="1:4" ht="15.75" customHeight="1" thickBot="1" x14ac:dyDescent="0.3">
      <c r="A1179" s="15"/>
      <c r="B1179" s="16"/>
      <c r="C1179" s="21"/>
      <c r="D1179" s="16"/>
    </row>
    <row r="1180" spans="1:4" ht="15.75" customHeight="1" thickBot="1" x14ac:dyDescent="0.3">
      <c r="A1180" s="12"/>
      <c r="B1180" s="305"/>
      <c r="C1180" s="306"/>
      <c r="D1180" s="54"/>
    </row>
    <row r="1181" spans="1:4" ht="15.75" customHeight="1" thickBot="1" x14ac:dyDescent="0.3">
      <c r="A1181" s="38"/>
      <c r="B1181" s="45"/>
      <c r="C1181" s="45"/>
      <c r="D1181" s="45"/>
    </row>
    <row r="1182" spans="1:4" ht="15.75" customHeight="1" thickBot="1" x14ac:dyDescent="0.3">
      <c r="A1182" s="19"/>
      <c r="B1182" s="20"/>
      <c r="C1182" s="50"/>
      <c r="D1182" s="51"/>
    </row>
    <row r="1183" spans="1:4" ht="15.75" customHeight="1" thickBot="1" x14ac:dyDescent="0.3">
      <c r="A1183" s="19"/>
      <c r="B1183" s="20"/>
      <c r="C1183" s="52"/>
      <c r="D1183" s="53"/>
    </row>
    <row r="1184" spans="1:4" ht="15.75" customHeight="1" thickBot="1" x14ac:dyDescent="0.3">
      <c r="A1184" s="19"/>
      <c r="B1184" s="20"/>
      <c r="C1184" s="13"/>
      <c r="D1184" s="14"/>
    </row>
    <row r="1185" spans="1:4" ht="15.75" customHeight="1" thickBot="1" x14ac:dyDescent="0.3">
      <c r="A1185" s="2"/>
      <c r="B1185" s="3"/>
      <c r="C1185" s="2"/>
      <c r="D1185" s="1"/>
    </row>
    <row r="1186" spans="1:4" ht="15.75" customHeight="1" thickBot="1" x14ac:dyDescent="0.3">
      <c r="A1186" s="4"/>
      <c r="B1186" s="303"/>
      <c r="C1186" s="304"/>
      <c r="D1186" s="4"/>
    </row>
    <row r="1187" spans="1:4" ht="15.75" customHeight="1" thickBot="1" x14ac:dyDescent="0.3">
      <c r="A1187" s="4"/>
      <c r="B1187" s="303"/>
      <c r="C1187" s="304"/>
      <c r="D1187" s="18"/>
    </row>
    <row r="1188" spans="1:4" ht="15.75" customHeight="1" thickBot="1" x14ac:dyDescent="0.3">
      <c r="A1188" s="4"/>
      <c r="B1188" s="303"/>
      <c r="C1188" s="304"/>
      <c r="D1188" s="18"/>
    </row>
    <row r="1189" spans="1:4" ht="15.75" customHeight="1" thickBot="1" x14ac:dyDescent="0.3">
      <c r="A1189" s="4"/>
      <c r="B1189" s="303"/>
      <c r="C1189" s="304"/>
      <c r="D1189" s="18"/>
    </row>
    <row r="1190" spans="1:4" ht="15.75" customHeight="1" thickBot="1" x14ac:dyDescent="0.3">
      <c r="A1190" s="4"/>
      <c r="B1190" s="303"/>
      <c r="C1190" s="304"/>
      <c r="D1190" s="18"/>
    </row>
    <row r="1191" spans="1:4" ht="15.75" customHeight="1" thickBot="1" x14ac:dyDescent="0.3">
      <c r="A1191" s="4"/>
      <c r="B1191" s="303"/>
      <c r="C1191" s="304"/>
      <c r="D1191" s="18"/>
    </row>
    <row r="1192" spans="1:4" ht="15.75" customHeight="1" thickBot="1" x14ac:dyDescent="0.3">
      <c r="A1192" s="4"/>
      <c r="B1192" s="303"/>
      <c r="C1192" s="304"/>
      <c r="D1192" s="18"/>
    </row>
    <row r="1193" spans="1:4" ht="15.75" customHeight="1" thickBot="1" x14ac:dyDescent="0.3">
      <c r="A1193" s="4"/>
      <c r="B1193" s="303"/>
      <c r="C1193" s="304"/>
      <c r="D1193" s="18"/>
    </row>
    <row r="1194" spans="1:4" ht="15.75" customHeight="1" thickBot="1" x14ac:dyDescent="0.3">
      <c r="A1194" s="4"/>
      <c r="B1194" s="303"/>
      <c r="C1194" s="304"/>
      <c r="D1194" s="18"/>
    </row>
    <row r="1195" spans="1:4" ht="15.75" customHeight="1" thickBot="1" x14ac:dyDescent="0.3">
      <c r="A1195" s="2"/>
      <c r="B1195" s="3"/>
      <c r="C1195" s="2"/>
      <c r="D1195" s="1"/>
    </row>
    <row r="1196" spans="1:4" ht="15.75" customHeight="1" thickBot="1" x14ac:dyDescent="0.3">
      <c r="A1196" s="300"/>
      <c r="B1196" s="301"/>
      <c r="C1196" s="301"/>
      <c r="D1196" s="302"/>
    </row>
    <row r="1197" spans="1:4" ht="15.75" customHeight="1" x14ac:dyDescent="0.25">
      <c r="A1197" s="5"/>
      <c r="B1197" s="6"/>
      <c r="C1197" s="7"/>
      <c r="D1197" s="8"/>
    </row>
    <row r="1198" spans="1:4" ht="15.75" customHeight="1" thickBot="1" x14ac:dyDescent="0.3">
      <c r="A1198" s="9"/>
      <c r="B1198" s="10"/>
      <c r="C1198" s="10"/>
      <c r="D1198" s="11"/>
    </row>
    <row r="1199" spans="1:4" ht="15.75" customHeight="1" thickBot="1" x14ac:dyDescent="0.3">
      <c r="A1199" s="15"/>
      <c r="B1199" s="16"/>
      <c r="C1199" s="21"/>
      <c r="D1199" s="16"/>
    </row>
    <row r="1200" spans="1:4" ht="15.75" customHeight="1" thickBot="1" x14ac:dyDescent="0.3">
      <c r="A1200" s="12"/>
      <c r="B1200" s="305"/>
      <c r="C1200" s="306"/>
      <c r="D1200" s="54"/>
    </row>
    <row r="1201" spans="1:4" ht="15.75" customHeight="1" thickBot="1" x14ac:dyDescent="0.3">
      <c r="A1201" s="38"/>
      <c r="B1201" s="45"/>
      <c r="C1201" s="45"/>
      <c r="D1201" s="45"/>
    </row>
    <row r="1202" spans="1:4" ht="15.75" customHeight="1" thickBot="1" x14ac:dyDescent="0.3">
      <c r="A1202" s="19"/>
      <c r="B1202" s="20"/>
      <c r="C1202" s="50"/>
      <c r="D1202" s="51"/>
    </row>
    <row r="1203" spans="1:4" ht="15.75" customHeight="1" thickBot="1" x14ac:dyDescent="0.3">
      <c r="A1203" s="19"/>
      <c r="B1203" s="20"/>
      <c r="C1203" s="52"/>
      <c r="D1203" s="53"/>
    </row>
    <row r="1204" spans="1:4" ht="15.75" customHeight="1" thickBot="1" x14ac:dyDescent="0.3">
      <c r="A1204" s="19"/>
      <c r="B1204" s="20"/>
      <c r="C1204" s="13"/>
      <c r="D1204" s="14"/>
    </row>
    <row r="1205" spans="1:4" ht="15.75" customHeight="1" thickBot="1" x14ac:dyDescent="0.3">
      <c r="A1205" s="2"/>
      <c r="B1205" s="3"/>
      <c r="C1205" s="2"/>
      <c r="D1205" s="1"/>
    </row>
    <row r="1206" spans="1:4" ht="15.75" customHeight="1" thickBot="1" x14ac:dyDescent="0.3">
      <c r="A1206" s="4"/>
      <c r="B1206" s="303"/>
      <c r="C1206" s="304"/>
      <c r="D1206" s="4"/>
    </row>
    <row r="1207" spans="1:4" ht="15.75" customHeight="1" thickBot="1" x14ac:dyDescent="0.3">
      <c r="A1207" s="4"/>
      <c r="B1207" s="303"/>
      <c r="C1207" s="304"/>
      <c r="D1207" s="18"/>
    </row>
    <row r="1208" spans="1:4" ht="15.75" customHeight="1" thickBot="1" x14ac:dyDescent="0.3">
      <c r="A1208" s="4"/>
      <c r="B1208" s="303"/>
      <c r="C1208" s="304"/>
      <c r="D1208" s="18"/>
    </row>
    <row r="1209" spans="1:4" ht="15.75" customHeight="1" thickBot="1" x14ac:dyDescent="0.3">
      <c r="A1209" s="4"/>
      <c r="B1209" s="303"/>
      <c r="C1209" s="304"/>
      <c r="D1209" s="18"/>
    </row>
    <row r="1210" spans="1:4" ht="15.75" customHeight="1" thickBot="1" x14ac:dyDescent="0.3">
      <c r="A1210" s="4"/>
      <c r="B1210" s="303"/>
      <c r="C1210" s="304"/>
      <c r="D1210" s="18"/>
    </row>
    <row r="1211" spans="1:4" ht="15.75" customHeight="1" thickBot="1" x14ac:dyDescent="0.3">
      <c r="A1211" s="4"/>
      <c r="B1211" s="303"/>
      <c r="C1211" s="304"/>
      <c r="D1211" s="18"/>
    </row>
    <row r="1212" spans="1:4" ht="15.75" customHeight="1" thickBot="1" x14ac:dyDescent="0.3">
      <c r="A1212" s="4"/>
      <c r="B1212" s="303"/>
      <c r="C1212" s="304"/>
      <c r="D1212" s="18"/>
    </row>
    <row r="1213" spans="1:4" ht="15.75" customHeight="1" thickBot="1" x14ac:dyDescent="0.3">
      <c r="A1213" s="4"/>
      <c r="B1213" s="303"/>
      <c r="C1213" s="304"/>
      <c r="D1213" s="18"/>
    </row>
    <row r="1214" spans="1:4" ht="15.75" customHeight="1" thickBot="1" x14ac:dyDescent="0.3">
      <c r="A1214" s="4"/>
      <c r="B1214" s="303"/>
      <c r="C1214" s="304"/>
      <c r="D1214" s="18"/>
    </row>
    <row r="1215" spans="1:4" ht="15.75" customHeight="1" thickBot="1" x14ac:dyDescent="0.3">
      <c r="A1215" s="2"/>
      <c r="B1215" s="3"/>
      <c r="C1215" s="2"/>
      <c r="D1215" s="1"/>
    </row>
    <row r="1216" spans="1:4" ht="15.75" customHeight="1" thickBot="1" x14ac:dyDescent="0.3">
      <c r="A1216" s="300"/>
      <c r="B1216" s="301"/>
      <c r="C1216" s="301"/>
      <c r="D1216" s="302"/>
    </row>
    <row r="1217" spans="1:4" ht="15.75" customHeight="1" x14ac:dyDescent="0.25">
      <c r="A1217" s="5"/>
      <c r="B1217" s="6"/>
      <c r="C1217" s="7"/>
      <c r="D1217" s="8"/>
    </row>
    <row r="1218" spans="1:4" ht="15.75" customHeight="1" thickBot="1" x14ac:dyDescent="0.3">
      <c r="A1218" s="9"/>
      <c r="B1218" s="10"/>
      <c r="C1218" s="10"/>
      <c r="D1218" s="11"/>
    </row>
    <row r="1219" spans="1:4" ht="15.75" customHeight="1" thickBot="1" x14ac:dyDescent="0.3">
      <c r="A1219" s="15"/>
      <c r="B1219" s="16"/>
      <c r="C1219" s="21"/>
      <c r="D1219" s="16"/>
    </row>
    <row r="1220" spans="1:4" ht="15.75" customHeight="1" thickBot="1" x14ac:dyDescent="0.3">
      <c r="A1220" s="12"/>
      <c r="B1220" s="305"/>
      <c r="C1220" s="306"/>
      <c r="D1220" s="54"/>
    </row>
    <row r="1221" spans="1:4" ht="15.75" customHeight="1" thickBot="1" x14ac:dyDescent="0.3">
      <c r="A1221" s="38"/>
      <c r="B1221" s="45"/>
      <c r="C1221" s="45"/>
      <c r="D1221" s="45"/>
    </row>
    <row r="1222" spans="1:4" ht="15.75" customHeight="1" thickBot="1" x14ac:dyDescent="0.3">
      <c r="A1222" s="19"/>
      <c r="B1222" s="20"/>
      <c r="C1222" s="50"/>
      <c r="D1222" s="51"/>
    </row>
    <row r="1223" spans="1:4" ht="15.75" customHeight="1" thickBot="1" x14ac:dyDescent="0.3">
      <c r="A1223" s="19"/>
      <c r="B1223" s="20"/>
      <c r="C1223" s="52"/>
      <c r="D1223" s="53"/>
    </row>
    <row r="1224" spans="1:4" ht="15.75" customHeight="1" thickBot="1" x14ac:dyDescent="0.3">
      <c r="A1224" s="19"/>
      <c r="B1224" s="20"/>
      <c r="C1224" s="13"/>
      <c r="D1224" s="14"/>
    </row>
    <row r="1225" spans="1:4" ht="15.75" customHeight="1" thickBot="1" x14ac:dyDescent="0.3">
      <c r="A1225" s="2"/>
      <c r="B1225" s="3"/>
      <c r="C1225" s="2"/>
      <c r="D1225" s="1"/>
    </row>
    <row r="1226" spans="1:4" ht="15.75" customHeight="1" thickBot="1" x14ac:dyDescent="0.3">
      <c r="A1226" s="4"/>
      <c r="B1226" s="303"/>
      <c r="C1226" s="304"/>
      <c r="D1226" s="4"/>
    </row>
    <row r="1227" spans="1:4" ht="15.75" customHeight="1" thickBot="1" x14ac:dyDescent="0.3">
      <c r="A1227" s="4"/>
      <c r="B1227" s="303"/>
      <c r="C1227" s="304"/>
      <c r="D1227" s="18"/>
    </row>
    <row r="1228" spans="1:4" ht="15.75" customHeight="1" thickBot="1" x14ac:dyDescent="0.3">
      <c r="A1228" s="4"/>
      <c r="B1228" s="303"/>
      <c r="C1228" s="304"/>
      <c r="D1228" s="18"/>
    </row>
    <row r="1229" spans="1:4" ht="15.75" customHeight="1" thickBot="1" x14ac:dyDescent="0.3">
      <c r="A1229" s="4"/>
      <c r="B1229" s="303"/>
      <c r="C1229" s="304"/>
      <c r="D1229" s="18"/>
    </row>
    <row r="1230" spans="1:4" ht="15.75" customHeight="1" thickBot="1" x14ac:dyDescent="0.3">
      <c r="A1230" s="4"/>
      <c r="B1230" s="303"/>
      <c r="C1230" s="304"/>
      <c r="D1230" s="18"/>
    </row>
    <row r="1231" spans="1:4" ht="15.75" customHeight="1" thickBot="1" x14ac:dyDescent="0.3">
      <c r="A1231" s="4"/>
      <c r="B1231" s="303"/>
      <c r="C1231" s="304"/>
      <c r="D1231" s="18"/>
    </row>
    <row r="1232" spans="1:4" ht="15.75" customHeight="1" thickBot="1" x14ac:dyDescent="0.3">
      <c r="A1232" s="4"/>
      <c r="B1232" s="303"/>
      <c r="C1232" s="304"/>
      <c r="D1232" s="18"/>
    </row>
    <row r="1233" spans="1:4" ht="15.75" customHeight="1" thickBot="1" x14ac:dyDescent="0.3">
      <c r="A1233" s="4"/>
      <c r="B1233" s="303"/>
      <c r="C1233" s="304"/>
      <c r="D1233" s="18"/>
    </row>
    <row r="1234" spans="1:4" ht="15.75" customHeight="1" thickBot="1" x14ac:dyDescent="0.3">
      <c r="A1234" s="4"/>
      <c r="B1234" s="303"/>
      <c r="C1234" s="304"/>
      <c r="D1234" s="18"/>
    </row>
    <row r="1235" spans="1:4" ht="15.75" customHeight="1" thickBot="1" x14ac:dyDescent="0.3">
      <c r="A1235" s="2"/>
      <c r="B1235" s="3"/>
      <c r="C1235" s="2"/>
      <c r="D1235" s="1"/>
    </row>
    <row r="1236" spans="1:4" ht="15.75" customHeight="1" thickBot="1" x14ac:dyDescent="0.3">
      <c r="A1236" s="300"/>
      <c r="B1236" s="301"/>
      <c r="C1236" s="301"/>
      <c r="D1236" s="302"/>
    </row>
    <row r="1237" spans="1:4" ht="15.75" customHeight="1" x14ac:dyDescent="0.25">
      <c r="A1237" s="5"/>
      <c r="B1237" s="6"/>
      <c r="C1237" s="7"/>
      <c r="D1237" s="8"/>
    </row>
    <row r="1238" spans="1:4" ht="15.75" customHeight="1" thickBot="1" x14ac:dyDescent="0.3">
      <c r="A1238" s="9"/>
      <c r="B1238" s="10"/>
      <c r="C1238" s="10"/>
      <c r="D1238" s="11"/>
    </row>
    <row r="1239" spans="1:4" ht="15.75" customHeight="1" thickBot="1" x14ac:dyDescent="0.3">
      <c r="A1239" s="15"/>
      <c r="B1239" s="16"/>
      <c r="C1239" s="21"/>
      <c r="D1239" s="16"/>
    </row>
    <row r="1240" spans="1:4" ht="15.75" customHeight="1" thickBot="1" x14ac:dyDescent="0.3">
      <c r="A1240" s="12"/>
      <c r="B1240" s="305"/>
      <c r="C1240" s="306"/>
      <c r="D1240" s="54"/>
    </row>
    <row r="1241" spans="1:4" ht="15.75" customHeight="1" thickBot="1" x14ac:dyDescent="0.3">
      <c r="A1241" s="38"/>
      <c r="B1241" s="45"/>
      <c r="C1241" s="45"/>
      <c r="D1241" s="45"/>
    </row>
    <row r="1242" spans="1:4" ht="15.75" customHeight="1" thickBot="1" x14ac:dyDescent="0.3">
      <c r="A1242" s="19"/>
      <c r="B1242" s="20"/>
      <c r="C1242" s="50"/>
      <c r="D1242" s="51"/>
    </row>
    <row r="1243" spans="1:4" ht="15.75" customHeight="1" thickBot="1" x14ac:dyDescent="0.3">
      <c r="A1243" s="19"/>
      <c r="B1243" s="20"/>
      <c r="C1243" s="52"/>
      <c r="D1243" s="53"/>
    </row>
    <row r="1244" spans="1:4" ht="15.75" customHeight="1" thickBot="1" x14ac:dyDescent="0.3">
      <c r="A1244" s="19"/>
      <c r="B1244" s="20"/>
      <c r="C1244" s="13"/>
      <c r="D1244" s="14"/>
    </row>
    <row r="1245" spans="1:4" ht="15.75" customHeight="1" thickBot="1" x14ac:dyDescent="0.3">
      <c r="A1245" s="2"/>
      <c r="B1245" s="3"/>
      <c r="C1245" s="2"/>
      <c r="D1245" s="1"/>
    </row>
    <row r="1246" spans="1:4" ht="15.75" customHeight="1" thickBot="1" x14ac:dyDescent="0.3">
      <c r="A1246" s="4"/>
      <c r="B1246" s="303"/>
      <c r="C1246" s="304"/>
      <c r="D1246" s="4"/>
    </row>
    <row r="1247" spans="1:4" ht="15.75" customHeight="1" thickBot="1" x14ac:dyDescent="0.3">
      <c r="A1247" s="4"/>
      <c r="B1247" s="303"/>
      <c r="C1247" s="304"/>
      <c r="D1247" s="18"/>
    </row>
    <row r="1248" spans="1:4" ht="15.75" customHeight="1" thickBot="1" x14ac:dyDescent="0.3">
      <c r="A1248" s="4"/>
      <c r="B1248" s="303"/>
      <c r="C1248" s="304"/>
      <c r="D1248" s="18"/>
    </row>
    <row r="1249" spans="1:4" ht="15.75" customHeight="1" thickBot="1" x14ac:dyDescent="0.3">
      <c r="A1249" s="4"/>
      <c r="B1249" s="303"/>
      <c r="C1249" s="304"/>
      <c r="D1249" s="18"/>
    </row>
    <row r="1250" spans="1:4" ht="15.75" customHeight="1" thickBot="1" x14ac:dyDescent="0.3">
      <c r="A1250" s="4"/>
      <c r="B1250" s="303"/>
      <c r="C1250" s="304"/>
      <c r="D1250" s="18"/>
    </row>
    <row r="1251" spans="1:4" ht="15.75" customHeight="1" thickBot="1" x14ac:dyDescent="0.3">
      <c r="A1251" s="4"/>
      <c r="B1251" s="303"/>
      <c r="C1251" s="304"/>
      <c r="D1251" s="18"/>
    </row>
    <row r="1252" spans="1:4" ht="15.75" customHeight="1" thickBot="1" x14ac:dyDescent="0.3">
      <c r="A1252" s="4"/>
      <c r="B1252" s="303"/>
      <c r="C1252" s="304"/>
      <c r="D1252" s="18"/>
    </row>
    <row r="1253" spans="1:4" ht="15.75" customHeight="1" thickBot="1" x14ac:dyDescent="0.3">
      <c r="A1253" s="4"/>
      <c r="B1253" s="303"/>
      <c r="C1253" s="304"/>
      <c r="D1253" s="18"/>
    </row>
    <row r="1254" spans="1:4" ht="15.75" customHeight="1" thickBot="1" x14ac:dyDescent="0.3">
      <c r="A1254" s="4"/>
      <c r="B1254" s="303"/>
      <c r="C1254" s="304"/>
      <c r="D1254" s="18"/>
    </row>
    <row r="1255" spans="1:4" ht="15.75" customHeight="1" thickBot="1" x14ac:dyDescent="0.3">
      <c r="A1255" s="2"/>
      <c r="B1255" s="3"/>
      <c r="C1255" s="2"/>
      <c r="D1255" s="1"/>
    </row>
    <row r="1256" spans="1:4" ht="15.75" customHeight="1" thickBot="1" x14ac:dyDescent="0.3">
      <c r="A1256" s="300"/>
      <c r="B1256" s="301"/>
      <c r="C1256" s="301"/>
      <c r="D1256" s="302"/>
    </row>
    <row r="1257" spans="1:4" ht="15.75" customHeight="1" x14ac:dyDescent="0.25">
      <c r="A1257" s="5"/>
      <c r="B1257" s="6"/>
      <c r="C1257" s="7"/>
      <c r="D1257" s="8"/>
    </row>
    <row r="1258" spans="1:4" ht="15.75" customHeight="1" thickBot="1" x14ac:dyDescent="0.3">
      <c r="A1258" s="9"/>
      <c r="B1258" s="10"/>
      <c r="C1258" s="10"/>
      <c r="D1258" s="11"/>
    </row>
    <row r="1259" spans="1:4" ht="15.75" customHeight="1" thickBot="1" x14ac:dyDescent="0.3">
      <c r="A1259" s="15"/>
      <c r="B1259" s="16"/>
      <c r="C1259" s="21"/>
      <c r="D1259" s="16"/>
    </row>
    <row r="1260" spans="1:4" ht="15.75" customHeight="1" thickBot="1" x14ac:dyDescent="0.3">
      <c r="A1260" s="12"/>
      <c r="B1260" s="305"/>
      <c r="C1260" s="306"/>
      <c r="D1260" s="54"/>
    </row>
    <row r="1261" spans="1:4" ht="15.75" customHeight="1" thickBot="1" x14ac:dyDescent="0.3">
      <c r="A1261" s="38"/>
      <c r="B1261" s="45"/>
      <c r="C1261" s="45"/>
      <c r="D1261" s="45"/>
    </row>
    <row r="1262" spans="1:4" ht="15.75" customHeight="1" thickBot="1" x14ac:dyDescent="0.3">
      <c r="A1262" s="19"/>
      <c r="B1262" s="20"/>
      <c r="C1262" s="50"/>
      <c r="D1262" s="51"/>
    </row>
    <row r="1263" spans="1:4" ht="15.75" customHeight="1" thickBot="1" x14ac:dyDescent="0.3">
      <c r="A1263" s="19"/>
      <c r="B1263" s="20"/>
      <c r="C1263" s="52"/>
      <c r="D1263" s="53"/>
    </row>
    <row r="1264" spans="1:4" ht="15.75" customHeight="1" thickBot="1" x14ac:dyDescent="0.3">
      <c r="A1264" s="19"/>
      <c r="B1264" s="20"/>
      <c r="C1264" s="13"/>
      <c r="D1264" s="14"/>
    </row>
    <row r="1265" spans="1:4" ht="15.75" customHeight="1" thickBot="1" x14ac:dyDescent="0.3">
      <c r="A1265" s="2"/>
      <c r="B1265" s="3"/>
      <c r="C1265" s="2"/>
      <c r="D1265" s="1"/>
    </row>
    <row r="1266" spans="1:4" ht="15.75" customHeight="1" thickBot="1" x14ac:dyDescent="0.3">
      <c r="A1266" s="4"/>
      <c r="B1266" s="303"/>
      <c r="C1266" s="304"/>
      <c r="D1266" s="4"/>
    </row>
    <row r="1267" spans="1:4" ht="15.75" customHeight="1" thickBot="1" x14ac:dyDescent="0.3">
      <c r="A1267" s="4"/>
      <c r="B1267" s="303"/>
      <c r="C1267" s="304"/>
      <c r="D1267" s="18"/>
    </row>
    <row r="1268" spans="1:4" ht="15.75" customHeight="1" thickBot="1" x14ac:dyDescent="0.3">
      <c r="A1268" s="4"/>
      <c r="B1268" s="303"/>
      <c r="C1268" s="304"/>
      <c r="D1268" s="18"/>
    </row>
    <row r="1269" spans="1:4" ht="15.75" customHeight="1" thickBot="1" x14ac:dyDescent="0.3">
      <c r="A1269" s="4"/>
      <c r="B1269" s="303"/>
      <c r="C1269" s="304"/>
      <c r="D1269" s="18"/>
    </row>
    <row r="1270" spans="1:4" ht="15.75" customHeight="1" thickBot="1" x14ac:dyDescent="0.3">
      <c r="A1270" s="4"/>
      <c r="B1270" s="303"/>
      <c r="C1270" s="304"/>
      <c r="D1270" s="18"/>
    </row>
    <row r="1271" spans="1:4" ht="15.75" customHeight="1" thickBot="1" x14ac:dyDescent="0.3">
      <c r="A1271" s="4"/>
      <c r="B1271" s="303"/>
      <c r="C1271" s="304"/>
      <c r="D1271" s="18"/>
    </row>
    <row r="1272" spans="1:4" ht="15.75" customHeight="1" thickBot="1" x14ac:dyDescent="0.3">
      <c r="A1272" s="4"/>
      <c r="B1272" s="303"/>
      <c r="C1272" s="304"/>
      <c r="D1272" s="18"/>
    </row>
    <row r="1273" spans="1:4" ht="15.75" customHeight="1" thickBot="1" x14ac:dyDescent="0.3">
      <c r="A1273" s="4"/>
      <c r="B1273" s="303"/>
      <c r="C1273" s="304"/>
      <c r="D1273" s="18"/>
    </row>
    <row r="1274" spans="1:4" ht="15.75" customHeight="1" thickBot="1" x14ac:dyDescent="0.3">
      <c r="A1274" s="4"/>
      <c r="B1274" s="303"/>
      <c r="C1274" s="304"/>
      <c r="D1274" s="18"/>
    </row>
    <row r="1275" spans="1:4" ht="15.75" customHeight="1" thickBot="1" x14ac:dyDescent="0.3">
      <c r="A1275" s="2"/>
      <c r="B1275" s="3"/>
      <c r="C1275" s="2"/>
      <c r="D1275" s="1"/>
    </row>
    <row r="1276" spans="1:4" ht="15.75" customHeight="1" thickBot="1" x14ac:dyDescent="0.3">
      <c r="A1276" s="300"/>
      <c r="B1276" s="301"/>
      <c r="C1276" s="301"/>
      <c r="D1276" s="302"/>
    </row>
    <row r="1277" spans="1:4" ht="15.75" customHeight="1" x14ac:dyDescent="0.25">
      <c r="A1277" s="5"/>
      <c r="B1277" s="6"/>
      <c r="C1277" s="7"/>
      <c r="D1277" s="8"/>
    </row>
    <row r="1278" spans="1:4" ht="15.75" customHeight="1" thickBot="1" x14ac:dyDescent="0.3">
      <c r="A1278" s="9"/>
      <c r="B1278" s="10"/>
      <c r="C1278" s="10"/>
      <c r="D1278" s="11"/>
    </row>
    <row r="1279" spans="1:4" ht="15.75" customHeight="1" thickBot="1" x14ac:dyDescent="0.3">
      <c r="A1279" s="15"/>
      <c r="B1279" s="16"/>
      <c r="C1279" s="21"/>
      <c r="D1279" s="16"/>
    </row>
    <row r="1280" spans="1:4" ht="15.75" customHeight="1" thickBot="1" x14ac:dyDescent="0.3">
      <c r="A1280" s="12"/>
      <c r="B1280" s="305"/>
      <c r="C1280" s="306"/>
      <c r="D1280" s="54"/>
    </row>
    <row r="1281" spans="1:4" ht="15.75" customHeight="1" thickBot="1" x14ac:dyDescent="0.3">
      <c r="A1281" s="38"/>
      <c r="B1281" s="45"/>
      <c r="C1281" s="45"/>
      <c r="D1281" s="45"/>
    </row>
    <row r="1282" spans="1:4" ht="15.75" customHeight="1" thickBot="1" x14ac:dyDescent="0.3">
      <c r="A1282" s="19"/>
      <c r="B1282" s="20"/>
      <c r="C1282" s="50"/>
      <c r="D1282" s="51"/>
    </row>
    <row r="1283" spans="1:4" ht="15.75" customHeight="1" thickBot="1" x14ac:dyDescent="0.3">
      <c r="A1283" s="19"/>
      <c r="B1283" s="20"/>
      <c r="C1283" s="52"/>
      <c r="D1283" s="53"/>
    </row>
    <row r="1284" spans="1:4" ht="15.75" customHeight="1" thickBot="1" x14ac:dyDescent="0.3">
      <c r="A1284" s="19"/>
      <c r="B1284" s="20"/>
      <c r="C1284" s="13"/>
      <c r="D1284" s="14"/>
    </row>
    <row r="1285" spans="1:4" ht="15.75" customHeight="1" thickBot="1" x14ac:dyDescent="0.3">
      <c r="A1285" s="2"/>
      <c r="B1285" s="3"/>
      <c r="C1285" s="2"/>
      <c r="D1285" s="1"/>
    </row>
    <row r="1286" spans="1:4" ht="15.75" customHeight="1" thickBot="1" x14ac:dyDescent="0.3">
      <c r="A1286" s="4"/>
      <c r="B1286" s="303"/>
      <c r="C1286" s="304"/>
      <c r="D1286" s="4"/>
    </row>
    <row r="1287" spans="1:4" ht="15.75" customHeight="1" thickBot="1" x14ac:dyDescent="0.3">
      <c r="A1287" s="4"/>
      <c r="B1287" s="303"/>
      <c r="C1287" s="304"/>
      <c r="D1287" s="18"/>
    </row>
    <row r="1288" spans="1:4" ht="15.75" customHeight="1" thickBot="1" x14ac:dyDescent="0.3">
      <c r="A1288" s="4"/>
      <c r="B1288" s="303"/>
      <c r="C1288" s="304"/>
      <c r="D1288" s="18"/>
    </row>
    <row r="1289" spans="1:4" ht="15.75" customHeight="1" thickBot="1" x14ac:dyDescent="0.3">
      <c r="A1289" s="4"/>
      <c r="B1289" s="303"/>
      <c r="C1289" s="304"/>
      <c r="D1289" s="18"/>
    </row>
    <row r="1290" spans="1:4" ht="15.75" customHeight="1" thickBot="1" x14ac:dyDescent="0.3">
      <c r="A1290" s="4"/>
      <c r="B1290" s="303"/>
      <c r="C1290" s="304"/>
      <c r="D1290" s="18"/>
    </row>
    <row r="1291" spans="1:4" ht="15.75" customHeight="1" thickBot="1" x14ac:dyDescent="0.3">
      <c r="A1291" s="4"/>
      <c r="B1291" s="303"/>
      <c r="C1291" s="304"/>
      <c r="D1291" s="18"/>
    </row>
    <row r="1292" spans="1:4" ht="15.75" customHeight="1" thickBot="1" x14ac:dyDescent="0.3">
      <c r="A1292" s="4"/>
      <c r="B1292" s="303"/>
      <c r="C1292" s="304"/>
      <c r="D1292" s="18"/>
    </row>
    <row r="1293" spans="1:4" ht="15.75" customHeight="1" thickBot="1" x14ac:dyDescent="0.3">
      <c r="A1293" s="4"/>
      <c r="B1293" s="303"/>
      <c r="C1293" s="304"/>
      <c r="D1293" s="18"/>
    </row>
    <row r="1294" spans="1:4" ht="15.75" customHeight="1" thickBot="1" x14ac:dyDescent="0.3">
      <c r="A1294" s="4"/>
      <c r="B1294" s="303"/>
      <c r="C1294" s="304"/>
      <c r="D1294" s="18"/>
    </row>
    <row r="1295" spans="1:4" ht="15.75" customHeight="1" thickBot="1" x14ac:dyDescent="0.3">
      <c r="A1295" s="2"/>
      <c r="B1295" s="3"/>
      <c r="C1295" s="2"/>
      <c r="D1295" s="1"/>
    </row>
    <row r="1296" spans="1:4" ht="15.75" customHeight="1" thickBot="1" x14ac:dyDescent="0.3">
      <c r="A1296" s="300"/>
      <c r="B1296" s="301"/>
      <c r="C1296" s="301"/>
      <c r="D1296" s="302"/>
    </row>
    <row r="1297" spans="1:4" ht="15.75" customHeight="1" x14ac:dyDescent="0.25">
      <c r="A1297" s="5"/>
      <c r="B1297" s="6"/>
      <c r="C1297" s="7"/>
      <c r="D1297" s="8"/>
    </row>
    <row r="1298" spans="1:4" ht="15.75" customHeight="1" thickBot="1" x14ac:dyDescent="0.3">
      <c r="A1298" s="9"/>
      <c r="B1298" s="10"/>
      <c r="C1298" s="10"/>
      <c r="D1298" s="11"/>
    </row>
    <row r="1299" spans="1:4" ht="15.75" customHeight="1" thickBot="1" x14ac:dyDescent="0.3">
      <c r="A1299" s="15"/>
      <c r="B1299" s="16"/>
      <c r="C1299" s="21"/>
      <c r="D1299" s="16"/>
    </row>
    <row r="1300" spans="1:4" ht="15.75" customHeight="1" thickBot="1" x14ac:dyDescent="0.3">
      <c r="A1300" s="12"/>
      <c r="B1300" s="305"/>
      <c r="C1300" s="306"/>
      <c r="D1300" s="54"/>
    </row>
    <row r="1301" spans="1:4" ht="15.75" customHeight="1" thickBot="1" x14ac:dyDescent="0.3">
      <c r="A1301" s="38"/>
      <c r="B1301" s="45"/>
      <c r="C1301" s="45"/>
      <c r="D1301" s="45"/>
    </row>
    <row r="1302" spans="1:4" ht="15.75" customHeight="1" thickBot="1" x14ac:dyDescent="0.3">
      <c r="A1302" s="19"/>
      <c r="B1302" s="20"/>
      <c r="C1302" s="50"/>
      <c r="D1302" s="51"/>
    </row>
    <row r="1303" spans="1:4" ht="15.75" customHeight="1" thickBot="1" x14ac:dyDescent="0.3">
      <c r="A1303" s="19"/>
      <c r="B1303" s="20"/>
      <c r="C1303" s="52"/>
      <c r="D1303" s="53"/>
    </row>
    <row r="1304" spans="1:4" ht="15.75" customHeight="1" thickBot="1" x14ac:dyDescent="0.3">
      <c r="A1304" s="19"/>
      <c r="B1304" s="20"/>
      <c r="C1304" s="13"/>
      <c r="D1304" s="14"/>
    </row>
    <row r="1305" spans="1:4" ht="15.75" customHeight="1" thickBot="1" x14ac:dyDescent="0.3">
      <c r="A1305" s="2"/>
      <c r="B1305" s="3"/>
      <c r="C1305" s="2"/>
      <c r="D1305" s="1"/>
    </row>
    <row r="1306" spans="1:4" ht="15.75" customHeight="1" thickBot="1" x14ac:dyDescent="0.3">
      <c r="A1306" s="4"/>
      <c r="B1306" s="303"/>
      <c r="C1306" s="304"/>
      <c r="D1306" s="4"/>
    </row>
    <row r="1307" spans="1:4" ht="15.75" customHeight="1" thickBot="1" x14ac:dyDescent="0.3">
      <c r="A1307" s="4"/>
      <c r="B1307" s="303"/>
      <c r="C1307" s="304"/>
      <c r="D1307" s="18"/>
    </row>
    <row r="1308" spans="1:4" ht="15.75" customHeight="1" thickBot="1" x14ac:dyDescent="0.3">
      <c r="A1308" s="4"/>
      <c r="B1308" s="303"/>
      <c r="C1308" s="304"/>
      <c r="D1308" s="18"/>
    </row>
    <row r="1309" spans="1:4" ht="15.75" customHeight="1" thickBot="1" x14ac:dyDescent="0.3">
      <c r="A1309" s="4"/>
      <c r="B1309" s="303"/>
      <c r="C1309" s="304"/>
      <c r="D1309" s="18"/>
    </row>
    <row r="1310" spans="1:4" ht="15.75" customHeight="1" thickBot="1" x14ac:dyDescent="0.3">
      <c r="A1310" s="4"/>
      <c r="B1310" s="303"/>
      <c r="C1310" s="304"/>
      <c r="D1310" s="18"/>
    </row>
    <row r="1311" spans="1:4" ht="15.75" customHeight="1" thickBot="1" x14ac:dyDescent="0.3">
      <c r="A1311" s="4"/>
      <c r="B1311" s="303"/>
      <c r="C1311" s="304"/>
      <c r="D1311" s="18"/>
    </row>
    <row r="1312" spans="1:4" ht="15.75" customHeight="1" thickBot="1" x14ac:dyDescent="0.3">
      <c r="A1312" s="4"/>
      <c r="B1312" s="303"/>
      <c r="C1312" s="304"/>
      <c r="D1312" s="18"/>
    </row>
    <row r="1313" spans="1:4" ht="15.75" customHeight="1" thickBot="1" x14ac:dyDescent="0.3">
      <c r="A1313" s="4"/>
      <c r="B1313" s="303"/>
      <c r="C1313" s="304"/>
      <c r="D1313" s="18"/>
    </row>
    <row r="1314" spans="1:4" ht="15.75" customHeight="1" thickBot="1" x14ac:dyDescent="0.3">
      <c r="A1314" s="4"/>
      <c r="B1314" s="303"/>
      <c r="C1314" s="304"/>
      <c r="D1314" s="18"/>
    </row>
    <row r="1315" spans="1:4" ht="15.75" customHeight="1" thickBot="1" x14ac:dyDescent="0.3">
      <c r="A1315" s="2"/>
      <c r="B1315" s="3"/>
      <c r="C1315" s="2"/>
      <c r="D1315" s="1"/>
    </row>
    <row r="1316" spans="1:4" ht="15.75" customHeight="1" thickBot="1" x14ac:dyDescent="0.3">
      <c r="A1316" s="300"/>
      <c r="B1316" s="301"/>
      <c r="C1316" s="301"/>
      <c r="D1316" s="302"/>
    </row>
    <row r="1317" spans="1:4" ht="15.75" customHeight="1" x14ac:dyDescent="0.25">
      <c r="A1317" s="5"/>
      <c r="B1317" s="6"/>
      <c r="C1317" s="7"/>
      <c r="D1317" s="8"/>
    </row>
    <row r="1318" spans="1:4" ht="15.75" customHeight="1" thickBot="1" x14ac:dyDescent="0.3">
      <c r="A1318" s="9"/>
      <c r="B1318" s="10"/>
      <c r="C1318" s="10"/>
      <c r="D1318" s="11"/>
    </row>
    <row r="1319" spans="1:4" ht="15.75" customHeight="1" thickBot="1" x14ac:dyDescent="0.3">
      <c r="A1319" s="15"/>
      <c r="B1319" s="16"/>
      <c r="C1319" s="21"/>
      <c r="D1319" s="16"/>
    </row>
    <row r="1320" spans="1:4" ht="15.75" customHeight="1" thickBot="1" x14ac:dyDescent="0.3">
      <c r="A1320" s="12"/>
      <c r="B1320" s="305"/>
      <c r="C1320" s="306"/>
      <c r="D1320" s="54"/>
    </row>
    <row r="1321" spans="1:4" ht="15.75" customHeight="1" thickBot="1" x14ac:dyDescent="0.3">
      <c r="A1321" s="38"/>
      <c r="B1321" s="45"/>
      <c r="C1321" s="45"/>
      <c r="D1321" s="45"/>
    </row>
    <row r="1322" spans="1:4" ht="15.75" customHeight="1" thickBot="1" x14ac:dyDescent="0.3">
      <c r="A1322" s="19"/>
      <c r="B1322" s="20"/>
      <c r="C1322" s="50"/>
      <c r="D1322" s="51"/>
    </row>
    <row r="1323" spans="1:4" ht="15.75" customHeight="1" thickBot="1" x14ac:dyDescent="0.3">
      <c r="A1323" s="19"/>
      <c r="B1323" s="20"/>
      <c r="C1323" s="52"/>
      <c r="D1323" s="53"/>
    </row>
    <row r="1324" spans="1:4" ht="15.75" customHeight="1" thickBot="1" x14ac:dyDescent="0.3">
      <c r="A1324" s="19"/>
      <c r="B1324" s="20"/>
      <c r="C1324" s="13"/>
      <c r="D1324" s="14"/>
    </row>
    <row r="1325" spans="1:4" ht="15.75" customHeight="1" thickBot="1" x14ac:dyDescent="0.3">
      <c r="A1325" s="2"/>
      <c r="B1325" s="3"/>
      <c r="C1325" s="2"/>
      <c r="D1325" s="1"/>
    </row>
    <row r="1326" spans="1:4" ht="15.75" customHeight="1" thickBot="1" x14ac:dyDescent="0.3">
      <c r="A1326" s="4"/>
      <c r="B1326" s="303"/>
      <c r="C1326" s="304"/>
      <c r="D1326" s="4"/>
    </row>
    <row r="1327" spans="1:4" ht="15.75" customHeight="1" thickBot="1" x14ac:dyDescent="0.3">
      <c r="A1327" s="4"/>
      <c r="B1327" s="303"/>
      <c r="C1327" s="304"/>
      <c r="D1327" s="18"/>
    </row>
    <row r="1328" spans="1:4" ht="15.75" customHeight="1" thickBot="1" x14ac:dyDescent="0.3">
      <c r="A1328" s="4"/>
      <c r="B1328" s="303"/>
      <c r="C1328" s="304"/>
      <c r="D1328" s="18"/>
    </row>
    <row r="1329" spans="1:4" ht="15.75" customHeight="1" thickBot="1" x14ac:dyDescent="0.3">
      <c r="A1329" s="4"/>
      <c r="B1329" s="303"/>
      <c r="C1329" s="304"/>
      <c r="D1329" s="18"/>
    </row>
    <row r="1330" spans="1:4" ht="15.75" customHeight="1" thickBot="1" x14ac:dyDescent="0.3">
      <c r="A1330" s="4"/>
      <c r="B1330" s="303"/>
      <c r="C1330" s="304"/>
      <c r="D1330" s="18"/>
    </row>
    <row r="1331" spans="1:4" ht="15.75" customHeight="1" thickBot="1" x14ac:dyDescent="0.3">
      <c r="A1331" s="4"/>
      <c r="B1331" s="303"/>
      <c r="C1331" s="304"/>
      <c r="D1331" s="18"/>
    </row>
    <row r="1332" spans="1:4" ht="15.75" customHeight="1" thickBot="1" x14ac:dyDescent="0.3">
      <c r="A1332" s="4"/>
      <c r="B1332" s="303"/>
      <c r="C1332" s="304"/>
      <c r="D1332" s="18"/>
    </row>
    <row r="1333" spans="1:4" ht="15.75" customHeight="1" thickBot="1" x14ac:dyDescent="0.3">
      <c r="A1333" s="4"/>
      <c r="B1333" s="303"/>
      <c r="C1333" s="304"/>
      <c r="D1333" s="18"/>
    </row>
    <row r="1334" spans="1:4" ht="15.75" customHeight="1" thickBot="1" x14ac:dyDescent="0.3">
      <c r="A1334" s="4"/>
      <c r="B1334" s="303"/>
      <c r="C1334" s="304"/>
      <c r="D1334" s="18"/>
    </row>
    <row r="1335" spans="1:4" ht="15.75" customHeight="1" thickBot="1" x14ac:dyDescent="0.3">
      <c r="A1335" s="2"/>
      <c r="B1335" s="3"/>
      <c r="C1335" s="2"/>
      <c r="D1335" s="1"/>
    </row>
    <row r="1336" spans="1:4" ht="15.75" customHeight="1" thickBot="1" x14ac:dyDescent="0.3">
      <c r="A1336" s="300"/>
      <c r="B1336" s="301"/>
      <c r="C1336" s="301"/>
      <c r="D1336" s="302"/>
    </row>
    <row r="1337" spans="1:4" ht="15.75" customHeight="1" x14ac:dyDescent="0.25">
      <c r="A1337" s="5"/>
      <c r="B1337" s="6"/>
      <c r="C1337" s="7"/>
      <c r="D1337" s="8"/>
    </row>
    <row r="1338" spans="1:4" ht="15.75" customHeight="1" thickBot="1" x14ac:dyDescent="0.3">
      <c r="A1338" s="9"/>
      <c r="B1338" s="10"/>
      <c r="C1338" s="10"/>
      <c r="D1338" s="11"/>
    </row>
    <row r="1339" spans="1:4" ht="15.75" customHeight="1" thickBot="1" x14ac:dyDescent="0.3">
      <c r="A1339" s="15"/>
      <c r="B1339" s="16"/>
      <c r="C1339" s="21"/>
      <c r="D1339" s="16"/>
    </row>
    <row r="1340" spans="1:4" ht="15.75" customHeight="1" thickBot="1" x14ac:dyDescent="0.3">
      <c r="A1340" s="12"/>
      <c r="B1340" s="305"/>
      <c r="C1340" s="306"/>
      <c r="D1340" s="54"/>
    </row>
    <row r="1341" spans="1:4" ht="15.75" customHeight="1" thickBot="1" x14ac:dyDescent="0.3">
      <c r="A1341" s="38"/>
      <c r="B1341" s="45"/>
      <c r="C1341" s="45"/>
      <c r="D1341" s="45"/>
    </row>
    <row r="1342" spans="1:4" ht="15.75" customHeight="1" thickBot="1" x14ac:dyDescent="0.3">
      <c r="A1342" s="19"/>
      <c r="B1342" s="20"/>
      <c r="C1342" s="50"/>
      <c r="D1342" s="51"/>
    </row>
    <row r="1343" spans="1:4" ht="15.75" customHeight="1" thickBot="1" x14ac:dyDescent="0.3">
      <c r="A1343" s="19"/>
      <c r="B1343" s="20"/>
      <c r="C1343" s="52"/>
      <c r="D1343" s="53"/>
    </row>
    <row r="1344" spans="1:4" ht="15.75" customHeight="1" thickBot="1" x14ac:dyDescent="0.3">
      <c r="A1344" s="19"/>
      <c r="B1344" s="20"/>
      <c r="C1344" s="13"/>
      <c r="D1344" s="14"/>
    </row>
    <row r="1345" spans="1:4" ht="15.75" customHeight="1" thickBot="1" x14ac:dyDescent="0.3">
      <c r="A1345" s="2"/>
      <c r="B1345" s="3"/>
      <c r="C1345" s="2"/>
      <c r="D1345" s="1"/>
    </row>
    <row r="1346" spans="1:4" ht="15.75" customHeight="1" thickBot="1" x14ac:dyDescent="0.3">
      <c r="A1346" s="4"/>
      <c r="B1346" s="303"/>
      <c r="C1346" s="304"/>
      <c r="D1346" s="4"/>
    </row>
    <row r="1347" spans="1:4" ht="15.75" customHeight="1" thickBot="1" x14ac:dyDescent="0.3">
      <c r="A1347" s="4"/>
      <c r="B1347" s="303"/>
      <c r="C1347" s="304"/>
      <c r="D1347" s="18"/>
    </row>
    <row r="1348" spans="1:4" ht="15.75" customHeight="1" thickBot="1" x14ac:dyDescent="0.3">
      <c r="A1348" s="4"/>
      <c r="B1348" s="303"/>
      <c r="C1348" s="304"/>
      <c r="D1348" s="18"/>
    </row>
    <row r="1349" spans="1:4" ht="15.75" customHeight="1" thickBot="1" x14ac:dyDescent="0.3">
      <c r="A1349" s="4"/>
      <c r="B1349" s="303"/>
      <c r="C1349" s="304"/>
      <c r="D1349" s="18"/>
    </row>
    <row r="1350" spans="1:4" ht="15.75" customHeight="1" thickBot="1" x14ac:dyDescent="0.3">
      <c r="A1350" s="4"/>
      <c r="B1350" s="303"/>
      <c r="C1350" s="304"/>
      <c r="D1350" s="18"/>
    </row>
    <row r="1351" spans="1:4" ht="15.75" customHeight="1" thickBot="1" x14ac:dyDescent="0.3">
      <c r="A1351" s="4"/>
      <c r="B1351" s="303"/>
      <c r="C1351" s="304"/>
      <c r="D1351" s="18"/>
    </row>
    <row r="1352" spans="1:4" ht="15.75" customHeight="1" thickBot="1" x14ac:dyDescent="0.3">
      <c r="A1352" s="4"/>
      <c r="B1352" s="303"/>
      <c r="C1352" s="304"/>
      <c r="D1352" s="18"/>
    </row>
    <row r="1353" spans="1:4" ht="15.75" customHeight="1" thickBot="1" x14ac:dyDescent="0.3">
      <c r="A1353" s="4"/>
      <c r="B1353" s="303"/>
      <c r="C1353" s="304"/>
      <c r="D1353" s="18"/>
    </row>
    <row r="1354" spans="1:4" ht="15.75" customHeight="1" thickBot="1" x14ac:dyDescent="0.3">
      <c r="A1354" s="4"/>
      <c r="B1354" s="303"/>
      <c r="C1354" s="304"/>
      <c r="D1354" s="18"/>
    </row>
    <row r="1355" spans="1:4" ht="15.75" customHeight="1" thickBot="1" x14ac:dyDescent="0.3">
      <c r="A1355" s="2"/>
      <c r="B1355" s="3"/>
      <c r="C1355" s="2"/>
      <c r="D1355" s="1"/>
    </row>
    <row r="1356" spans="1:4" ht="15.75" customHeight="1" thickBot="1" x14ac:dyDescent="0.3">
      <c r="A1356" s="300"/>
      <c r="B1356" s="301"/>
      <c r="C1356" s="301"/>
      <c r="D1356" s="302"/>
    </row>
    <row r="1357" spans="1:4" ht="15.75" customHeight="1" x14ac:dyDescent="0.25">
      <c r="A1357" s="5"/>
      <c r="B1357" s="6"/>
      <c r="C1357" s="7"/>
      <c r="D1357" s="8"/>
    </row>
    <row r="1358" spans="1:4" ht="15.75" customHeight="1" thickBot="1" x14ac:dyDescent="0.3">
      <c r="A1358" s="9"/>
      <c r="B1358" s="10"/>
      <c r="C1358" s="10"/>
      <c r="D1358" s="11"/>
    </row>
    <row r="1359" spans="1:4" ht="15.75" customHeight="1" thickBot="1" x14ac:dyDescent="0.3">
      <c r="A1359" s="15"/>
      <c r="B1359" s="16"/>
      <c r="C1359" s="21"/>
      <c r="D1359" s="16"/>
    </row>
    <row r="1360" spans="1:4" ht="15.75" customHeight="1" thickBot="1" x14ac:dyDescent="0.3">
      <c r="A1360" s="12"/>
      <c r="B1360" s="305"/>
      <c r="C1360" s="306"/>
      <c r="D1360" s="54"/>
    </row>
    <row r="1361" spans="1:4" ht="15.75" customHeight="1" thickBot="1" x14ac:dyDescent="0.3">
      <c r="A1361" s="38"/>
      <c r="B1361" s="45"/>
      <c r="C1361" s="45"/>
      <c r="D1361" s="45"/>
    </row>
    <row r="1362" spans="1:4" ht="15.75" customHeight="1" thickBot="1" x14ac:dyDescent="0.3">
      <c r="A1362" s="19"/>
      <c r="B1362" s="20"/>
      <c r="C1362" s="50"/>
      <c r="D1362" s="51"/>
    </row>
    <row r="1363" spans="1:4" ht="15.75" customHeight="1" thickBot="1" x14ac:dyDescent="0.3">
      <c r="A1363" s="19"/>
      <c r="B1363" s="20"/>
      <c r="C1363" s="52"/>
      <c r="D1363" s="53"/>
    </row>
    <row r="1364" spans="1:4" ht="15.75" customHeight="1" thickBot="1" x14ac:dyDescent="0.3">
      <c r="A1364" s="19"/>
      <c r="B1364" s="20"/>
      <c r="C1364" s="13"/>
      <c r="D1364" s="14"/>
    </row>
    <row r="1365" spans="1:4" ht="15.75" customHeight="1" thickBot="1" x14ac:dyDescent="0.3">
      <c r="A1365" s="2"/>
      <c r="B1365" s="3"/>
      <c r="C1365" s="2"/>
      <c r="D1365" s="1"/>
    </row>
    <row r="1366" spans="1:4" ht="15.75" customHeight="1" thickBot="1" x14ac:dyDescent="0.3">
      <c r="A1366" s="4"/>
      <c r="B1366" s="303"/>
      <c r="C1366" s="304"/>
      <c r="D1366" s="4"/>
    </row>
    <row r="1367" spans="1:4" ht="15.75" customHeight="1" thickBot="1" x14ac:dyDescent="0.3">
      <c r="A1367" s="4"/>
      <c r="B1367" s="303"/>
      <c r="C1367" s="304"/>
      <c r="D1367" s="18"/>
    </row>
    <row r="1368" spans="1:4" ht="15.75" customHeight="1" thickBot="1" x14ac:dyDescent="0.3">
      <c r="A1368" s="4"/>
      <c r="B1368" s="303"/>
      <c r="C1368" s="304"/>
      <c r="D1368" s="18"/>
    </row>
    <row r="1369" spans="1:4" ht="15.75" customHeight="1" thickBot="1" x14ac:dyDescent="0.3">
      <c r="A1369" s="4"/>
      <c r="B1369" s="303"/>
      <c r="C1369" s="304"/>
      <c r="D1369" s="18"/>
    </row>
    <row r="1370" spans="1:4" ht="15.75" customHeight="1" thickBot="1" x14ac:dyDescent="0.3">
      <c r="A1370" s="4"/>
      <c r="B1370" s="303"/>
      <c r="C1370" s="304"/>
      <c r="D1370" s="18"/>
    </row>
    <row r="1371" spans="1:4" ht="15.75" customHeight="1" thickBot="1" x14ac:dyDescent="0.3">
      <c r="A1371" s="4"/>
      <c r="B1371" s="303"/>
      <c r="C1371" s="304"/>
      <c r="D1371" s="18"/>
    </row>
    <row r="1372" spans="1:4" ht="15.75" customHeight="1" thickBot="1" x14ac:dyDescent="0.3">
      <c r="A1372" s="4"/>
      <c r="B1372" s="303"/>
      <c r="C1372" s="304"/>
      <c r="D1372" s="18"/>
    </row>
    <row r="1373" spans="1:4" ht="15.75" customHeight="1" thickBot="1" x14ac:dyDescent="0.3">
      <c r="A1373" s="4"/>
      <c r="B1373" s="303"/>
      <c r="C1373" s="304"/>
      <c r="D1373" s="18"/>
    </row>
    <row r="1374" spans="1:4" ht="15.75" customHeight="1" thickBot="1" x14ac:dyDescent="0.3">
      <c r="A1374" s="4"/>
      <c r="B1374" s="303"/>
      <c r="C1374" s="304"/>
      <c r="D1374" s="18"/>
    </row>
    <row r="1375" spans="1:4" ht="15.75" customHeight="1" thickBot="1" x14ac:dyDescent="0.3">
      <c r="A1375" s="2"/>
      <c r="B1375" s="3"/>
      <c r="C1375" s="2"/>
      <c r="D1375" s="1"/>
    </row>
    <row r="1376" spans="1:4" ht="15.75" customHeight="1" thickBot="1" x14ac:dyDescent="0.3">
      <c r="A1376" s="300"/>
      <c r="B1376" s="301"/>
      <c r="C1376" s="301"/>
      <c r="D1376" s="302"/>
    </row>
    <row r="1377" spans="1:4" ht="15.75" customHeight="1" x14ac:dyDescent="0.25">
      <c r="A1377" s="5"/>
      <c r="B1377" s="6"/>
      <c r="C1377" s="7"/>
      <c r="D1377" s="8"/>
    </row>
    <row r="1378" spans="1:4" ht="15.75" customHeight="1" thickBot="1" x14ac:dyDescent="0.3">
      <c r="A1378" s="9"/>
      <c r="B1378" s="10"/>
      <c r="C1378" s="10"/>
      <c r="D1378" s="11"/>
    </row>
    <row r="1379" spans="1:4" ht="15.75" customHeight="1" thickBot="1" x14ac:dyDescent="0.3">
      <c r="A1379" s="15"/>
      <c r="B1379" s="16"/>
      <c r="C1379" s="21"/>
      <c r="D1379" s="16"/>
    </row>
    <row r="1380" spans="1:4" ht="15.75" customHeight="1" thickBot="1" x14ac:dyDescent="0.3">
      <c r="A1380" s="12"/>
      <c r="B1380" s="305"/>
      <c r="C1380" s="306"/>
      <c r="D1380" s="54"/>
    </row>
    <row r="1381" spans="1:4" ht="15.75" customHeight="1" thickBot="1" x14ac:dyDescent="0.3">
      <c r="A1381" s="38"/>
      <c r="B1381" s="45"/>
      <c r="C1381" s="45"/>
      <c r="D1381" s="45"/>
    </row>
    <row r="1382" spans="1:4" ht="15.75" customHeight="1" thickBot="1" x14ac:dyDescent="0.3">
      <c r="A1382" s="19"/>
      <c r="B1382" s="20"/>
      <c r="C1382" s="50"/>
      <c r="D1382" s="51"/>
    </row>
    <row r="1383" spans="1:4" ht="15.75" customHeight="1" thickBot="1" x14ac:dyDescent="0.3">
      <c r="A1383" s="19"/>
      <c r="B1383" s="20"/>
      <c r="C1383" s="52"/>
      <c r="D1383" s="53"/>
    </row>
    <row r="1384" spans="1:4" ht="15.75" customHeight="1" thickBot="1" x14ac:dyDescent="0.3">
      <c r="A1384" s="19"/>
      <c r="B1384" s="20"/>
      <c r="C1384" s="13"/>
      <c r="D1384" s="14"/>
    </row>
    <row r="1385" spans="1:4" ht="15.75" customHeight="1" thickBot="1" x14ac:dyDescent="0.3">
      <c r="A1385" s="2"/>
      <c r="B1385" s="3"/>
      <c r="C1385" s="2"/>
      <c r="D1385" s="1"/>
    </row>
    <row r="1386" spans="1:4" ht="15.75" customHeight="1" thickBot="1" x14ac:dyDescent="0.3">
      <c r="A1386" s="4"/>
      <c r="B1386" s="303"/>
      <c r="C1386" s="304"/>
      <c r="D1386" s="4"/>
    </row>
    <row r="1387" spans="1:4" ht="15.75" customHeight="1" thickBot="1" x14ac:dyDescent="0.3">
      <c r="A1387" s="4"/>
      <c r="B1387" s="303"/>
      <c r="C1387" s="304"/>
      <c r="D1387" s="18"/>
    </row>
    <row r="1388" spans="1:4" ht="15.75" customHeight="1" thickBot="1" x14ac:dyDescent="0.3">
      <c r="A1388" s="4"/>
      <c r="B1388" s="303"/>
      <c r="C1388" s="304"/>
      <c r="D1388" s="18"/>
    </row>
    <row r="1389" spans="1:4" ht="15.75" customHeight="1" thickBot="1" x14ac:dyDescent="0.3">
      <c r="A1389" s="4"/>
      <c r="B1389" s="303"/>
      <c r="C1389" s="304"/>
      <c r="D1389" s="18"/>
    </row>
    <row r="1390" spans="1:4" ht="15.75" customHeight="1" thickBot="1" x14ac:dyDescent="0.3">
      <c r="A1390" s="4"/>
      <c r="B1390" s="303"/>
      <c r="C1390" s="304"/>
      <c r="D1390" s="18"/>
    </row>
    <row r="1391" spans="1:4" ht="15.75" customHeight="1" thickBot="1" x14ac:dyDescent="0.3">
      <c r="A1391" s="4"/>
      <c r="B1391" s="303"/>
      <c r="C1391" s="304"/>
      <c r="D1391" s="18"/>
    </row>
    <row r="1392" spans="1:4" ht="15.75" customHeight="1" thickBot="1" x14ac:dyDescent="0.3">
      <c r="A1392" s="4"/>
      <c r="B1392" s="303"/>
      <c r="C1392" s="304"/>
      <c r="D1392" s="18"/>
    </row>
    <row r="1393" spans="1:4" ht="15.75" customHeight="1" thickBot="1" x14ac:dyDescent="0.3">
      <c r="A1393" s="4"/>
      <c r="B1393" s="303"/>
      <c r="C1393" s="304"/>
      <c r="D1393" s="18"/>
    </row>
    <row r="1394" spans="1:4" ht="15.75" customHeight="1" thickBot="1" x14ac:dyDescent="0.3">
      <c r="A1394" s="4"/>
      <c r="B1394" s="303"/>
      <c r="C1394" s="304"/>
      <c r="D1394" s="18"/>
    </row>
    <row r="1395" spans="1:4" ht="15.75" customHeight="1" thickBot="1" x14ac:dyDescent="0.3">
      <c r="A1395" s="2"/>
      <c r="B1395" s="3"/>
      <c r="C1395" s="2"/>
      <c r="D1395" s="1"/>
    </row>
    <row r="1396" spans="1:4" ht="15.75" customHeight="1" thickBot="1" x14ac:dyDescent="0.3">
      <c r="A1396" s="300"/>
      <c r="B1396" s="301"/>
      <c r="C1396" s="301"/>
      <c r="D1396" s="302"/>
    </row>
    <row r="1397" spans="1:4" ht="15.75" customHeight="1" x14ac:dyDescent="0.25">
      <c r="A1397" s="5"/>
      <c r="B1397" s="6"/>
      <c r="C1397" s="7"/>
      <c r="D1397" s="8"/>
    </row>
    <row r="1398" spans="1:4" ht="15.75" customHeight="1" thickBot="1" x14ac:dyDescent="0.3">
      <c r="A1398" s="9"/>
      <c r="B1398" s="10"/>
      <c r="C1398" s="10"/>
      <c r="D1398" s="11"/>
    </row>
    <row r="1399" spans="1:4" ht="15.75" customHeight="1" thickBot="1" x14ac:dyDescent="0.3">
      <c r="A1399" s="15"/>
      <c r="B1399" s="16"/>
      <c r="C1399" s="21"/>
      <c r="D1399" s="16"/>
    </row>
    <row r="1400" spans="1:4" ht="15.75" customHeight="1" thickBot="1" x14ac:dyDescent="0.3">
      <c r="A1400" s="12"/>
      <c r="B1400" s="305"/>
      <c r="C1400" s="306"/>
      <c r="D1400" s="54"/>
    </row>
    <row r="1401" spans="1:4" ht="15.75" customHeight="1" thickBot="1" x14ac:dyDescent="0.3">
      <c r="A1401" s="38"/>
      <c r="B1401" s="45"/>
      <c r="C1401" s="45"/>
      <c r="D1401" s="45"/>
    </row>
    <row r="1402" spans="1:4" ht="15.75" customHeight="1" thickBot="1" x14ac:dyDescent="0.3">
      <c r="A1402" s="19"/>
      <c r="B1402" s="20"/>
      <c r="C1402" s="50"/>
      <c r="D1402" s="51"/>
    </row>
    <row r="1403" spans="1:4" ht="15.75" customHeight="1" thickBot="1" x14ac:dyDescent="0.3">
      <c r="A1403" s="19"/>
      <c r="B1403" s="20"/>
      <c r="C1403" s="52"/>
      <c r="D1403" s="53"/>
    </row>
    <row r="1404" spans="1:4" ht="15.75" customHeight="1" thickBot="1" x14ac:dyDescent="0.3">
      <c r="A1404" s="19"/>
      <c r="B1404" s="20"/>
      <c r="C1404" s="13"/>
      <c r="D1404" s="14"/>
    </row>
    <row r="1405" spans="1:4" ht="15.75" customHeight="1" thickBot="1" x14ac:dyDescent="0.3">
      <c r="A1405" s="2"/>
      <c r="B1405" s="3"/>
      <c r="C1405" s="2"/>
      <c r="D1405" s="1"/>
    </row>
    <row r="1406" spans="1:4" ht="15.75" customHeight="1" thickBot="1" x14ac:dyDescent="0.3">
      <c r="A1406" s="4"/>
      <c r="B1406" s="303"/>
      <c r="C1406" s="304"/>
      <c r="D1406" s="4"/>
    </row>
    <row r="1407" spans="1:4" ht="15.75" customHeight="1" thickBot="1" x14ac:dyDescent="0.3">
      <c r="A1407" s="4"/>
      <c r="B1407" s="303"/>
      <c r="C1407" s="304"/>
      <c r="D1407" s="18"/>
    </row>
    <row r="1408" spans="1:4" ht="15.75" customHeight="1" thickBot="1" x14ac:dyDescent="0.3">
      <c r="A1408" s="4"/>
      <c r="B1408" s="303"/>
      <c r="C1408" s="304"/>
      <c r="D1408" s="18"/>
    </row>
    <row r="1409" spans="1:4" ht="15.75" customHeight="1" thickBot="1" x14ac:dyDescent="0.3">
      <c r="A1409" s="4"/>
      <c r="B1409" s="303"/>
      <c r="C1409" s="304"/>
      <c r="D1409" s="18"/>
    </row>
    <row r="1410" spans="1:4" ht="15.75" customHeight="1" thickBot="1" x14ac:dyDescent="0.3">
      <c r="A1410" s="4"/>
      <c r="B1410" s="303"/>
      <c r="C1410" s="304"/>
      <c r="D1410" s="18"/>
    </row>
    <row r="1411" spans="1:4" ht="15.75" customHeight="1" thickBot="1" x14ac:dyDescent="0.3">
      <c r="A1411" s="4"/>
      <c r="B1411" s="303"/>
      <c r="C1411" s="304"/>
      <c r="D1411" s="18"/>
    </row>
    <row r="1412" spans="1:4" ht="15.75" customHeight="1" thickBot="1" x14ac:dyDescent="0.3">
      <c r="A1412" s="4"/>
      <c r="B1412" s="303"/>
      <c r="C1412" s="304"/>
      <c r="D1412" s="18"/>
    </row>
    <row r="1413" spans="1:4" ht="15.75" customHeight="1" thickBot="1" x14ac:dyDescent="0.3">
      <c r="A1413" s="4"/>
      <c r="B1413" s="303"/>
      <c r="C1413" s="304"/>
      <c r="D1413" s="18"/>
    </row>
    <row r="1414" spans="1:4" ht="15.75" customHeight="1" thickBot="1" x14ac:dyDescent="0.3">
      <c r="A1414" s="4"/>
      <c r="B1414" s="303"/>
      <c r="C1414" s="304"/>
      <c r="D1414" s="18"/>
    </row>
    <row r="1415" spans="1:4" ht="15.75" customHeight="1" thickBot="1" x14ac:dyDescent="0.3">
      <c r="A1415" s="2"/>
      <c r="B1415" s="3"/>
      <c r="C1415" s="2"/>
      <c r="D1415" s="1"/>
    </row>
    <row r="1416" spans="1:4" ht="15.75" customHeight="1" thickBot="1" x14ac:dyDescent="0.3">
      <c r="A1416" s="300"/>
      <c r="B1416" s="301"/>
      <c r="C1416" s="301"/>
      <c r="D1416" s="302"/>
    </row>
    <row r="1417" spans="1:4" ht="15.75" customHeight="1" x14ac:dyDescent="0.25">
      <c r="A1417" s="5"/>
      <c r="B1417" s="6"/>
      <c r="C1417" s="7"/>
      <c r="D1417" s="8"/>
    </row>
    <row r="1418" spans="1:4" ht="15.75" customHeight="1" thickBot="1" x14ac:dyDescent="0.3">
      <c r="A1418" s="9"/>
      <c r="B1418" s="10"/>
      <c r="C1418" s="10"/>
      <c r="D1418" s="11"/>
    </row>
    <row r="1419" spans="1:4" ht="15.75" customHeight="1" thickBot="1" x14ac:dyDescent="0.3">
      <c r="A1419" s="15"/>
      <c r="B1419" s="16"/>
      <c r="C1419" s="21"/>
      <c r="D1419" s="16"/>
    </row>
    <row r="1420" spans="1:4" ht="15.75" customHeight="1" thickBot="1" x14ac:dyDescent="0.3">
      <c r="A1420" s="12"/>
      <c r="B1420" s="305"/>
      <c r="C1420" s="306"/>
      <c r="D1420" s="54"/>
    </row>
    <row r="1421" spans="1:4" ht="15.75" customHeight="1" thickBot="1" x14ac:dyDescent="0.3">
      <c r="A1421" s="38"/>
      <c r="B1421" s="45"/>
      <c r="C1421" s="45"/>
      <c r="D1421" s="45"/>
    </row>
    <row r="1422" spans="1:4" ht="15.75" customHeight="1" thickBot="1" x14ac:dyDescent="0.3">
      <c r="A1422" s="19"/>
      <c r="B1422" s="20"/>
      <c r="C1422" s="50"/>
      <c r="D1422" s="51"/>
    </row>
    <row r="1423" spans="1:4" ht="15.75" customHeight="1" thickBot="1" x14ac:dyDescent="0.3">
      <c r="A1423" s="19"/>
      <c r="B1423" s="20"/>
      <c r="C1423" s="52"/>
      <c r="D1423" s="53"/>
    </row>
    <row r="1424" spans="1:4" ht="15.75" customHeight="1" thickBot="1" x14ac:dyDescent="0.3">
      <c r="A1424" s="19"/>
      <c r="B1424" s="20"/>
      <c r="C1424" s="13"/>
      <c r="D1424" s="14"/>
    </row>
    <row r="1425" spans="1:4" ht="15.75" customHeight="1" thickBot="1" x14ac:dyDescent="0.3">
      <c r="A1425" s="2"/>
      <c r="B1425" s="3"/>
      <c r="C1425" s="2"/>
      <c r="D1425" s="1"/>
    </row>
    <row r="1426" spans="1:4" ht="15.75" customHeight="1" thickBot="1" x14ac:dyDescent="0.3">
      <c r="A1426" s="4"/>
      <c r="B1426" s="303"/>
      <c r="C1426" s="304"/>
      <c r="D1426" s="4"/>
    </row>
    <row r="1427" spans="1:4" ht="15.75" customHeight="1" thickBot="1" x14ac:dyDescent="0.3">
      <c r="A1427" s="4"/>
      <c r="B1427" s="303"/>
      <c r="C1427" s="304"/>
      <c r="D1427" s="18"/>
    </row>
    <row r="1428" spans="1:4" ht="15.75" customHeight="1" thickBot="1" x14ac:dyDescent="0.3">
      <c r="A1428" s="4"/>
      <c r="B1428" s="303"/>
      <c r="C1428" s="304"/>
      <c r="D1428" s="18"/>
    </row>
    <row r="1429" spans="1:4" ht="15.75" customHeight="1" thickBot="1" x14ac:dyDescent="0.3">
      <c r="A1429" s="4"/>
      <c r="B1429" s="303"/>
      <c r="C1429" s="304"/>
      <c r="D1429" s="18"/>
    </row>
    <row r="1430" spans="1:4" ht="15.75" customHeight="1" thickBot="1" x14ac:dyDescent="0.3">
      <c r="A1430" s="4"/>
      <c r="B1430" s="303"/>
      <c r="C1430" s="304"/>
      <c r="D1430" s="18"/>
    </row>
    <row r="1431" spans="1:4" ht="15.75" customHeight="1" thickBot="1" x14ac:dyDescent="0.3">
      <c r="A1431" s="4"/>
      <c r="B1431" s="303"/>
      <c r="C1431" s="304"/>
      <c r="D1431" s="18"/>
    </row>
    <row r="1432" spans="1:4" ht="15.75" customHeight="1" thickBot="1" x14ac:dyDescent="0.3">
      <c r="A1432" s="4"/>
      <c r="B1432" s="303"/>
      <c r="C1432" s="304"/>
      <c r="D1432" s="18"/>
    </row>
    <row r="1433" spans="1:4" ht="15.75" customHeight="1" thickBot="1" x14ac:dyDescent="0.3">
      <c r="A1433" s="4"/>
      <c r="B1433" s="303"/>
      <c r="C1433" s="304"/>
      <c r="D1433" s="18"/>
    </row>
    <row r="1434" spans="1:4" ht="15.75" customHeight="1" thickBot="1" x14ac:dyDescent="0.3">
      <c r="A1434" s="4"/>
      <c r="B1434" s="303"/>
      <c r="C1434" s="304"/>
      <c r="D1434" s="18"/>
    </row>
    <row r="1435" spans="1:4" ht="15.75" customHeight="1" thickBot="1" x14ac:dyDescent="0.3">
      <c r="A1435" s="2"/>
      <c r="B1435" s="3"/>
      <c r="C1435" s="2"/>
      <c r="D1435" s="1"/>
    </row>
    <row r="1436" spans="1:4" ht="15.75" customHeight="1" thickBot="1" x14ac:dyDescent="0.3">
      <c r="A1436" s="300"/>
      <c r="B1436" s="301"/>
      <c r="C1436" s="301"/>
      <c r="D1436" s="302"/>
    </row>
    <row r="1437" spans="1:4" ht="15.75" customHeight="1" x14ac:dyDescent="0.25">
      <c r="A1437" s="5"/>
      <c r="B1437" s="6"/>
      <c r="C1437" s="7"/>
      <c r="D1437" s="8"/>
    </row>
    <row r="1438" spans="1:4" ht="15.75" customHeight="1" thickBot="1" x14ac:dyDescent="0.3">
      <c r="A1438" s="9"/>
      <c r="B1438" s="10"/>
      <c r="C1438" s="10"/>
      <c r="D1438" s="11"/>
    </row>
    <row r="1439" spans="1:4" ht="15.75" customHeight="1" thickBot="1" x14ac:dyDescent="0.3">
      <c r="A1439" s="15"/>
      <c r="B1439" s="16"/>
      <c r="C1439" s="21"/>
      <c r="D1439" s="16"/>
    </row>
    <row r="1440" spans="1:4" ht="15.75" customHeight="1" thickBot="1" x14ac:dyDescent="0.3">
      <c r="A1440" s="12"/>
      <c r="B1440" s="305"/>
      <c r="C1440" s="306"/>
      <c r="D1440" s="54"/>
    </row>
    <row r="1441" spans="1:4" ht="15.75" customHeight="1" thickBot="1" x14ac:dyDescent="0.3">
      <c r="A1441" s="38"/>
      <c r="B1441" s="45"/>
      <c r="C1441" s="45"/>
      <c r="D1441" s="45"/>
    </row>
    <row r="1442" spans="1:4" ht="15.75" customHeight="1" thickBot="1" x14ac:dyDescent="0.3">
      <c r="A1442" s="19"/>
      <c r="B1442" s="20"/>
      <c r="C1442" s="50"/>
      <c r="D1442" s="51"/>
    </row>
    <row r="1443" spans="1:4" ht="15.75" customHeight="1" thickBot="1" x14ac:dyDescent="0.3">
      <c r="A1443" s="19"/>
      <c r="B1443" s="20"/>
      <c r="C1443" s="52"/>
      <c r="D1443" s="53"/>
    </row>
    <row r="1444" spans="1:4" ht="15.75" customHeight="1" thickBot="1" x14ac:dyDescent="0.3">
      <c r="A1444" s="19"/>
      <c r="B1444" s="20"/>
      <c r="C1444" s="13"/>
      <c r="D1444" s="14"/>
    </row>
    <row r="1445" spans="1:4" ht="15.75" customHeight="1" thickBot="1" x14ac:dyDescent="0.3">
      <c r="A1445" s="2"/>
      <c r="B1445" s="3"/>
      <c r="C1445" s="2"/>
      <c r="D1445" s="1"/>
    </row>
    <row r="1446" spans="1:4" ht="15.75" customHeight="1" thickBot="1" x14ac:dyDescent="0.3">
      <c r="A1446" s="4"/>
      <c r="B1446" s="303"/>
      <c r="C1446" s="304"/>
      <c r="D1446" s="4"/>
    </row>
    <row r="1447" spans="1:4" ht="15.75" customHeight="1" thickBot="1" x14ac:dyDescent="0.3">
      <c r="A1447" s="4"/>
      <c r="B1447" s="303"/>
      <c r="C1447" s="304"/>
      <c r="D1447" s="18"/>
    </row>
    <row r="1448" spans="1:4" ht="15.75" customHeight="1" thickBot="1" x14ac:dyDescent="0.3">
      <c r="A1448" s="4"/>
      <c r="B1448" s="303"/>
      <c r="C1448" s="304"/>
      <c r="D1448" s="18"/>
    </row>
    <row r="1449" spans="1:4" ht="15.75" customHeight="1" thickBot="1" x14ac:dyDescent="0.3">
      <c r="A1449" s="4"/>
      <c r="B1449" s="303"/>
      <c r="C1449" s="304"/>
      <c r="D1449" s="18"/>
    </row>
    <row r="1450" spans="1:4" ht="15.75" customHeight="1" thickBot="1" x14ac:dyDescent="0.3">
      <c r="A1450" s="4"/>
      <c r="B1450" s="303"/>
      <c r="C1450" s="304"/>
      <c r="D1450" s="18"/>
    </row>
    <row r="1451" spans="1:4" ht="15.75" customHeight="1" thickBot="1" x14ac:dyDescent="0.3">
      <c r="A1451" s="4"/>
      <c r="B1451" s="303"/>
      <c r="C1451" s="304"/>
      <c r="D1451" s="18"/>
    </row>
    <row r="1452" spans="1:4" ht="15.75" customHeight="1" thickBot="1" x14ac:dyDescent="0.3">
      <c r="A1452" s="4"/>
      <c r="B1452" s="303"/>
      <c r="C1452" s="304"/>
      <c r="D1452" s="18"/>
    </row>
    <row r="1453" spans="1:4" ht="15.75" customHeight="1" thickBot="1" x14ac:dyDescent="0.3">
      <c r="A1453" s="4"/>
      <c r="B1453" s="303"/>
      <c r="C1453" s="304"/>
      <c r="D1453" s="18"/>
    </row>
    <row r="1454" spans="1:4" ht="15.75" customHeight="1" thickBot="1" x14ac:dyDescent="0.3">
      <c r="A1454" s="4"/>
      <c r="B1454" s="303"/>
      <c r="C1454" s="304"/>
      <c r="D1454" s="18"/>
    </row>
    <row r="1455" spans="1:4" ht="15.75" customHeight="1" thickBot="1" x14ac:dyDescent="0.3">
      <c r="A1455" s="2"/>
      <c r="B1455" s="3"/>
      <c r="C1455" s="2"/>
      <c r="D1455" s="1"/>
    </row>
    <row r="1456" spans="1:4" ht="15.75" customHeight="1" thickBot="1" x14ac:dyDescent="0.3">
      <c r="A1456" s="300"/>
      <c r="B1456" s="301"/>
      <c r="C1456" s="301"/>
      <c r="D1456" s="302"/>
    </row>
    <row r="1457" spans="1:4" ht="15.75" customHeight="1" x14ac:dyDescent="0.25">
      <c r="A1457" s="5"/>
      <c r="B1457" s="6"/>
      <c r="C1457" s="7"/>
      <c r="D1457" s="8"/>
    </row>
    <row r="1458" spans="1:4" ht="15.75" customHeight="1" thickBot="1" x14ac:dyDescent="0.3">
      <c r="A1458" s="9"/>
      <c r="B1458" s="10"/>
      <c r="C1458" s="10"/>
      <c r="D1458" s="11"/>
    </row>
    <row r="1459" spans="1:4" ht="15.75" customHeight="1" thickBot="1" x14ac:dyDescent="0.3">
      <c r="A1459" s="15"/>
      <c r="B1459" s="16"/>
      <c r="C1459" s="21"/>
      <c r="D1459" s="16"/>
    </row>
    <row r="1460" spans="1:4" ht="15.75" customHeight="1" thickBot="1" x14ac:dyDescent="0.3">
      <c r="A1460" s="12"/>
      <c r="B1460" s="305"/>
      <c r="C1460" s="306"/>
      <c r="D1460" s="54"/>
    </row>
    <row r="1461" spans="1:4" ht="15.75" customHeight="1" thickBot="1" x14ac:dyDescent="0.3">
      <c r="A1461" s="38"/>
      <c r="B1461" s="45"/>
      <c r="C1461" s="45"/>
      <c r="D1461" s="45"/>
    </row>
    <row r="1462" spans="1:4" ht="15.75" customHeight="1" thickBot="1" x14ac:dyDescent="0.3">
      <c r="A1462" s="19"/>
      <c r="B1462" s="20"/>
      <c r="C1462" s="50"/>
      <c r="D1462" s="51"/>
    </row>
    <row r="1463" spans="1:4" ht="15.75" customHeight="1" thickBot="1" x14ac:dyDescent="0.3">
      <c r="A1463" s="19"/>
      <c r="B1463" s="20"/>
      <c r="C1463" s="52"/>
      <c r="D1463" s="53"/>
    </row>
    <row r="1464" spans="1:4" ht="15.75" customHeight="1" thickBot="1" x14ac:dyDescent="0.3">
      <c r="A1464" s="19"/>
      <c r="B1464" s="20"/>
      <c r="C1464" s="13"/>
      <c r="D1464" s="14"/>
    </row>
    <row r="1465" spans="1:4" ht="15.75" customHeight="1" thickBot="1" x14ac:dyDescent="0.3">
      <c r="A1465" s="2"/>
      <c r="B1465" s="3"/>
      <c r="C1465" s="2"/>
      <c r="D1465" s="1"/>
    </row>
    <row r="1466" spans="1:4" ht="15.75" customHeight="1" thickBot="1" x14ac:dyDescent="0.3">
      <c r="A1466" s="4"/>
      <c r="B1466" s="303"/>
      <c r="C1466" s="304"/>
      <c r="D1466" s="4"/>
    </row>
    <row r="1467" spans="1:4" ht="15.75" customHeight="1" thickBot="1" x14ac:dyDescent="0.3">
      <c r="A1467" s="4"/>
      <c r="B1467" s="303"/>
      <c r="C1467" s="304"/>
      <c r="D1467" s="18"/>
    </row>
    <row r="1468" spans="1:4" ht="15.75" customHeight="1" thickBot="1" x14ac:dyDescent="0.3">
      <c r="A1468" s="4"/>
      <c r="B1468" s="303"/>
      <c r="C1468" s="304"/>
      <c r="D1468" s="18"/>
    </row>
    <row r="1469" spans="1:4" ht="15.75" customHeight="1" thickBot="1" x14ac:dyDescent="0.3">
      <c r="A1469" s="4"/>
      <c r="B1469" s="303"/>
      <c r="C1469" s="304"/>
      <c r="D1469" s="18"/>
    </row>
    <row r="1470" spans="1:4" ht="15.75" customHeight="1" thickBot="1" x14ac:dyDescent="0.3">
      <c r="A1470" s="4"/>
      <c r="B1470" s="303"/>
      <c r="C1470" s="304"/>
      <c r="D1470" s="18"/>
    </row>
    <row r="1471" spans="1:4" ht="15.75" customHeight="1" thickBot="1" x14ac:dyDescent="0.3">
      <c r="A1471" s="4"/>
      <c r="B1471" s="303"/>
      <c r="C1471" s="304"/>
      <c r="D1471" s="18"/>
    </row>
    <row r="1472" spans="1:4" ht="15.75" customHeight="1" thickBot="1" x14ac:dyDescent="0.3">
      <c r="A1472" s="4"/>
      <c r="B1472" s="303"/>
      <c r="C1472" s="304"/>
      <c r="D1472" s="18"/>
    </row>
    <row r="1473" spans="1:4" ht="15.75" customHeight="1" thickBot="1" x14ac:dyDescent="0.3">
      <c r="A1473" s="4"/>
      <c r="B1473" s="303"/>
      <c r="C1473" s="304"/>
      <c r="D1473" s="18"/>
    </row>
    <row r="1474" spans="1:4" ht="15.75" customHeight="1" thickBot="1" x14ac:dyDescent="0.3">
      <c r="A1474" s="4"/>
      <c r="B1474" s="303"/>
      <c r="C1474" s="304"/>
      <c r="D1474" s="18"/>
    </row>
    <row r="1475" spans="1:4" ht="15.75" customHeight="1" thickBot="1" x14ac:dyDescent="0.3">
      <c r="A1475" s="2"/>
      <c r="B1475" s="3"/>
      <c r="C1475" s="2"/>
      <c r="D1475" s="1"/>
    </row>
    <row r="1476" spans="1:4" ht="15.75" customHeight="1" thickBot="1" x14ac:dyDescent="0.3">
      <c r="A1476" s="300"/>
      <c r="B1476" s="301"/>
      <c r="C1476" s="301"/>
      <c r="D1476" s="302"/>
    </row>
    <row r="1477" spans="1:4" ht="15.75" customHeight="1" x14ac:dyDescent="0.25">
      <c r="A1477" s="5"/>
      <c r="B1477" s="6"/>
      <c r="C1477" s="7"/>
      <c r="D1477" s="8"/>
    </row>
    <row r="1478" spans="1:4" ht="15.75" customHeight="1" thickBot="1" x14ac:dyDescent="0.3">
      <c r="A1478" s="9"/>
      <c r="B1478" s="10"/>
      <c r="C1478" s="10"/>
      <c r="D1478" s="11"/>
    </row>
    <row r="1479" spans="1:4" ht="15.75" customHeight="1" thickBot="1" x14ac:dyDescent="0.3">
      <c r="A1479" s="15"/>
      <c r="B1479" s="16"/>
      <c r="C1479" s="21"/>
      <c r="D1479" s="16"/>
    </row>
    <row r="1480" spans="1:4" ht="15.75" customHeight="1" thickBot="1" x14ac:dyDescent="0.3">
      <c r="A1480" s="12"/>
      <c r="B1480" s="305"/>
      <c r="C1480" s="306"/>
      <c r="D1480" s="54"/>
    </row>
    <row r="1481" spans="1:4" ht="15.75" customHeight="1" thickBot="1" x14ac:dyDescent="0.3">
      <c r="A1481" s="38"/>
      <c r="B1481" s="45"/>
      <c r="C1481" s="45"/>
      <c r="D1481" s="45"/>
    </row>
    <row r="1482" spans="1:4" ht="15.75" customHeight="1" thickBot="1" x14ac:dyDescent="0.3">
      <c r="A1482" s="19"/>
      <c r="B1482" s="20"/>
      <c r="C1482" s="50"/>
      <c r="D1482" s="51"/>
    </row>
    <row r="1483" spans="1:4" ht="15.75" customHeight="1" thickBot="1" x14ac:dyDescent="0.3">
      <c r="A1483" s="19"/>
      <c r="B1483" s="20"/>
      <c r="C1483" s="52"/>
      <c r="D1483" s="53"/>
    </row>
    <row r="1484" spans="1:4" ht="15.75" customHeight="1" thickBot="1" x14ac:dyDescent="0.3">
      <c r="A1484" s="19"/>
      <c r="B1484" s="20"/>
      <c r="C1484" s="13"/>
      <c r="D1484" s="14"/>
    </row>
    <row r="1485" spans="1:4" ht="15.75" customHeight="1" thickBot="1" x14ac:dyDescent="0.3">
      <c r="A1485" s="2"/>
      <c r="B1485" s="3"/>
      <c r="C1485" s="2"/>
      <c r="D1485" s="1"/>
    </row>
    <row r="1486" spans="1:4" ht="15.75" customHeight="1" thickBot="1" x14ac:dyDescent="0.3">
      <c r="A1486" s="4"/>
      <c r="B1486" s="303"/>
      <c r="C1486" s="304"/>
      <c r="D1486" s="4"/>
    </row>
    <row r="1487" spans="1:4" ht="15.75" customHeight="1" thickBot="1" x14ac:dyDescent="0.3">
      <c r="A1487" s="4"/>
      <c r="B1487" s="303"/>
      <c r="C1487" s="304"/>
      <c r="D1487" s="18"/>
    </row>
    <row r="1488" spans="1:4" ht="15.75" customHeight="1" thickBot="1" x14ac:dyDescent="0.3">
      <c r="A1488" s="4"/>
      <c r="B1488" s="303"/>
      <c r="C1488" s="304"/>
      <c r="D1488" s="18"/>
    </row>
    <row r="1489" spans="1:4" ht="15.75" customHeight="1" thickBot="1" x14ac:dyDescent="0.3">
      <c r="A1489" s="4"/>
      <c r="B1489" s="303"/>
      <c r="C1489" s="304"/>
      <c r="D1489" s="18"/>
    </row>
    <row r="1490" spans="1:4" ht="15.75" customHeight="1" thickBot="1" x14ac:dyDescent="0.3">
      <c r="A1490" s="4"/>
      <c r="B1490" s="303"/>
      <c r="C1490" s="304"/>
      <c r="D1490" s="18"/>
    </row>
    <row r="1491" spans="1:4" ht="15.75" customHeight="1" thickBot="1" x14ac:dyDescent="0.3">
      <c r="A1491" s="4"/>
      <c r="B1491" s="303"/>
      <c r="C1491" s="304"/>
      <c r="D1491" s="18"/>
    </row>
    <row r="1492" spans="1:4" ht="15.75" customHeight="1" thickBot="1" x14ac:dyDescent="0.3">
      <c r="A1492" s="4"/>
      <c r="B1492" s="303"/>
      <c r="C1492" s="304"/>
      <c r="D1492" s="18"/>
    </row>
    <row r="1493" spans="1:4" ht="15.75" customHeight="1" thickBot="1" x14ac:dyDescent="0.3">
      <c r="A1493" s="4"/>
      <c r="B1493" s="303"/>
      <c r="C1493" s="304"/>
      <c r="D1493" s="18"/>
    </row>
    <row r="1494" spans="1:4" ht="15.75" customHeight="1" thickBot="1" x14ac:dyDescent="0.3">
      <c r="A1494" s="4"/>
      <c r="B1494" s="303"/>
      <c r="C1494" s="304"/>
      <c r="D1494" s="18"/>
    </row>
    <row r="1495" spans="1:4" ht="15.75" customHeight="1" thickBot="1" x14ac:dyDescent="0.3">
      <c r="A1495" s="2"/>
      <c r="B1495" s="3"/>
      <c r="C1495" s="2"/>
      <c r="D1495" s="1"/>
    </row>
    <row r="1496" spans="1:4" ht="15.75" customHeight="1" thickBot="1" x14ac:dyDescent="0.3">
      <c r="A1496" s="300"/>
      <c r="B1496" s="301"/>
      <c r="C1496" s="301"/>
      <c r="D1496" s="302"/>
    </row>
    <row r="1497" spans="1:4" ht="15.75" customHeight="1" x14ac:dyDescent="0.25">
      <c r="A1497" s="5"/>
      <c r="B1497" s="6"/>
      <c r="C1497" s="7"/>
      <c r="D1497" s="8"/>
    </row>
    <row r="1498" spans="1:4" ht="15.75" customHeight="1" thickBot="1" x14ac:dyDescent="0.3">
      <c r="A1498" s="9"/>
      <c r="B1498" s="10"/>
      <c r="C1498" s="10"/>
      <c r="D1498" s="11"/>
    </row>
    <row r="1499" spans="1:4" ht="15.75" customHeight="1" thickBot="1" x14ac:dyDescent="0.3">
      <c r="A1499" s="15"/>
      <c r="B1499" s="16"/>
      <c r="C1499" s="21"/>
      <c r="D1499" s="16"/>
    </row>
    <row r="1500" spans="1:4" ht="15.75" customHeight="1" thickBot="1" x14ac:dyDescent="0.3">
      <c r="A1500" s="12"/>
      <c r="B1500" s="305"/>
      <c r="C1500" s="306"/>
      <c r="D1500" s="54"/>
    </row>
    <row r="1501" spans="1:4" ht="15.75" customHeight="1" thickBot="1" x14ac:dyDescent="0.3">
      <c r="A1501" s="38"/>
      <c r="B1501" s="45"/>
      <c r="C1501" s="45"/>
      <c r="D1501" s="45"/>
    </row>
    <row r="1502" spans="1:4" ht="15.75" customHeight="1" thickBot="1" x14ac:dyDescent="0.3">
      <c r="A1502" s="19"/>
      <c r="B1502" s="20"/>
      <c r="C1502" s="50"/>
      <c r="D1502" s="51"/>
    </row>
    <row r="1503" spans="1:4" ht="15.75" customHeight="1" thickBot="1" x14ac:dyDescent="0.3">
      <c r="A1503" s="19"/>
      <c r="B1503" s="20"/>
      <c r="C1503" s="52"/>
      <c r="D1503" s="53"/>
    </row>
    <row r="1504" spans="1:4" ht="15.75" customHeight="1" thickBot="1" x14ac:dyDescent="0.3">
      <c r="A1504" s="19"/>
      <c r="B1504" s="20"/>
      <c r="C1504" s="13"/>
      <c r="D1504" s="14"/>
    </row>
    <row r="1505" spans="1:4" ht="15.75" customHeight="1" thickBot="1" x14ac:dyDescent="0.3">
      <c r="A1505" s="2"/>
      <c r="B1505" s="3"/>
      <c r="C1505" s="2"/>
      <c r="D1505" s="1"/>
    </row>
    <row r="1506" spans="1:4" ht="15.75" customHeight="1" thickBot="1" x14ac:dyDescent="0.3">
      <c r="A1506" s="4"/>
      <c r="B1506" s="303"/>
      <c r="C1506" s="304"/>
      <c r="D1506" s="4"/>
    </row>
    <row r="1507" spans="1:4" ht="15.75" customHeight="1" thickBot="1" x14ac:dyDescent="0.3">
      <c r="A1507" s="4"/>
      <c r="B1507" s="303"/>
      <c r="C1507" s="304"/>
      <c r="D1507" s="18"/>
    </row>
    <row r="1508" spans="1:4" ht="15.75" customHeight="1" thickBot="1" x14ac:dyDescent="0.3">
      <c r="A1508" s="4"/>
      <c r="B1508" s="303"/>
      <c r="C1508" s="304"/>
      <c r="D1508" s="18"/>
    </row>
    <row r="1509" spans="1:4" ht="15.75" customHeight="1" thickBot="1" x14ac:dyDescent="0.3">
      <c r="A1509" s="4"/>
      <c r="B1509" s="303"/>
      <c r="C1509" s="304"/>
      <c r="D1509" s="18"/>
    </row>
    <row r="1510" spans="1:4" ht="15.75" customHeight="1" thickBot="1" x14ac:dyDescent="0.3">
      <c r="A1510" s="4"/>
      <c r="B1510" s="303"/>
      <c r="C1510" s="304"/>
      <c r="D1510" s="18"/>
    </row>
    <row r="1511" spans="1:4" ht="15.75" customHeight="1" thickBot="1" x14ac:dyDescent="0.3">
      <c r="A1511" s="4"/>
      <c r="B1511" s="303"/>
      <c r="C1511" s="304"/>
      <c r="D1511" s="18"/>
    </row>
    <row r="1512" spans="1:4" ht="15.75" customHeight="1" thickBot="1" x14ac:dyDescent="0.3">
      <c r="A1512" s="4"/>
      <c r="B1512" s="303"/>
      <c r="C1512" s="304"/>
      <c r="D1512" s="18"/>
    </row>
    <row r="1513" spans="1:4" ht="15.75" customHeight="1" thickBot="1" x14ac:dyDescent="0.3">
      <c r="A1513" s="4"/>
      <c r="B1513" s="303"/>
      <c r="C1513" s="304"/>
      <c r="D1513" s="18"/>
    </row>
    <row r="1514" spans="1:4" ht="15.75" customHeight="1" thickBot="1" x14ac:dyDescent="0.3">
      <c r="A1514" s="4"/>
      <c r="B1514" s="303"/>
      <c r="C1514" s="304"/>
      <c r="D1514" s="18"/>
    </row>
    <row r="1515" spans="1:4" ht="15.75" customHeight="1" thickBot="1" x14ac:dyDescent="0.3">
      <c r="A1515" s="2"/>
      <c r="B1515" s="3"/>
      <c r="C1515" s="2"/>
      <c r="D1515" s="1"/>
    </row>
    <row r="1516" spans="1:4" ht="15.75" customHeight="1" thickBot="1" x14ac:dyDescent="0.3">
      <c r="A1516" s="300"/>
      <c r="B1516" s="301"/>
      <c r="C1516" s="301"/>
      <c r="D1516" s="302"/>
    </row>
    <row r="1517" spans="1:4" ht="15.75" customHeight="1" x14ac:dyDescent="0.25">
      <c r="A1517" s="5"/>
      <c r="B1517" s="6"/>
      <c r="C1517" s="7"/>
      <c r="D1517" s="8"/>
    </row>
    <row r="1518" spans="1:4" ht="15.75" customHeight="1" thickBot="1" x14ac:dyDescent="0.3">
      <c r="A1518" s="9"/>
      <c r="B1518" s="10"/>
      <c r="C1518" s="10"/>
      <c r="D1518" s="11"/>
    </row>
    <row r="1519" spans="1:4" ht="15.75" customHeight="1" thickBot="1" x14ac:dyDescent="0.3">
      <c r="A1519" s="15"/>
      <c r="B1519" s="16"/>
      <c r="C1519" s="21"/>
      <c r="D1519" s="16"/>
    </row>
    <row r="1520" spans="1:4" ht="15.75" customHeight="1" thickBot="1" x14ac:dyDescent="0.3">
      <c r="A1520" s="12"/>
      <c r="B1520" s="305"/>
      <c r="C1520" s="306"/>
      <c r="D1520" s="54"/>
    </row>
    <row r="1521" spans="1:4" ht="15.75" customHeight="1" thickBot="1" x14ac:dyDescent="0.3">
      <c r="A1521" s="38"/>
      <c r="B1521" s="45"/>
      <c r="C1521" s="45"/>
      <c r="D1521" s="45"/>
    </row>
    <row r="1522" spans="1:4" ht="15.75" customHeight="1" thickBot="1" x14ac:dyDescent="0.3">
      <c r="A1522" s="19"/>
      <c r="B1522" s="20"/>
      <c r="C1522" s="50"/>
      <c r="D1522" s="51"/>
    </row>
    <row r="1523" spans="1:4" ht="15.75" customHeight="1" thickBot="1" x14ac:dyDescent="0.3">
      <c r="A1523" s="19"/>
      <c r="B1523" s="20"/>
      <c r="C1523" s="52"/>
      <c r="D1523" s="53"/>
    </row>
    <row r="1524" spans="1:4" ht="15.75" customHeight="1" thickBot="1" x14ac:dyDescent="0.3">
      <c r="A1524" s="19"/>
      <c r="B1524" s="20"/>
      <c r="C1524" s="13"/>
      <c r="D1524" s="14"/>
    </row>
    <row r="1525" spans="1:4" ht="15.75" customHeight="1" thickBot="1" x14ac:dyDescent="0.3">
      <c r="A1525" s="2"/>
      <c r="B1525" s="3"/>
      <c r="C1525" s="2"/>
      <c r="D1525" s="1"/>
    </row>
    <row r="1526" spans="1:4" ht="15.75" customHeight="1" thickBot="1" x14ac:dyDescent="0.3">
      <c r="A1526" s="4"/>
      <c r="B1526" s="303"/>
      <c r="C1526" s="304"/>
      <c r="D1526" s="4"/>
    </row>
    <row r="1527" spans="1:4" ht="15.75" customHeight="1" thickBot="1" x14ac:dyDescent="0.3">
      <c r="A1527" s="4"/>
      <c r="B1527" s="303"/>
      <c r="C1527" s="304"/>
      <c r="D1527" s="18"/>
    </row>
    <row r="1528" spans="1:4" ht="15.75" customHeight="1" thickBot="1" x14ac:dyDescent="0.3">
      <c r="A1528" s="4"/>
      <c r="B1528" s="303"/>
      <c r="C1528" s="304"/>
      <c r="D1528" s="18"/>
    </row>
    <row r="1529" spans="1:4" ht="15.75" customHeight="1" thickBot="1" x14ac:dyDescent="0.3">
      <c r="A1529" s="4"/>
      <c r="B1529" s="303"/>
      <c r="C1529" s="304"/>
      <c r="D1529" s="18"/>
    </row>
    <row r="1530" spans="1:4" ht="15.75" customHeight="1" thickBot="1" x14ac:dyDescent="0.3">
      <c r="A1530" s="4"/>
      <c r="B1530" s="303"/>
      <c r="C1530" s="304"/>
      <c r="D1530" s="18"/>
    </row>
    <row r="1531" spans="1:4" ht="15.75" customHeight="1" thickBot="1" x14ac:dyDescent="0.3">
      <c r="A1531" s="4"/>
      <c r="B1531" s="303"/>
      <c r="C1531" s="304"/>
      <c r="D1531" s="18"/>
    </row>
    <row r="1532" spans="1:4" ht="15.75" customHeight="1" thickBot="1" x14ac:dyDescent="0.3">
      <c r="A1532" s="4"/>
      <c r="B1532" s="303"/>
      <c r="C1532" s="304"/>
      <c r="D1532" s="18"/>
    </row>
    <row r="1533" spans="1:4" ht="15.75" customHeight="1" thickBot="1" x14ac:dyDescent="0.3">
      <c r="A1533" s="4"/>
      <c r="B1533" s="303"/>
      <c r="C1533" s="304"/>
      <c r="D1533" s="18"/>
    </row>
    <row r="1534" spans="1:4" ht="15.75" customHeight="1" thickBot="1" x14ac:dyDescent="0.3">
      <c r="A1534" s="4"/>
      <c r="B1534" s="303"/>
      <c r="C1534" s="304"/>
      <c r="D1534" s="18"/>
    </row>
    <row r="1535" spans="1:4" ht="15.75" customHeight="1" thickBot="1" x14ac:dyDescent="0.3">
      <c r="A1535" s="2"/>
      <c r="B1535" s="3"/>
      <c r="C1535" s="2"/>
      <c r="D1535" s="1"/>
    </row>
    <row r="1536" spans="1:4" ht="15.75" customHeight="1" thickBot="1" x14ac:dyDescent="0.3">
      <c r="A1536" s="300"/>
      <c r="B1536" s="301"/>
      <c r="C1536" s="301"/>
      <c r="D1536" s="302"/>
    </row>
    <row r="1537" spans="1:4" ht="15.75" customHeight="1" x14ac:dyDescent="0.25">
      <c r="A1537" s="5"/>
      <c r="B1537" s="6"/>
      <c r="C1537" s="7"/>
      <c r="D1537" s="8"/>
    </row>
    <row r="1538" spans="1:4" ht="15.75" customHeight="1" thickBot="1" x14ac:dyDescent="0.3">
      <c r="A1538" s="9"/>
      <c r="B1538" s="10"/>
      <c r="C1538" s="10"/>
      <c r="D1538" s="11"/>
    </row>
    <row r="1539" spans="1:4" ht="15.75" customHeight="1" thickBot="1" x14ac:dyDescent="0.3">
      <c r="A1539" s="15"/>
      <c r="B1539" s="16"/>
      <c r="C1539" s="21"/>
      <c r="D1539" s="16"/>
    </row>
    <row r="1540" spans="1:4" ht="15.75" customHeight="1" thickBot="1" x14ac:dyDescent="0.3">
      <c r="A1540" s="12"/>
      <c r="B1540" s="305"/>
      <c r="C1540" s="306"/>
      <c r="D1540" s="54"/>
    </row>
    <row r="1541" spans="1:4" ht="15.75" customHeight="1" thickBot="1" x14ac:dyDescent="0.3">
      <c r="A1541" s="38"/>
      <c r="B1541" s="45"/>
      <c r="C1541" s="45"/>
      <c r="D1541" s="45"/>
    </row>
    <row r="1542" spans="1:4" ht="15.75" customHeight="1" thickBot="1" x14ac:dyDescent="0.3">
      <c r="A1542" s="19"/>
      <c r="B1542" s="20"/>
      <c r="C1542" s="50"/>
      <c r="D1542" s="51"/>
    </row>
    <row r="1543" spans="1:4" ht="15.75" customHeight="1" thickBot="1" x14ac:dyDescent="0.3">
      <c r="A1543" s="19"/>
      <c r="B1543" s="20"/>
      <c r="C1543" s="52"/>
      <c r="D1543" s="53"/>
    </row>
    <row r="1544" spans="1:4" ht="15.75" customHeight="1" thickBot="1" x14ac:dyDescent="0.3">
      <c r="A1544" s="19"/>
      <c r="B1544" s="20"/>
      <c r="C1544" s="13"/>
      <c r="D1544" s="14"/>
    </row>
    <row r="1545" spans="1:4" ht="15.75" customHeight="1" thickBot="1" x14ac:dyDescent="0.3">
      <c r="A1545" s="2"/>
      <c r="B1545" s="3"/>
      <c r="C1545" s="2"/>
      <c r="D1545" s="1"/>
    </row>
    <row r="1546" spans="1:4" ht="15.75" customHeight="1" thickBot="1" x14ac:dyDescent="0.3">
      <c r="A1546" s="4"/>
      <c r="B1546" s="303"/>
      <c r="C1546" s="304"/>
      <c r="D1546" s="4"/>
    </row>
    <row r="1547" spans="1:4" ht="15.75" customHeight="1" thickBot="1" x14ac:dyDescent="0.3">
      <c r="A1547" s="4"/>
      <c r="B1547" s="303"/>
      <c r="C1547" s="304"/>
      <c r="D1547" s="18"/>
    </row>
    <row r="1548" spans="1:4" ht="15.75" customHeight="1" thickBot="1" x14ac:dyDescent="0.3">
      <c r="A1548" s="4"/>
      <c r="B1548" s="303"/>
      <c r="C1548" s="304"/>
      <c r="D1548" s="18"/>
    </row>
    <row r="1549" spans="1:4" ht="15.75" customHeight="1" thickBot="1" x14ac:dyDescent="0.3">
      <c r="A1549" s="4"/>
      <c r="B1549" s="303"/>
      <c r="C1549" s="304"/>
      <c r="D1549" s="18"/>
    </row>
    <row r="1550" spans="1:4" ht="15.75" customHeight="1" thickBot="1" x14ac:dyDescent="0.3">
      <c r="A1550" s="4"/>
      <c r="B1550" s="303"/>
      <c r="C1550" s="304"/>
      <c r="D1550" s="18"/>
    </row>
    <row r="1551" spans="1:4" ht="15.75" customHeight="1" thickBot="1" x14ac:dyDescent="0.3">
      <c r="A1551" s="4"/>
      <c r="B1551" s="303"/>
      <c r="C1551" s="304"/>
      <c r="D1551" s="18"/>
    </row>
    <row r="1552" spans="1:4" ht="15.75" customHeight="1" thickBot="1" x14ac:dyDescent="0.3">
      <c r="A1552" s="4"/>
      <c r="B1552" s="303"/>
      <c r="C1552" s="304"/>
      <c r="D1552" s="18"/>
    </row>
    <row r="1553" spans="1:4" ht="15.75" customHeight="1" thickBot="1" x14ac:dyDescent="0.3">
      <c r="A1553" s="4"/>
      <c r="B1553" s="303"/>
      <c r="C1553" s="304"/>
      <c r="D1553" s="18"/>
    </row>
    <row r="1554" spans="1:4" ht="15.75" customHeight="1" thickBot="1" x14ac:dyDescent="0.3">
      <c r="A1554" s="4"/>
      <c r="B1554" s="303"/>
      <c r="C1554" s="304"/>
      <c r="D1554" s="18"/>
    </row>
    <row r="1555" spans="1:4" ht="15.75" customHeight="1" thickBot="1" x14ac:dyDescent="0.3">
      <c r="A1555" s="2"/>
      <c r="B1555" s="3"/>
      <c r="C1555" s="2"/>
      <c r="D1555" s="1"/>
    </row>
    <row r="1556" spans="1:4" ht="15.75" customHeight="1" thickBot="1" x14ac:dyDescent="0.3">
      <c r="A1556" s="300"/>
      <c r="B1556" s="301"/>
      <c r="C1556" s="301"/>
      <c r="D1556" s="302"/>
    </row>
    <row r="1557" spans="1:4" ht="15.75" customHeight="1" x14ac:dyDescent="0.25">
      <c r="A1557" s="5"/>
      <c r="B1557" s="6"/>
      <c r="C1557" s="7"/>
      <c r="D1557" s="8"/>
    </row>
    <row r="1558" spans="1:4" ht="15.75" customHeight="1" thickBot="1" x14ac:dyDescent="0.3">
      <c r="A1558" s="9"/>
      <c r="B1558" s="10"/>
      <c r="C1558" s="10"/>
      <c r="D1558" s="11"/>
    </row>
    <row r="1559" spans="1:4" ht="15.75" customHeight="1" thickBot="1" x14ac:dyDescent="0.3">
      <c r="A1559" s="15"/>
      <c r="B1559" s="16"/>
      <c r="C1559" s="21"/>
      <c r="D1559" s="16"/>
    </row>
    <row r="1560" spans="1:4" ht="15.75" customHeight="1" thickBot="1" x14ac:dyDescent="0.3">
      <c r="A1560" s="12"/>
      <c r="B1560" s="305"/>
      <c r="C1560" s="306"/>
      <c r="D1560" s="54"/>
    </row>
    <row r="1561" spans="1:4" ht="15.75" customHeight="1" thickBot="1" x14ac:dyDescent="0.3">
      <c r="A1561" s="38"/>
      <c r="B1561" s="45"/>
      <c r="C1561" s="45"/>
      <c r="D1561" s="45"/>
    </row>
    <row r="1562" spans="1:4" ht="15.75" customHeight="1" thickBot="1" x14ac:dyDescent="0.3">
      <c r="A1562" s="19"/>
      <c r="B1562" s="20"/>
      <c r="C1562" s="50"/>
      <c r="D1562" s="51"/>
    </row>
    <row r="1563" spans="1:4" ht="15.75" customHeight="1" thickBot="1" x14ac:dyDescent="0.3">
      <c r="A1563" s="19"/>
      <c r="B1563" s="20"/>
      <c r="C1563" s="52"/>
      <c r="D1563" s="53"/>
    </row>
    <row r="1564" spans="1:4" ht="15.75" customHeight="1" thickBot="1" x14ac:dyDescent="0.3">
      <c r="A1564" s="19"/>
      <c r="B1564" s="20"/>
      <c r="C1564" s="13"/>
      <c r="D1564" s="14"/>
    </row>
    <row r="1565" spans="1:4" ht="15.75" customHeight="1" thickBot="1" x14ac:dyDescent="0.3">
      <c r="A1565" s="2"/>
      <c r="B1565" s="3"/>
      <c r="C1565" s="2"/>
      <c r="D1565" s="1"/>
    </row>
    <row r="1566" spans="1:4" ht="15.75" customHeight="1" thickBot="1" x14ac:dyDescent="0.3">
      <c r="A1566" s="4"/>
      <c r="B1566" s="303"/>
      <c r="C1566" s="304"/>
      <c r="D1566" s="4"/>
    </row>
    <row r="1567" spans="1:4" ht="15.75" customHeight="1" thickBot="1" x14ac:dyDescent="0.3">
      <c r="A1567" s="4"/>
      <c r="B1567" s="303"/>
      <c r="C1567" s="304"/>
      <c r="D1567" s="18"/>
    </row>
    <row r="1568" spans="1:4" ht="15.75" customHeight="1" thickBot="1" x14ac:dyDescent="0.3">
      <c r="A1568" s="4"/>
      <c r="B1568" s="303"/>
      <c r="C1568" s="304"/>
      <c r="D1568" s="18"/>
    </row>
    <row r="1569" spans="1:4" ht="15.75" customHeight="1" thickBot="1" x14ac:dyDescent="0.3">
      <c r="A1569" s="4"/>
      <c r="B1569" s="303"/>
      <c r="C1569" s="304"/>
      <c r="D1569" s="18"/>
    </row>
    <row r="1570" spans="1:4" ht="15.75" customHeight="1" thickBot="1" x14ac:dyDescent="0.3">
      <c r="A1570" s="4"/>
      <c r="B1570" s="303"/>
      <c r="C1570" s="304"/>
      <c r="D1570" s="18"/>
    </row>
    <row r="1571" spans="1:4" ht="15.75" customHeight="1" thickBot="1" x14ac:dyDescent="0.3">
      <c r="A1571" s="4"/>
      <c r="B1571" s="303"/>
      <c r="C1571" s="304"/>
      <c r="D1571" s="18"/>
    </row>
    <row r="1572" spans="1:4" ht="15.75" customHeight="1" thickBot="1" x14ac:dyDescent="0.3">
      <c r="A1572" s="4"/>
      <c r="B1572" s="303"/>
      <c r="C1572" s="304"/>
      <c r="D1572" s="18"/>
    </row>
    <row r="1573" spans="1:4" ht="15.75" customHeight="1" thickBot="1" x14ac:dyDescent="0.3">
      <c r="A1573" s="4"/>
      <c r="B1573" s="303"/>
      <c r="C1573" s="304"/>
      <c r="D1573" s="18"/>
    </row>
    <row r="1574" spans="1:4" ht="15.75" customHeight="1" thickBot="1" x14ac:dyDescent="0.3">
      <c r="A1574" s="4"/>
      <c r="B1574" s="303"/>
      <c r="C1574" s="304"/>
      <c r="D1574" s="18"/>
    </row>
    <row r="1575" spans="1:4" ht="15.75" customHeight="1" thickBot="1" x14ac:dyDescent="0.3">
      <c r="A1575" s="2"/>
      <c r="B1575" s="3"/>
      <c r="C1575" s="2"/>
      <c r="D1575" s="1"/>
    </row>
    <row r="1576" spans="1:4" ht="15.75" customHeight="1" thickBot="1" x14ac:dyDescent="0.3">
      <c r="A1576" s="300"/>
      <c r="B1576" s="301"/>
      <c r="C1576" s="301"/>
      <c r="D1576" s="302"/>
    </row>
    <row r="1577" spans="1:4" ht="15.75" customHeight="1" x14ac:dyDescent="0.25">
      <c r="A1577" s="5"/>
      <c r="B1577" s="6"/>
      <c r="C1577" s="7"/>
      <c r="D1577" s="8"/>
    </row>
    <row r="1578" spans="1:4" ht="15.75" customHeight="1" thickBot="1" x14ac:dyDescent="0.3">
      <c r="A1578" s="9"/>
      <c r="B1578" s="10"/>
      <c r="C1578" s="10"/>
      <c r="D1578" s="11"/>
    </row>
    <row r="1579" spans="1:4" ht="15.75" customHeight="1" thickBot="1" x14ac:dyDescent="0.3">
      <c r="A1579" s="15"/>
      <c r="B1579" s="16"/>
      <c r="C1579" s="21"/>
      <c r="D1579" s="16"/>
    </row>
    <row r="1580" spans="1:4" ht="15.75" customHeight="1" thickBot="1" x14ac:dyDescent="0.3">
      <c r="A1580" s="12"/>
      <c r="B1580" s="305"/>
      <c r="C1580" s="306"/>
      <c r="D1580" s="54"/>
    </row>
    <row r="1581" spans="1:4" ht="15.75" customHeight="1" thickBot="1" x14ac:dyDescent="0.3">
      <c r="A1581" s="38"/>
      <c r="B1581" s="45"/>
      <c r="C1581" s="45"/>
      <c r="D1581" s="45"/>
    </row>
    <row r="1582" spans="1:4" ht="15.75" customHeight="1" thickBot="1" x14ac:dyDescent="0.3">
      <c r="A1582" s="19"/>
      <c r="B1582" s="20"/>
      <c r="C1582" s="50"/>
      <c r="D1582" s="51"/>
    </row>
    <row r="1583" spans="1:4" ht="15.75" customHeight="1" thickBot="1" x14ac:dyDescent="0.3">
      <c r="A1583" s="19"/>
      <c r="B1583" s="20"/>
      <c r="C1583" s="52"/>
      <c r="D1583" s="53"/>
    </row>
    <row r="1584" spans="1:4" ht="15.75" customHeight="1" thickBot="1" x14ac:dyDescent="0.3">
      <c r="A1584" s="19"/>
      <c r="B1584" s="20"/>
      <c r="C1584" s="13"/>
      <c r="D1584" s="14"/>
    </row>
    <row r="1585" spans="1:4" ht="15.75" customHeight="1" thickBot="1" x14ac:dyDescent="0.3">
      <c r="A1585" s="2"/>
      <c r="B1585" s="3"/>
      <c r="C1585" s="2"/>
      <c r="D1585" s="1"/>
    </row>
    <row r="1586" spans="1:4" ht="15.75" customHeight="1" thickBot="1" x14ac:dyDescent="0.3">
      <c r="A1586" s="4"/>
      <c r="B1586" s="303"/>
      <c r="C1586" s="304"/>
      <c r="D1586" s="4"/>
    </row>
    <row r="1587" spans="1:4" ht="15.75" customHeight="1" thickBot="1" x14ac:dyDescent="0.3">
      <c r="A1587" s="4"/>
      <c r="B1587" s="303"/>
      <c r="C1587" s="304"/>
      <c r="D1587" s="18"/>
    </row>
    <row r="1588" spans="1:4" ht="15.75" customHeight="1" thickBot="1" x14ac:dyDescent="0.3">
      <c r="A1588" s="4"/>
      <c r="B1588" s="303"/>
      <c r="C1588" s="304"/>
      <c r="D1588" s="18"/>
    </row>
    <row r="1589" spans="1:4" ht="15.75" customHeight="1" thickBot="1" x14ac:dyDescent="0.3">
      <c r="A1589" s="4"/>
      <c r="B1589" s="303"/>
      <c r="C1589" s="304"/>
      <c r="D1589" s="18"/>
    </row>
    <row r="1590" spans="1:4" ht="15.75" customHeight="1" thickBot="1" x14ac:dyDescent="0.3">
      <c r="A1590" s="4"/>
      <c r="B1590" s="303"/>
      <c r="C1590" s="304"/>
      <c r="D1590" s="18"/>
    </row>
    <row r="1591" spans="1:4" ht="15.75" customHeight="1" thickBot="1" x14ac:dyDescent="0.3">
      <c r="A1591" s="4"/>
      <c r="B1591" s="303"/>
      <c r="C1591" s="304"/>
      <c r="D1591" s="18"/>
    </row>
    <row r="1592" spans="1:4" ht="15.75" customHeight="1" thickBot="1" x14ac:dyDescent="0.3">
      <c r="A1592" s="4"/>
      <c r="B1592" s="303"/>
      <c r="C1592" s="304"/>
      <c r="D1592" s="18"/>
    </row>
    <row r="1593" spans="1:4" ht="15.75" customHeight="1" thickBot="1" x14ac:dyDescent="0.3">
      <c r="A1593" s="4"/>
      <c r="B1593" s="303"/>
      <c r="C1593" s="304"/>
      <c r="D1593" s="18"/>
    </row>
    <row r="1594" spans="1:4" ht="15.75" customHeight="1" thickBot="1" x14ac:dyDescent="0.3">
      <c r="A1594" s="4"/>
      <c r="B1594" s="303"/>
      <c r="C1594" s="304"/>
      <c r="D1594" s="18"/>
    </row>
    <row r="1595" spans="1:4" ht="15.75" customHeight="1" thickBot="1" x14ac:dyDescent="0.3">
      <c r="A1595" s="2"/>
      <c r="B1595" s="3"/>
      <c r="C1595" s="2"/>
      <c r="D1595" s="1"/>
    </row>
    <row r="1596" spans="1:4" ht="15.75" customHeight="1" thickBot="1" x14ac:dyDescent="0.3">
      <c r="A1596" s="300"/>
      <c r="B1596" s="301"/>
      <c r="C1596" s="301"/>
      <c r="D1596" s="302"/>
    </row>
    <row r="1597" spans="1:4" ht="15.75" customHeight="1" x14ac:dyDescent="0.25">
      <c r="A1597" s="5"/>
      <c r="B1597" s="6"/>
      <c r="C1597" s="7"/>
      <c r="D1597" s="8"/>
    </row>
    <row r="1598" spans="1:4" ht="15.75" customHeight="1" thickBot="1" x14ac:dyDescent="0.3">
      <c r="A1598" s="9"/>
      <c r="B1598" s="10"/>
      <c r="C1598" s="10"/>
      <c r="D1598" s="11"/>
    </row>
    <row r="1599" spans="1:4" ht="15.75" customHeight="1" thickBot="1" x14ac:dyDescent="0.3">
      <c r="A1599" s="15"/>
      <c r="B1599" s="16"/>
      <c r="C1599" s="21"/>
      <c r="D1599" s="16"/>
    </row>
    <row r="1600" spans="1:4" ht="15.75" customHeight="1" thickBot="1" x14ac:dyDescent="0.3">
      <c r="A1600" s="12"/>
      <c r="B1600" s="305"/>
      <c r="C1600" s="306"/>
      <c r="D1600" s="54"/>
    </row>
    <row r="1601" spans="1:4" ht="15.75" customHeight="1" thickBot="1" x14ac:dyDescent="0.3">
      <c r="A1601" s="38"/>
      <c r="B1601" s="45"/>
      <c r="C1601" s="45"/>
      <c r="D1601" s="45"/>
    </row>
    <row r="1602" spans="1:4" ht="15.75" customHeight="1" thickBot="1" x14ac:dyDescent="0.3">
      <c r="A1602" s="19"/>
      <c r="B1602" s="20"/>
      <c r="C1602" s="50"/>
      <c r="D1602" s="51"/>
    </row>
    <row r="1603" spans="1:4" ht="15.75" customHeight="1" thickBot="1" x14ac:dyDescent="0.3">
      <c r="A1603" s="19"/>
      <c r="B1603" s="20"/>
      <c r="C1603" s="52"/>
      <c r="D1603" s="53"/>
    </row>
    <row r="1604" spans="1:4" ht="15.75" customHeight="1" thickBot="1" x14ac:dyDescent="0.3">
      <c r="A1604" s="19"/>
      <c r="B1604" s="20"/>
      <c r="C1604" s="13"/>
      <c r="D1604" s="14"/>
    </row>
    <row r="1605" spans="1:4" ht="15.75" customHeight="1" thickBot="1" x14ac:dyDescent="0.3">
      <c r="A1605" s="2"/>
      <c r="B1605" s="3"/>
      <c r="C1605" s="2"/>
      <c r="D1605" s="1"/>
    </row>
    <row r="1606" spans="1:4" ht="15.75" customHeight="1" thickBot="1" x14ac:dyDescent="0.3">
      <c r="A1606" s="4"/>
      <c r="B1606" s="303"/>
      <c r="C1606" s="304"/>
      <c r="D1606" s="4"/>
    </row>
    <row r="1607" spans="1:4" ht="15.75" customHeight="1" thickBot="1" x14ac:dyDescent="0.3">
      <c r="A1607" s="4"/>
      <c r="B1607" s="303"/>
      <c r="C1607" s="304"/>
      <c r="D1607" s="18"/>
    </row>
    <row r="1608" spans="1:4" ht="15.75" customHeight="1" thickBot="1" x14ac:dyDescent="0.3">
      <c r="A1608" s="4"/>
      <c r="B1608" s="303"/>
      <c r="C1608" s="304"/>
      <c r="D1608" s="18"/>
    </row>
    <row r="1609" spans="1:4" ht="15.75" customHeight="1" thickBot="1" x14ac:dyDescent="0.3">
      <c r="A1609" s="4"/>
      <c r="B1609" s="303"/>
      <c r="C1609" s="304"/>
      <c r="D1609" s="18"/>
    </row>
    <row r="1610" spans="1:4" ht="15.75" customHeight="1" thickBot="1" x14ac:dyDescent="0.3">
      <c r="A1610" s="4"/>
      <c r="B1610" s="303"/>
      <c r="C1610" s="304"/>
      <c r="D1610" s="18"/>
    </row>
    <row r="1611" spans="1:4" ht="15.75" customHeight="1" thickBot="1" x14ac:dyDescent="0.3">
      <c r="A1611" s="4"/>
      <c r="B1611" s="303"/>
      <c r="C1611" s="304"/>
      <c r="D1611" s="18"/>
    </row>
    <row r="1612" spans="1:4" ht="15.75" customHeight="1" thickBot="1" x14ac:dyDescent="0.3">
      <c r="A1612" s="4"/>
      <c r="B1612" s="303"/>
      <c r="C1612" s="304"/>
      <c r="D1612" s="18"/>
    </row>
    <row r="1613" spans="1:4" ht="15.75" customHeight="1" thickBot="1" x14ac:dyDescent="0.3">
      <c r="A1613" s="4"/>
      <c r="B1613" s="303"/>
      <c r="C1613" s="304"/>
      <c r="D1613" s="18"/>
    </row>
    <row r="1614" spans="1:4" ht="15.75" customHeight="1" thickBot="1" x14ac:dyDescent="0.3">
      <c r="A1614" s="4"/>
      <c r="B1614" s="303"/>
      <c r="C1614" s="304"/>
      <c r="D1614" s="18"/>
    </row>
    <row r="1615" spans="1:4" ht="15.75" customHeight="1" thickBot="1" x14ac:dyDescent="0.3">
      <c r="A1615" s="2"/>
      <c r="B1615" s="3"/>
      <c r="C1615" s="2"/>
      <c r="D1615" s="1"/>
    </row>
    <row r="1616" spans="1:4" ht="15.75" customHeight="1" thickBot="1" x14ac:dyDescent="0.3">
      <c r="A1616" s="300"/>
      <c r="B1616" s="301"/>
      <c r="C1616" s="301"/>
      <c r="D1616" s="302"/>
    </row>
    <row r="1617" spans="1:4" ht="15.75" customHeight="1" x14ac:dyDescent="0.25">
      <c r="A1617" s="5"/>
      <c r="B1617" s="6"/>
      <c r="C1617" s="7"/>
      <c r="D1617" s="8"/>
    </row>
    <row r="1618" spans="1:4" ht="15.75" customHeight="1" thickBot="1" x14ac:dyDescent="0.3">
      <c r="A1618" s="9"/>
      <c r="B1618" s="10"/>
      <c r="C1618" s="10"/>
      <c r="D1618" s="11"/>
    </row>
    <row r="1619" spans="1:4" ht="15.75" customHeight="1" thickBot="1" x14ac:dyDescent="0.3">
      <c r="A1619" s="15"/>
      <c r="B1619" s="16"/>
      <c r="C1619" s="21"/>
      <c r="D1619" s="16"/>
    </row>
    <row r="1620" spans="1:4" ht="15.75" customHeight="1" thickBot="1" x14ac:dyDescent="0.3">
      <c r="A1620" s="12"/>
      <c r="B1620" s="305"/>
      <c r="C1620" s="306"/>
      <c r="D1620" s="54"/>
    </row>
    <row r="1621" spans="1:4" ht="15.75" customHeight="1" thickBot="1" x14ac:dyDescent="0.3">
      <c r="A1621" s="38"/>
      <c r="B1621" s="45"/>
      <c r="C1621" s="45"/>
      <c r="D1621" s="45"/>
    </row>
    <row r="1622" spans="1:4" ht="15.75" customHeight="1" thickBot="1" x14ac:dyDescent="0.3">
      <c r="A1622" s="19"/>
      <c r="B1622" s="20"/>
      <c r="C1622" s="50"/>
      <c r="D1622" s="51"/>
    </row>
    <row r="1623" spans="1:4" ht="15.75" customHeight="1" thickBot="1" x14ac:dyDescent="0.3">
      <c r="A1623" s="19"/>
      <c r="B1623" s="20"/>
      <c r="C1623" s="52"/>
      <c r="D1623" s="53"/>
    </row>
    <row r="1624" spans="1:4" ht="15.75" customHeight="1" thickBot="1" x14ac:dyDescent="0.3">
      <c r="A1624" s="19"/>
      <c r="B1624" s="20"/>
      <c r="C1624" s="13"/>
      <c r="D1624" s="14"/>
    </row>
    <row r="1625" spans="1:4" ht="15.75" customHeight="1" thickBot="1" x14ac:dyDescent="0.3">
      <c r="A1625" s="2"/>
      <c r="B1625" s="3"/>
      <c r="C1625" s="2"/>
      <c r="D1625" s="1"/>
    </row>
    <row r="1626" spans="1:4" ht="15.75" customHeight="1" thickBot="1" x14ac:dyDescent="0.3">
      <c r="A1626" s="4"/>
      <c r="B1626" s="303"/>
      <c r="C1626" s="304"/>
      <c r="D1626" s="4"/>
    </row>
    <row r="1627" spans="1:4" ht="15.75" customHeight="1" thickBot="1" x14ac:dyDescent="0.3">
      <c r="A1627" s="4"/>
      <c r="B1627" s="303"/>
      <c r="C1627" s="304"/>
      <c r="D1627" s="18"/>
    </row>
    <row r="1628" spans="1:4" ht="15.75" customHeight="1" thickBot="1" x14ac:dyDescent="0.3">
      <c r="A1628" s="4"/>
      <c r="B1628" s="303"/>
      <c r="C1628" s="304"/>
      <c r="D1628" s="18"/>
    </row>
    <row r="1629" spans="1:4" ht="15.75" customHeight="1" thickBot="1" x14ac:dyDescent="0.3">
      <c r="A1629" s="4"/>
      <c r="B1629" s="303"/>
      <c r="C1629" s="304"/>
      <c r="D1629" s="18"/>
    </row>
    <row r="1630" spans="1:4" ht="15.75" customHeight="1" thickBot="1" x14ac:dyDescent="0.3">
      <c r="A1630" s="4"/>
      <c r="B1630" s="303"/>
      <c r="C1630" s="304"/>
      <c r="D1630" s="18"/>
    </row>
    <row r="1631" spans="1:4" ht="15.75" customHeight="1" thickBot="1" x14ac:dyDescent="0.3">
      <c r="A1631" s="4"/>
      <c r="B1631" s="303"/>
      <c r="C1631" s="304"/>
      <c r="D1631" s="18"/>
    </row>
    <row r="1632" spans="1:4" ht="15.75" customHeight="1" thickBot="1" x14ac:dyDescent="0.3">
      <c r="A1632" s="4"/>
      <c r="B1632" s="303"/>
      <c r="C1632" s="304"/>
      <c r="D1632" s="18"/>
    </row>
    <row r="1633" spans="1:4" ht="15.75" customHeight="1" thickBot="1" x14ac:dyDescent="0.3">
      <c r="A1633" s="4"/>
      <c r="B1633" s="303"/>
      <c r="C1633" s="304"/>
      <c r="D1633" s="18"/>
    </row>
    <row r="1634" spans="1:4" ht="15.75" customHeight="1" thickBot="1" x14ac:dyDescent="0.3">
      <c r="A1634" s="4"/>
      <c r="B1634" s="303"/>
      <c r="C1634" s="304"/>
      <c r="D1634" s="18"/>
    </row>
    <row r="1635" spans="1:4" ht="15.75" customHeight="1" thickBot="1" x14ac:dyDescent="0.3">
      <c r="A1635" s="2"/>
      <c r="B1635" s="3"/>
      <c r="C1635" s="2"/>
      <c r="D1635" s="1"/>
    </row>
    <row r="1636" spans="1:4" ht="15.75" customHeight="1" thickBot="1" x14ac:dyDescent="0.3">
      <c r="A1636" s="300"/>
      <c r="B1636" s="301"/>
      <c r="C1636" s="301"/>
      <c r="D1636" s="302"/>
    </row>
    <row r="1637" spans="1:4" ht="15.75" customHeight="1" x14ac:dyDescent="0.25">
      <c r="A1637" s="5"/>
      <c r="B1637" s="6"/>
      <c r="C1637" s="7"/>
      <c r="D1637" s="8"/>
    </row>
    <row r="1638" spans="1:4" ht="15.75" customHeight="1" thickBot="1" x14ac:dyDescent="0.3">
      <c r="A1638" s="9"/>
      <c r="B1638" s="10"/>
      <c r="C1638" s="10"/>
      <c r="D1638" s="11"/>
    </row>
    <row r="1639" spans="1:4" ht="15.75" customHeight="1" thickBot="1" x14ac:dyDescent="0.3">
      <c r="A1639" s="15"/>
      <c r="B1639" s="16"/>
      <c r="C1639" s="21"/>
      <c r="D1639" s="16"/>
    </row>
    <row r="1640" spans="1:4" ht="15.75" customHeight="1" thickBot="1" x14ac:dyDescent="0.3">
      <c r="A1640" s="12"/>
      <c r="B1640" s="305"/>
      <c r="C1640" s="306"/>
      <c r="D1640" s="54"/>
    </row>
    <row r="1641" spans="1:4" ht="15.75" customHeight="1" thickBot="1" x14ac:dyDescent="0.3">
      <c r="A1641" s="38"/>
      <c r="B1641" s="45"/>
      <c r="C1641" s="45"/>
      <c r="D1641" s="45"/>
    </row>
    <row r="1642" spans="1:4" ht="15.75" customHeight="1" thickBot="1" x14ac:dyDescent="0.3">
      <c r="A1642" s="19"/>
      <c r="B1642" s="20"/>
      <c r="C1642" s="50"/>
      <c r="D1642" s="51"/>
    </row>
    <row r="1643" spans="1:4" ht="15.75" customHeight="1" thickBot="1" x14ac:dyDescent="0.3">
      <c r="A1643" s="19"/>
      <c r="B1643" s="20"/>
      <c r="C1643" s="52"/>
      <c r="D1643" s="53"/>
    </row>
    <row r="1644" spans="1:4" ht="15.75" customHeight="1" thickBot="1" x14ac:dyDescent="0.3">
      <c r="A1644" s="19"/>
      <c r="B1644" s="20"/>
      <c r="C1644" s="13"/>
      <c r="D1644" s="14"/>
    </row>
    <row r="1645" spans="1:4" ht="15.75" customHeight="1" thickBot="1" x14ac:dyDescent="0.3">
      <c r="A1645" s="2"/>
      <c r="B1645" s="3"/>
      <c r="C1645" s="2"/>
      <c r="D1645" s="1"/>
    </row>
    <row r="1646" spans="1:4" ht="15.75" customHeight="1" thickBot="1" x14ac:dyDescent="0.3">
      <c r="A1646" s="4"/>
      <c r="B1646" s="303"/>
      <c r="C1646" s="304"/>
      <c r="D1646" s="4"/>
    </row>
    <row r="1647" spans="1:4" ht="15.75" customHeight="1" thickBot="1" x14ac:dyDescent="0.3">
      <c r="A1647" s="4"/>
      <c r="B1647" s="303"/>
      <c r="C1647" s="304"/>
      <c r="D1647" s="18"/>
    </row>
    <row r="1648" spans="1:4" ht="15.75" customHeight="1" thickBot="1" x14ac:dyDescent="0.3">
      <c r="A1648" s="4"/>
      <c r="B1648" s="303"/>
      <c r="C1648" s="304"/>
      <c r="D1648" s="18"/>
    </row>
    <row r="1649" spans="1:4" ht="15.75" customHeight="1" thickBot="1" x14ac:dyDescent="0.3">
      <c r="A1649" s="4"/>
      <c r="B1649" s="303"/>
      <c r="C1649" s="304"/>
      <c r="D1649" s="18"/>
    </row>
    <row r="1650" spans="1:4" ht="15.75" customHeight="1" thickBot="1" x14ac:dyDescent="0.3">
      <c r="A1650" s="4"/>
      <c r="B1650" s="303"/>
      <c r="C1650" s="304"/>
      <c r="D1650" s="18"/>
    </row>
    <row r="1651" spans="1:4" ht="15.75" customHeight="1" thickBot="1" x14ac:dyDescent="0.3">
      <c r="A1651" s="4"/>
      <c r="B1651" s="303"/>
      <c r="C1651" s="304"/>
      <c r="D1651" s="18"/>
    </row>
    <row r="1652" spans="1:4" ht="15.75" customHeight="1" thickBot="1" x14ac:dyDescent="0.3">
      <c r="A1652" s="4"/>
      <c r="B1652" s="303"/>
      <c r="C1652" s="304"/>
      <c r="D1652" s="18"/>
    </row>
    <row r="1653" spans="1:4" ht="15.75" customHeight="1" thickBot="1" x14ac:dyDescent="0.3">
      <c r="A1653" s="4"/>
      <c r="B1653" s="303"/>
      <c r="C1653" s="304"/>
      <c r="D1653" s="18"/>
    </row>
    <row r="1654" spans="1:4" ht="15.75" customHeight="1" thickBot="1" x14ac:dyDescent="0.3">
      <c r="A1654" s="4"/>
      <c r="B1654" s="303"/>
      <c r="C1654" s="304"/>
      <c r="D1654" s="18"/>
    </row>
    <row r="1655" spans="1:4" ht="15.75" customHeight="1" thickBot="1" x14ac:dyDescent="0.3">
      <c r="A1655" s="2"/>
      <c r="B1655" s="3"/>
      <c r="C1655" s="2"/>
      <c r="D1655" s="1"/>
    </row>
    <row r="1656" spans="1:4" ht="15.75" customHeight="1" thickBot="1" x14ac:dyDescent="0.3">
      <c r="A1656" s="300"/>
      <c r="B1656" s="301"/>
      <c r="C1656" s="301"/>
      <c r="D1656" s="302"/>
    </row>
    <row r="1657" spans="1:4" ht="15.75" customHeight="1" x14ac:dyDescent="0.25">
      <c r="A1657" s="5"/>
      <c r="B1657" s="6"/>
      <c r="C1657" s="7"/>
      <c r="D1657" s="8"/>
    </row>
    <row r="1658" spans="1:4" ht="15.75" customHeight="1" thickBot="1" x14ac:dyDescent="0.3">
      <c r="A1658" s="9"/>
      <c r="B1658" s="10"/>
      <c r="C1658" s="10"/>
      <c r="D1658" s="11"/>
    </row>
    <row r="1659" spans="1:4" ht="15.75" customHeight="1" thickBot="1" x14ac:dyDescent="0.3">
      <c r="A1659" s="15"/>
      <c r="B1659" s="16"/>
      <c r="C1659" s="21"/>
      <c r="D1659" s="16"/>
    </row>
    <row r="1660" spans="1:4" ht="15.75" customHeight="1" thickBot="1" x14ac:dyDescent="0.3">
      <c r="A1660" s="12"/>
      <c r="B1660" s="305"/>
      <c r="C1660" s="306"/>
      <c r="D1660" s="54"/>
    </row>
    <row r="1661" spans="1:4" ht="15.75" customHeight="1" thickBot="1" x14ac:dyDescent="0.3">
      <c r="A1661" s="38"/>
      <c r="B1661" s="45"/>
      <c r="C1661" s="45"/>
      <c r="D1661" s="45"/>
    </row>
    <row r="1662" spans="1:4" ht="15.75" customHeight="1" thickBot="1" x14ac:dyDescent="0.3">
      <c r="A1662" s="19"/>
      <c r="B1662" s="20"/>
      <c r="C1662" s="50"/>
      <c r="D1662" s="51"/>
    </row>
    <row r="1663" spans="1:4" ht="15.75" customHeight="1" thickBot="1" x14ac:dyDescent="0.3">
      <c r="A1663" s="19"/>
      <c r="B1663" s="20"/>
      <c r="C1663" s="52"/>
      <c r="D1663" s="53"/>
    </row>
    <row r="1664" spans="1:4" ht="15.75" customHeight="1" thickBot="1" x14ac:dyDescent="0.3">
      <c r="A1664" s="19"/>
      <c r="B1664" s="20"/>
      <c r="C1664" s="13"/>
      <c r="D1664" s="14"/>
    </row>
    <row r="1665" spans="1:4" ht="15.75" customHeight="1" thickBot="1" x14ac:dyDescent="0.3">
      <c r="A1665" s="2"/>
      <c r="B1665" s="3"/>
      <c r="C1665" s="2"/>
      <c r="D1665" s="1"/>
    </row>
    <row r="1666" spans="1:4" ht="15.75" customHeight="1" thickBot="1" x14ac:dyDescent="0.3">
      <c r="A1666" s="4"/>
      <c r="B1666" s="303"/>
      <c r="C1666" s="304"/>
      <c r="D1666" s="4"/>
    </row>
    <row r="1667" spans="1:4" ht="15.75" customHeight="1" thickBot="1" x14ac:dyDescent="0.3">
      <c r="A1667" s="4"/>
      <c r="B1667" s="303"/>
      <c r="C1667" s="304"/>
      <c r="D1667" s="18"/>
    </row>
    <row r="1668" spans="1:4" ht="15.75" customHeight="1" thickBot="1" x14ac:dyDescent="0.3">
      <c r="A1668" s="4"/>
      <c r="B1668" s="303"/>
      <c r="C1668" s="304"/>
      <c r="D1668" s="18"/>
    </row>
    <row r="1669" spans="1:4" ht="15.75" customHeight="1" thickBot="1" x14ac:dyDescent="0.3">
      <c r="A1669" s="4"/>
      <c r="B1669" s="303"/>
      <c r="C1669" s="304"/>
      <c r="D1669" s="18"/>
    </row>
    <row r="1670" spans="1:4" ht="15.75" customHeight="1" thickBot="1" x14ac:dyDescent="0.3">
      <c r="A1670" s="4"/>
      <c r="B1670" s="303"/>
      <c r="C1670" s="304"/>
      <c r="D1670" s="18"/>
    </row>
    <row r="1671" spans="1:4" ht="15.75" customHeight="1" thickBot="1" x14ac:dyDescent="0.3">
      <c r="A1671" s="4"/>
      <c r="B1671" s="303"/>
      <c r="C1671" s="304"/>
      <c r="D1671" s="18"/>
    </row>
    <row r="1672" spans="1:4" ht="15.75" customHeight="1" thickBot="1" x14ac:dyDescent="0.3">
      <c r="A1672" s="4"/>
      <c r="B1672" s="303"/>
      <c r="C1672" s="304"/>
      <c r="D1672" s="18"/>
    </row>
    <row r="1673" spans="1:4" ht="15.75" customHeight="1" thickBot="1" x14ac:dyDescent="0.3">
      <c r="A1673" s="4"/>
      <c r="B1673" s="303"/>
      <c r="C1673" s="304"/>
      <c r="D1673" s="18"/>
    </row>
    <row r="1674" spans="1:4" ht="15.75" customHeight="1" thickBot="1" x14ac:dyDescent="0.3">
      <c r="A1674" s="4"/>
      <c r="B1674" s="303"/>
      <c r="C1674" s="304"/>
      <c r="D1674" s="18"/>
    </row>
    <row r="1675" spans="1:4" ht="15.75" customHeight="1" thickBot="1" x14ac:dyDescent="0.3">
      <c r="A1675" s="2"/>
      <c r="B1675" s="3"/>
      <c r="C1675" s="2"/>
      <c r="D1675" s="1"/>
    </row>
    <row r="1676" spans="1:4" ht="15.75" customHeight="1" thickBot="1" x14ac:dyDescent="0.3">
      <c r="A1676" s="300"/>
      <c r="B1676" s="301"/>
      <c r="C1676" s="301"/>
      <c r="D1676" s="302"/>
    </row>
    <row r="1677" spans="1:4" ht="15.75" customHeight="1" x14ac:dyDescent="0.25">
      <c r="A1677" s="5"/>
      <c r="B1677" s="6"/>
      <c r="C1677" s="7"/>
      <c r="D1677" s="8"/>
    </row>
    <row r="1678" spans="1:4" ht="15.75" customHeight="1" thickBot="1" x14ac:dyDescent="0.3">
      <c r="A1678" s="9"/>
      <c r="B1678" s="10"/>
      <c r="C1678" s="10"/>
      <c r="D1678" s="11"/>
    </row>
    <row r="1679" spans="1:4" ht="15.75" customHeight="1" thickBot="1" x14ac:dyDescent="0.3">
      <c r="A1679" s="15"/>
      <c r="B1679" s="16"/>
      <c r="C1679" s="21"/>
      <c r="D1679" s="16"/>
    </row>
    <row r="1680" spans="1:4" ht="15.75" customHeight="1" thickBot="1" x14ac:dyDescent="0.3">
      <c r="A1680" s="12"/>
      <c r="B1680" s="305"/>
      <c r="C1680" s="306"/>
      <c r="D1680" s="54"/>
    </row>
    <row r="1681" spans="1:4" ht="15.75" customHeight="1" thickBot="1" x14ac:dyDescent="0.3">
      <c r="A1681" s="38"/>
      <c r="B1681" s="45"/>
      <c r="C1681" s="45"/>
      <c r="D1681" s="45"/>
    </row>
    <row r="1682" spans="1:4" ht="15.75" customHeight="1" thickBot="1" x14ac:dyDescent="0.3">
      <c r="A1682" s="19"/>
      <c r="B1682" s="20"/>
      <c r="C1682" s="50"/>
      <c r="D1682" s="51"/>
    </row>
    <row r="1683" spans="1:4" ht="15.75" customHeight="1" thickBot="1" x14ac:dyDescent="0.3">
      <c r="A1683" s="19"/>
      <c r="B1683" s="20"/>
      <c r="C1683" s="52"/>
      <c r="D1683" s="53"/>
    </row>
    <row r="1684" spans="1:4" ht="15.75" customHeight="1" thickBot="1" x14ac:dyDescent="0.3">
      <c r="A1684" s="19"/>
      <c r="B1684" s="20"/>
      <c r="C1684" s="13"/>
      <c r="D1684" s="14"/>
    </row>
    <row r="1685" spans="1:4" ht="15.75" customHeight="1" thickBot="1" x14ac:dyDescent="0.3">
      <c r="A1685" s="2"/>
      <c r="B1685" s="3"/>
      <c r="C1685" s="2"/>
      <c r="D1685" s="1"/>
    </row>
    <row r="1686" spans="1:4" ht="15.75" customHeight="1" thickBot="1" x14ac:dyDescent="0.3">
      <c r="A1686" s="4"/>
      <c r="B1686" s="303"/>
      <c r="C1686" s="304"/>
      <c r="D1686" s="4"/>
    </row>
    <row r="1687" spans="1:4" ht="15.75" customHeight="1" thickBot="1" x14ac:dyDescent="0.3">
      <c r="A1687" s="4"/>
      <c r="B1687" s="303"/>
      <c r="C1687" s="304"/>
      <c r="D1687" s="18"/>
    </row>
    <row r="1688" spans="1:4" ht="15.75" customHeight="1" thickBot="1" x14ac:dyDescent="0.3">
      <c r="A1688" s="4"/>
      <c r="B1688" s="303"/>
      <c r="C1688" s="304"/>
      <c r="D1688" s="18"/>
    </row>
    <row r="1689" spans="1:4" ht="15.75" customHeight="1" thickBot="1" x14ac:dyDescent="0.3">
      <c r="A1689" s="4"/>
      <c r="B1689" s="303"/>
      <c r="C1689" s="304"/>
      <c r="D1689" s="18"/>
    </row>
    <row r="1690" spans="1:4" ht="15.75" customHeight="1" thickBot="1" x14ac:dyDescent="0.3">
      <c r="A1690" s="4"/>
      <c r="B1690" s="303"/>
      <c r="C1690" s="304"/>
      <c r="D1690" s="18"/>
    </row>
    <row r="1691" spans="1:4" ht="15.75" customHeight="1" thickBot="1" x14ac:dyDescent="0.3">
      <c r="A1691" s="4"/>
      <c r="B1691" s="303"/>
      <c r="C1691" s="304"/>
      <c r="D1691" s="18"/>
    </row>
    <row r="1692" spans="1:4" ht="15.75" customHeight="1" thickBot="1" x14ac:dyDescent="0.3">
      <c r="A1692" s="4"/>
      <c r="B1692" s="303"/>
      <c r="C1692" s="304"/>
      <c r="D1692" s="18"/>
    </row>
    <row r="1693" spans="1:4" ht="15.75" customHeight="1" thickBot="1" x14ac:dyDescent="0.3">
      <c r="A1693" s="4"/>
      <c r="B1693" s="303"/>
      <c r="C1693" s="304"/>
      <c r="D1693" s="18"/>
    </row>
    <row r="1694" spans="1:4" ht="15.75" customHeight="1" thickBot="1" x14ac:dyDescent="0.3">
      <c r="A1694" s="4"/>
      <c r="B1694" s="303"/>
      <c r="C1694" s="304"/>
      <c r="D1694" s="18"/>
    </row>
    <row r="1695" spans="1:4" ht="15.75" customHeight="1" thickBot="1" x14ac:dyDescent="0.3">
      <c r="A1695" s="2"/>
      <c r="B1695" s="3"/>
      <c r="C1695" s="2"/>
      <c r="D1695" s="1"/>
    </row>
    <row r="1696" spans="1:4" ht="15.75" customHeight="1" thickBot="1" x14ac:dyDescent="0.3">
      <c r="A1696" s="300"/>
      <c r="B1696" s="301"/>
      <c r="C1696" s="301"/>
      <c r="D1696" s="302"/>
    </row>
    <row r="1697" spans="1:4" ht="15.75" customHeight="1" x14ac:dyDescent="0.25">
      <c r="A1697" s="5"/>
      <c r="B1697" s="6"/>
      <c r="C1697" s="7"/>
      <c r="D1697" s="8"/>
    </row>
    <row r="1698" spans="1:4" ht="15.75" customHeight="1" thickBot="1" x14ac:dyDescent="0.3">
      <c r="A1698" s="9"/>
      <c r="B1698" s="10"/>
      <c r="C1698" s="10"/>
      <c r="D1698" s="11"/>
    </row>
    <row r="1699" spans="1:4" ht="15.75" customHeight="1" thickBot="1" x14ac:dyDescent="0.3">
      <c r="A1699" s="15"/>
      <c r="B1699" s="16"/>
      <c r="C1699" s="21"/>
      <c r="D1699" s="16"/>
    </row>
    <row r="1700" spans="1:4" ht="15.75" customHeight="1" thickBot="1" x14ac:dyDescent="0.3">
      <c r="A1700" s="12"/>
      <c r="B1700" s="305"/>
      <c r="C1700" s="306"/>
      <c r="D1700" s="54"/>
    </row>
    <row r="1701" spans="1:4" ht="15.75" customHeight="1" thickBot="1" x14ac:dyDescent="0.3">
      <c r="A1701" s="38"/>
      <c r="B1701" s="45"/>
      <c r="C1701" s="45"/>
      <c r="D1701" s="45"/>
    </row>
    <row r="1702" spans="1:4" ht="15.75" customHeight="1" thickBot="1" x14ac:dyDescent="0.3">
      <c r="A1702" s="19"/>
      <c r="B1702" s="20"/>
      <c r="C1702" s="50"/>
      <c r="D1702" s="51"/>
    </row>
    <row r="1703" spans="1:4" ht="15.75" customHeight="1" thickBot="1" x14ac:dyDescent="0.3">
      <c r="A1703" s="19"/>
      <c r="B1703" s="20"/>
      <c r="C1703" s="52"/>
      <c r="D1703" s="53"/>
    </row>
    <row r="1704" spans="1:4" ht="15.75" customHeight="1" thickBot="1" x14ac:dyDescent="0.3">
      <c r="A1704" s="19"/>
      <c r="B1704" s="20"/>
      <c r="C1704" s="13"/>
      <c r="D1704" s="14"/>
    </row>
    <row r="1705" spans="1:4" ht="15.75" customHeight="1" thickBot="1" x14ac:dyDescent="0.3">
      <c r="A1705" s="2"/>
      <c r="B1705" s="3"/>
      <c r="C1705" s="2"/>
      <c r="D1705" s="1"/>
    </row>
    <row r="1706" spans="1:4" ht="15.75" customHeight="1" thickBot="1" x14ac:dyDescent="0.3">
      <c r="A1706" s="4"/>
      <c r="B1706" s="303"/>
      <c r="C1706" s="304"/>
      <c r="D1706" s="4"/>
    </row>
    <row r="1707" spans="1:4" ht="15.75" customHeight="1" thickBot="1" x14ac:dyDescent="0.3">
      <c r="A1707" s="4"/>
      <c r="B1707" s="303"/>
      <c r="C1707" s="304"/>
      <c r="D1707" s="18"/>
    </row>
    <row r="1708" spans="1:4" ht="15.75" customHeight="1" thickBot="1" x14ac:dyDescent="0.3">
      <c r="A1708" s="4"/>
      <c r="B1708" s="303"/>
      <c r="C1708" s="304"/>
      <c r="D1708" s="18"/>
    </row>
    <row r="1709" spans="1:4" ht="15.75" customHeight="1" thickBot="1" x14ac:dyDescent="0.3">
      <c r="A1709" s="4"/>
      <c r="B1709" s="303"/>
      <c r="C1709" s="304"/>
      <c r="D1709" s="18"/>
    </row>
    <row r="1710" spans="1:4" ht="15.75" customHeight="1" thickBot="1" x14ac:dyDescent="0.3">
      <c r="A1710" s="4"/>
      <c r="B1710" s="303"/>
      <c r="C1710" s="304"/>
      <c r="D1710" s="18"/>
    </row>
    <row r="1711" spans="1:4" ht="15.75" customHeight="1" thickBot="1" x14ac:dyDescent="0.3">
      <c r="A1711" s="4"/>
      <c r="B1711" s="303"/>
      <c r="C1711" s="304"/>
      <c r="D1711" s="18"/>
    </row>
    <row r="1712" spans="1:4" ht="15.75" customHeight="1" thickBot="1" x14ac:dyDescent="0.3">
      <c r="A1712" s="4"/>
      <c r="B1712" s="303"/>
      <c r="C1712" s="304"/>
      <c r="D1712" s="18"/>
    </row>
    <row r="1713" spans="1:4" ht="15.75" customHeight="1" thickBot="1" x14ac:dyDescent="0.3">
      <c r="A1713" s="4"/>
      <c r="B1713" s="303"/>
      <c r="C1713" s="304"/>
      <c r="D1713" s="18"/>
    </row>
    <row r="1714" spans="1:4" ht="15.75" customHeight="1" thickBot="1" x14ac:dyDescent="0.3">
      <c r="A1714" s="4"/>
      <c r="B1714" s="303"/>
      <c r="C1714" s="304"/>
      <c r="D1714" s="18"/>
    </row>
    <row r="1715" spans="1:4" ht="15.75" customHeight="1" thickBot="1" x14ac:dyDescent="0.3">
      <c r="A1715" s="2"/>
      <c r="B1715" s="3"/>
      <c r="C1715" s="2"/>
      <c r="D1715" s="1"/>
    </row>
    <row r="1716" spans="1:4" ht="15.75" customHeight="1" thickBot="1" x14ac:dyDescent="0.3">
      <c r="A1716" s="300"/>
      <c r="B1716" s="301"/>
      <c r="C1716" s="301"/>
      <c r="D1716" s="302"/>
    </row>
    <row r="1717" spans="1:4" ht="15.75" customHeight="1" x14ac:dyDescent="0.25">
      <c r="A1717" s="5"/>
      <c r="B1717" s="6"/>
      <c r="C1717" s="7"/>
      <c r="D1717" s="8"/>
    </row>
    <row r="1718" spans="1:4" ht="15.75" customHeight="1" thickBot="1" x14ac:dyDescent="0.3">
      <c r="A1718" s="9"/>
      <c r="B1718" s="10"/>
      <c r="C1718" s="10"/>
      <c r="D1718" s="11"/>
    </row>
    <row r="1719" spans="1:4" ht="15.75" customHeight="1" thickBot="1" x14ac:dyDescent="0.3">
      <c r="A1719" s="15"/>
      <c r="B1719" s="16"/>
      <c r="C1719" s="21"/>
      <c r="D1719" s="16"/>
    </row>
    <row r="1720" spans="1:4" ht="15.75" customHeight="1" thickBot="1" x14ac:dyDescent="0.3">
      <c r="A1720" s="12"/>
      <c r="B1720" s="305"/>
      <c r="C1720" s="306"/>
      <c r="D1720" s="54"/>
    </row>
    <row r="1721" spans="1:4" ht="15.75" customHeight="1" thickBot="1" x14ac:dyDescent="0.3">
      <c r="A1721" s="38"/>
      <c r="B1721" s="45"/>
      <c r="C1721" s="45"/>
      <c r="D1721" s="45"/>
    </row>
    <row r="1722" spans="1:4" ht="15.75" customHeight="1" thickBot="1" x14ac:dyDescent="0.3">
      <c r="A1722" s="19"/>
      <c r="B1722" s="20"/>
      <c r="C1722" s="50"/>
      <c r="D1722" s="51"/>
    </row>
    <row r="1723" spans="1:4" ht="15.75" customHeight="1" thickBot="1" x14ac:dyDescent="0.3">
      <c r="A1723" s="19"/>
      <c r="B1723" s="20"/>
      <c r="C1723" s="52"/>
      <c r="D1723" s="53"/>
    </row>
    <row r="1724" spans="1:4" ht="15.75" customHeight="1" thickBot="1" x14ac:dyDescent="0.3">
      <c r="A1724" s="19"/>
      <c r="B1724" s="20"/>
      <c r="C1724" s="13"/>
      <c r="D1724" s="14"/>
    </row>
    <row r="1725" spans="1:4" ht="15.75" customHeight="1" thickBot="1" x14ac:dyDescent="0.3">
      <c r="A1725" s="2"/>
      <c r="B1725" s="3"/>
      <c r="C1725" s="2"/>
      <c r="D1725" s="1"/>
    </row>
    <row r="1726" spans="1:4" ht="15.75" customHeight="1" thickBot="1" x14ac:dyDescent="0.3">
      <c r="A1726" s="4"/>
      <c r="B1726" s="303"/>
      <c r="C1726" s="304"/>
      <c r="D1726" s="4"/>
    </row>
    <row r="1727" spans="1:4" ht="15.75" customHeight="1" thickBot="1" x14ac:dyDescent="0.3">
      <c r="A1727" s="4"/>
      <c r="B1727" s="303"/>
      <c r="C1727" s="304"/>
      <c r="D1727" s="18"/>
    </row>
    <row r="1728" spans="1:4" ht="15.75" customHeight="1" thickBot="1" x14ac:dyDescent="0.3">
      <c r="A1728" s="4"/>
      <c r="B1728" s="303"/>
      <c r="C1728" s="304"/>
      <c r="D1728" s="18"/>
    </row>
    <row r="1729" spans="1:4" ht="15.75" customHeight="1" thickBot="1" x14ac:dyDescent="0.3">
      <c r="A1729" s="4"/>
      <c r="B1729" s="303"/>
      <c r="C1729" s="304"/>
      <c r="D1729" s="18"/>
    </row>
    <row r="1730" spans="1:4" ht="15.75" customHeight="1" thickBot="1" x14ac:dyDescent="0.3">
      <c r="A1730" s="4"/>
      <c r="B1730" s="303"/>
      <c r="C1730" s="304"/>
      <c r="D1730" s="18"/>
    </row>
    <row r="1731" spans="1:4" ht="15.75" customHeight="1" thickBot="1" x14ac:dyDescent="0.3">
      <c r="A1731" s="4"/>
      <c r="B1731" s="303"/>
      <c r="C1731" s="304"/>
      <c r="D1731" s="18"/>
    </row>
    <row r="1732" spans="1:4" ht="15.75" customHeight="1" thickBot="1" x14ac:dyDescent="0.3">
      <c r="A1732" s="4"/>
      <c r="B1732" s="303"/>
      <c r="C1732" s="304"/>
      <c r="D1732" s="18"/>
    </row>
    <row r="1733" spans="1:4" ht="15.75" customHeight="1" thickBot="1" x14ac:dyDescent="0.3">
      <c r="A1733" s="4"/>
      <c r="B1733" s="303"/>
      <c r="C1733" s="304"/>
      <c r="D1733" s="18"/>
    </row>
    <row r="1734" spans="1:4" ht="15.75" customHeight="1" thickBot="1" x14ac:dyDescent="0.3">
      <c r="A1734" s="4"/>
      <c r="B1734" s="303"/>
      <c r="C1734" s="304"/>
      <c r="D1734" s="18"/>
    </row>
    <row r="1735" spans="1:4" ht="15.75" customHeight="1" thickBot="1" x14ac:dyDescent="0.3">
      <c r="A1735" s="2"/>
      <c r="B1735" s="3"/>
      <c r="C1735" s="2"/>
      <c r="D1735" s="1"/>
    </row>
    <row r="1736" spans="1:4" ht="15.75" customHeight="1" thickBot="1" x14ac:dyDescent="0.3">
      <c r="A1736" s="300"/>
      <c r="B1736" s="301"/>
      <c r="C1736" s="301"/>
      <c r="D1736" s="302"/>
    </row>
    <row r="1737" spans="1:4" ht="15.75" customHeight="1" x14ac:dyDescent="0.25">
      <c r="A1737" s="5"/>
      <c r="B1737" s="6"/>
      <c r="C1737" s="7"/>
      <c r="D1737" s="8"/>
    </row>
    <row r="1738" spans="1:4" ht="15.75" customHeight="1" thickBot="1" x14ac:dyDescent="0.3">
      <c r="A1738" s="9"/>
      <c r="B1738" s="10"/>
      <c r="C1738" s="10"/>
      <c r="D1738" s="11"/>
    </row>
    <row r="1739" spans="1:4" ht="15.75" customHeight="1" thickBot="1" x14ac:dyDescent="0.3">
      <c r="A1739" s="15"/>
      <c r="B1739" s="16"/>
      <c r="C1739" s="21"/>
      <c r="D1739" s="16"/>
    </row>
    <row r="1740" spans="1:4" ht="15.75" customHeight="1" thickBot="1" x14ac:dyDescent="0.3">
      <c r="A1740" s="12"/>
      <c r="B1740" s="305"/>
      <c r="C1740" s="306"/>
      <c r="D1740" s="54"/>
    </row>
    <row r="1741" spans="1:4" ht="15.75" customHeight="1" thickBot="1" x14ac:dyDescent="0.3">
      <c r="A1741" s="38"/>
      <c r="B1741" s="45"/>
      <c r="C1741" s="45"/>
      <c r="D1741" s="45"/>
    </row>
    <row r="1742" spans="1:4" ht="15.75" customHeight="1" thickBot="1" x14ac:dyDescent="0.3">
      <c r="A1742" s="19"/>
      <c r="B1742" s="20"/>
      <c r="C1742" s="50"/>
      <c r="D1742" s="51"/>
    </row>
    <row r="1743" spans="1:4" ht="15.75" customHeight="1" thickBot="1" x14ac:dyDescent="0.3">
      <c r="A1743" s="19"/>
      <c r="B1743" s="20"/>
      <c r="C1743" s="52"/>
      <c r="D1743" s="53"/>
    </row>
    <row r="1744" spans="1:4" ht="15.75" customHeight="1" thickBot="1" x14ac:dyDescent="0.3">
      <c r="A1744" s="19"/>
      <c r="B1744" s="20"/>
      <c r="C1744" s="13"/>
      <c r="D1744" s="14"/>
    </row>
    <row r="1745" spans="1:4" ht="15.75" customHeight="1" thickBot="1" x14ac:dyDescent="0.3">
      <c r="A1745" s="2"/>
      <c r="B1745" s="3"/>
      <c r="C1745" s="2"/>
      <c r="D1745" s="1"/>
    </row>
    <row r="1746" spans="1:4" ht="15.75" customHeight="1" thickBot="1" x14ac:dyDescent="0.3">
      <c r="A1746" s="4"/>
      <c r="B1746" s="303"/>
      <c r="C1746" s="304"/>
      <c r="D1746" s="4"/>
    </row>
    <row r="1747" spans="1:4" ht="15.75" customHeight="1" thickBot="1" x14ac:dyDescent="0.3">
      <c r="A1747" s="4"/>
      <c r="B1747" s="303"/>
      <c r="C1747" s="304"/>
      <c r="D1747" s="18"/>
    </row>
    <row r="1748" spans="1:4" ht="15.75" customHeight="1" thickBot="1" x14ac:dyDescent="0.3">
      <c r="A1748" s="4"/>
      <c r="B1748" s="303"/>
      <c r="C1748" s="304"/>
      <c r="D1748" s="18"/>
    </row>
    <row r="1749" spans="1:4" ht="15.75" customHeight="1" thickBot="1" x14ac:dyDescent="0.3">
      <c r="A1749" s="4"/>
      <c r="B1749" s="303"/>
      <c r="C1749" s="304"/>
      <c r="D1749" s="18"/>
    </row>
    <row r="1750" spans="1:4" ht="15.75" customHeight="1" thickBot="1" x14ac:dyDescent="0.3">
      <c r="A1750" s="4"/>
      <c r="B1750" s="303"/>
      <c r="C1750" s="304"/>
      <c r="D1750" s="18"/>
    </row>
    <row r="1751" spans="1:4" ht="15.75" customHeight="1" thickBot="1" x14ac:dyDescent="0.3">
      <c r="A1751" s="4"/>
      <c r="B1751" s="303"/>
      <c r="C1751" s="304"/>
      <c r="D1751" s="18"/>
    </row>
    <row r="1752" spans="1:4" ht="15.75" customHeight="1" thickBot="1" x14ac:dyDescent="0.3">
      <c r="A1752" s="4"/>
      <c r="B1752" s="303"/>
      <c r="C1752" s="304"/>
      <c r="D1752" s="18"/>
    </row>
    <row r="1753" spans="1:4" ht="15.75" customHeight="1" thickBot="1" x14ac:dyDescent="0.3">
      <c r="A1753" s="4"/>
      <c r="B1753" s="303"/>
      <c r="C1753" s="304"/>
      <c r="D1753" s="18"/>
    </row>
    <row r="1754" spans="1:4" ht="15.75" customHeight="1" thickBot="1" x14ac:dyDescent="0.3">
      <c r="A1754" s="4"/>
      <c r="B1754" s="303"/>
      <c r="C1754" s="304"/>
      <c r="D1754" s="18"/>
    </row>
    <row r="1755" spans="1:4" ht="15.75" customHeight="1" thickBot="1" x14ac:dyDescent="0.3">
      <c r="A1755" s="2"/>
      <c r="B1755" s="3"/>
      <c r="C1755" s="2"/>
      <c r="D1755" s="1"/>
    </row>
    <row r="1756" spans="1:4" ht="15.75" customHeight="1" thickBot="1" x14ac:dyDescent="0.3">
      <c r="A1756" s="300"/>
      <c r="B1756" s="301"/>
      <c r="C1756" s="301"/>
      <c r="D1756" s="302"/>
    </row>
    <row r="1757" spans="1:4" ht="15.75" customHeight="1" x14ac:dyDescent="0.25">
      <c r="A1757" s="5"/>
      <c r="B1757" s="6"/>
      <c r="C1757" s="7"/>
      <c r="D1757" s="8"/>
    </row>
    <row r="1758" spans="1:4" ht="15.75" customHeight="1" thickBot="1" x14ac:dyDescent="0.3">
      <c r="A1758" s="9"/>
      <c r="B1758" s="10"/>
      <c r="C1758" s="10"/>
      <c r="D1758" s="11"/>
    </row>
    <row r="1759" spans="1:4" ht="15.75" customHeight="1" thickBot="1" x14ac:dyDescent="0.3">
      <c r="A1759" s="15"/>
      <c r="B1759" s="16"/>
      <c r="C1759" s="21"/>
      <c r="D1759" s="16"/>
    </row>
    <row r="1760" spans="1:4" ht="15.75" customHeight="1" thickBot="1" x14ac:dyDescent="0.3">
      <c r="A1760" s="12"/>
      <c r="B1760" s="305"/>
      <c r="C1760" s="306"/>
      <c r="D1760" s="54"/>
    </row>
    <row r="1761" spans="1:4" ht="15.75" customHeight="1" thickBot="1" x14ac:dyDescent="0.3">
      <c r="A1761" s="38"/>
      <c r="B1761" s="45"/>
      <c r="C1761" s="45"/>
      <c r="D1761" s="45"/>
    </row>
    <row r="1762" spans="1:4" ht="15.75" customHeight="1" thickBot="1" x14ac:dyDescent="0.3">
      <c r="A1762" s="19"/>
      <c r="B1762" s="20"/>
      <c r="C1762" s="50"/>
      <c r="D1762" s="51"/>
    </row>
    <row r="1763" spans="1:4" ht="15.75" customHeight="1" thickBot="1" x14ac:dyDescent="0.3">
      <c r="A1763" s="19"/>
      <c r="B1763" s="20"/>
      <c r="C1763" s="52"/>
      <c r="D1763" s="53"/>
    </row>
    <row r="1764" spans="1:4" ht="15.75" customHeight="1" thickBot="1" x14ac:dyDescent="0.3">
      <c r="A1764" s="19"/>
      <c r="B1764" s="20"/>
      <c r="C1764" s="13"/>
      <c r="D1764" s="14"/>
    </row>
    <row r="1765" spans="1:4" ht="15.75" customHeight="1" thickBot="1" x14ac:dyDescent="0.3">
      <c r="A1765" s="2"/>
      <c r="B1765" s="3"/>
      <c r="C1765" s="2"/>
      <c r="D1765" s="1"/>
    </row>
    <row r="1766" spans="1:4" ht="15.75" customHeight="1" thickBot="1" x14ac:dyDescent="0.3">
      <c r="A1766" s="4"/>
      <c r="B1766" s="303"/>
      <c r="C1766" s="304"/>
      <c r="D1766" s="4"/>
    </row>
    <row r="1767" spans="1:4" ht="15.75" customHeight="1" thickBot="1" x14ac:dyDescent="0.3">
      <c r="A1767" s="4"/>
      <c r="B1767" s="303"/>
      <c r="C1767" s="304"/>
      <c r="D1767" s="18"/>
    </row>
    <row r="1768" spans="1:4" ht="15.75" customHeight="1" thickBot="1" x14ac:dyDescent="0.3">
      <c r="A1768" s="4"/>
      <c r="B1768" s="303"/>
      <c r="C1768" s="304"/>
      <c r="D1768" s="18"/>
    </row>
    <row r="1769" spans="1:4" ht="15.75" customHeight="1" thickBot="1" x14ac:dyDescent="0.3">
      <c r="A1769" s="4"/>
      <c r="B1769" s="303"/>
      <c r="C1769" s="304"/>
      <c r="D1769" s="18"/>
    </row>
    <row r="1770" spans="1:4" ht="15.75" customHeight="1" thickBot="1" x14ac:dyDescent="0.3">
      <c r="A1770" s="4"/>
      <c r="B1770" s="303"/>
      <c r="C1770" s="304"/>
      <c r="D1770" s="18"/>
    </row>
    <row r="1771" spans="1:4" ht="15.75" customHeight="1" thickBot="1" x14ac:dyDescent="0.3">
      <c r="A1771" s="4"/>
      <c r="B1771" s="303"/>
      <c r="C1771" s="304"/>
      <c r="D1771" s="18"/>
    </row>
    <row r="1772" spans="1:4" ht="15.75" customHeight="1" thickBot="1" x14ac:dyDescent="0.3">
      <c r="A1772" s="4"/>
      <c r="B1772" s="303"/>
      <c r="C1772" s="304"/>
      <c r="D1772" s="18"/>
    </row>
    <row r="1773" spans="1:4" ht="15.75" customHeight="1" thickBot="1" x14ac:dyDescent="0.3">
      <c r="A1773" s="4"/>
      <c r="B1773" s="303"/>
      <c r="C1773" s="304"/>
      <c r="D1773" s="18"/>
    </row>
    <row r="1774" spans="1:4" ht="15.75" customHeight="1" thickBot="1" x14ac:dyDescent="0.3">
      <c r="A1774" s="4"/>
      <c r="B1774" s="303"/>
      <c r="C1774" s="304"/>
      <c r="D1774" s="18"/>
    </row>
    <row r="1775" spans="1:4" ht="15.75" customHeight="1" thickBot="1" x14ac:dyDescent="0.3">
      <c r="A1775" s="2"/>
      <c r="B1775" s="3"/>
      <c r="C1775" s="2"/>
      <c r="D1775" s="1"/>
    </row>
    <row r="1776" spans="1:4" ht="15.75" customHeight="1" thickBot="1" x14ac:dyDescent="0.3">
      <c r="A1776" s="300"/>
      <c r="B1776" s="301"/>
      <c r="C1776" s="301"/>
      <c r="D1776" s="302"/>
    </row>
    <row r="1777" spans="1:4" ht="15.75" customHeight="1" x14ac:dyDescent="0.25">
      <c r="A1777" s="5"/>
      <c r="B1777" s="6"/>
      <c r="C1777" s="7"/>
      <c r="D1777" s="8"/>
    </row>
    <row r="1778" spans="1:4" ht="15.75" customHeight="1" thickBot="1" x14ac:dyDescent="0.3">
      <c r="A1778" s="9"/>
      <c r="B1778" s="10"/>
      <c r="C1778" s="10"/>
      <c r="D1778" s="11"/>
    </row>
    <row r="1779" spans="1:4" ht="15.75" customHeight="1" thickBot="1" x14ac:dyDescent="0.3">
      <c r="A1779" s="15"/>
      <c r="B1779" s="16"/>
      <c r="C1779" s="21"/>
      <c r="D1779" s="16"/>
    </row>
    <row r="1780" spans="1:4" ht="15.75" customHeight="1" thickBot="1" x14ac:dyDescent="0.3">
      <c r="A1780" s="12"/>
      <c r="B1780" s="305"/>
      <c r="C1780" s="306"/>
      <c r="D1780" s="54"/>
    </row>
    <row r="1781" spans="1:4" ht="15.75" customHeight="1" thickBot="1" x14ac:dyDescent="0.3">
      <c r="A1781" s="38"/>
      <c r="B1781" s="45"/>
      <c r="C1781" s="45"/>
      <c r="D1781" s="45"/>
    </row>
    <row r="1782" spans="1:4" ht="15.75" customHeight="1" thickBot="1" x14ac:dyDescent="0.3">
      <c r="A1782" s="19"/>
      <c r="B1782" s="20"/>
      <c r="C1782" s="50"/>
      <c r="D1782" s="51"/>
    </row>
    <row r="1783" spans="1:4" ht="15.75" customHeight="1" thickBot="1" x14ac:dyDescent="0.3">
      <c r="A1783" s="19"/>
      <c r="B1783" s="20"/>
      <c r="C1783" s="52"/>
      <c r="D1783" s="53"/>
    </row>
    <row r="1784" spans="1:4" ht="15.75" customHeight="1" thickBot="1" x14ac:dyDescent="0.3">
      <c r="A1784" s="19"/>
      <c r="B1784" s="20"/>
      <c r="C1784" s="13"/>
      <c r="D1784" s="14"/>
    </row>
    <row r="1785" spans="1:4" ht="15.75" customHeight="1" thickBot="1" x14ac:dyDescent="0.3">
      <c r="A1785" s="2"/>
      <c r="B1785" s="3"/>
      <c r="C1785" s="2"/>
      <c r="D1785" s="1"/>
    </row>
    <row r="1786" spans="1:4" ht="15.75" customHeight="1" thickBot="1" x14ac:dyDescent="0.3">
      <c r="A1786" s="4"/>
      <c r="B1786" s="303"/>
      <c r="C1786" s="304"/>
      <c r="D1786" s="4"/>
    </row>
    <row r="1787" spans="1:4" ht="15.75" customHeight="1" thickBot="1" x14ac:dyDescent="0.3">
      <c r="A1787" s="4"/>
      <c r="B1787" s="303"/>
      <c r="C1787" s="304"/>
      <c r="D1787" s="18"/>
    </row>
    <row r="1788" spans="1:4" ht="15.75" customHeight="1" thickBot="1" x14ac:dyDescent="0.3">
      <c r="A1788" s="4"/>
      <c r="B1788" s="303"/>
      <c r="C1788" s="304"/>
      <c r="D1788" s="18"/>
    </row>
    <row r="1789" spans="1:4" ht="15.75" customHeight="1" thickBot="1" x14ac:dyDescent="0.3">
      <c r="A1789" s="4"/>
      <c r="B1789" s="303"/>
      <c r="C1789" s="304"/>
      <c r="D1789" s="18"/>
    </row>
    <row r="1790" spans="1:4" ht="15.75" customHeight="1" thickBot="1" x14ac:dyDescent="0.3">
      <c r="A1790" s="4"/>
      <c r="B1790" s="303"/>
      <c r="C1790" s="304"/>
      <c r="D1790" s="18"/>
    </row>
    <row r="1791" spans="1:4" ht="15.75" customHeight="1" thickBot="1" x14ac:dyDescent="0.3">
      <c r="A1791" s="4"/>
      <c r="B1791" s="303"/>
      <c r="C1791" s="304"/>
      <c r="D1791" s="18"/>
    </row>
    <row r="1792" spans="1:4" ht="15.75" customHeight="1" thickBot="1" x14ac:dyDescent="0.3">
      <c r="A1792" s="4"/>
      <c r="B1792" s="303"/>
      <c r="C1792" s="304"/>
      <c r="D1792" s="18"/>
    </row>
    <row r="1793" spans="1:4" ht="15.75" customHeight="1" thickBot="1" x14ac:dyDescent="0.3">
      <c r="A1793" s="4"/>
      <c r="B1793" s="303"/>
      <c r="C1793" s="304"/>
      <c r="D1793" s="18"/>
    </row>
    <row r="1794" spans="1:4" ht="15.75" customHeight="1" thickBot="1" x14ac:dyDescent="0.3">
      <c r="A1794" s="4"/>
      <c r="B1794" s="303"/>
      <c r="C1794" s="304"/>
      <c r="D1794" s="18"/>
    </row>
    <row r="1795" spans="1:4" ht="15.75" customHeight="1" thickBot="1" x14ac:dyDescent="0.3">
      <c r="A1795" s="2"/>
      <c r="B1795" s="3"/>
      <c r="C1795" s="2"/>
      <c r="D1795" s="1"/>
    </row>
    <row r="1796" spans="1:4" ht="15.75" customHeight="1" thickBot="1" x14ac:dyDescent="0.3">
      <c r="A1796" s="300"/>
      <c r="B1796" s="301"/>
      <c r="C1796" s="301"/>
      <c r="D1796" s="302"/>
    </row>
    <row r="1797" spans="1:4" ht="15.75" customHeight="1" x14ac:dyDescent="0.25">
      <c r="A1797" s="5"/>
      <c r="B1797" s="6"/>
      <c r="C1797" s="7"/>
      <c r="D1797" s="8"/>
    </row>
    <row r="1798" spans="1:4" ht="15.75" customHeight="1" thickBot="1" x14ac:dyDescent="0.3">
      <c r="A1798" s="9"/>
      <c r="B1798" s="10"/>
      <c r="C1798" s="10"/>
      <c r="D1798" s="11"/>
    </row>
    <row r="1799" spans="1:4" ht="15.75" customHeight="1" thickBot="1" x14ac:dyDescent="0.3">
      <c r="A1799" s="15"/>
      <c r="B1799" s="16"/>
      <c r="C1799" s="21"/>
      <c r="D1799" s="16"/>
    </row>
    <row r="1800" spans="1:4" ht="15.75" customHeight="1" thickBot="1" x14ac:dyDescent="0.3">
      <c r="A1800" s="12"/>
      <c r="B1800" s="305"/>
      <c r="C1800" s="306"/>
      <c r="D1800" s="54"/>
    </row>
    <row r="1801" spans="1:4" ht="15.75" customHeight="1" thickBot="1" x14ac:dyDescent="0.3">
      <c r="A1801" s="38"/>
      <c r="B1801" s="45"/>
      <c r="C1801" s="45"/>
      <c r="D1801" s="45"/>
    </row>
    <row r="1802" spans="1:4" ht="15.75" customHeight="1" thickBot="1" x14ac:dyDescent="0.3">
      <c r="A1802" s="19"/>
      <c r="B1802" s="20"/>
      <c r="C1802" s="50"/>
      <c r="D1802" s="51"/>
    </row>
    <row r="1803" spans="1:4" ht="15.75" customHeight="1" thickBot="1" x14ac:dyDescent="0.3">
      <c r="A1803" s="19"/>
      <c r="B1803" s="20"/>
      <c r="C1803" s="52"/>
      <c r="D1803" s="53"/>
    </row>
    <row r="1804" spans="1:4" ht="15.75" customHeight="1" thickBot="1" x14ac:dyDescent="0.3">
      <c r="A1804" s="19"/>
      <c r="B1804" s="20"/>
      <c r="C1804" s="13"/>
      <c r="D1804" s="14"/>
    </row>
    <row r="1805" spans="1:4" ht="15.75" customHeight="1" thickBot="1" x14ac:dyDescent="0.3">
      <c r="A1805" s="2"/>
      <c r="B1805" s="3"/>
      <c r="C1805" s="2"/>
      <c r="D1805" s="1"/>
    </row>
    <row r="1806" spans="1:4" ht="15.75" customHeight="1" thickBot="1" x14ac:dyDescent="0.3">
      <c r="A1806" s="4"/>
      <c r="B1806" s="303"/>
      <c r="C1806" s="304"/>
      <c r="D1806" s="4"/>
    </row>
    <row r="1807" spans="1:4" ht="15.75" customHeight="1" thickBot="1" x14ac:dyDescent="0.3">
      <c r="A1807" s="4"/>
      <c r="B1807" s="303"/>
      <c r="C1807" s="304"/>
      <c r="D1807" s="18"/>
    </row>
    <row r="1808" spans="1:4" ht="15.75" customHeight="1" thickBot="1" x14ac:dyDescent="0.3">
      <c r="A1808" s="4"/>
      <c r="B1808" s="303"/>
      <c r="C1808" s="304"/>
      <c r="D1808" s="18"/>
    </row>
    <row r="1809" spans="1:4" ht="15.75" customHeight="1" thickBot="1" x14ac:dyDescent="0.3">
      <c r="A1809" s="4"/>
      <c r="B1809" s="303"/>
      <c r="C1809" s="304"/>
      <c r="D1809" s="18"/>
    </row>
    <row r="1810" spans="1:4" ht="15.75" customHeight="1" thickBot="1" x14ac:dyDescent="0.3">
      <c r="A1810" s="4"/>
      <c r="B1810" s="303"/>
      <c r="C1810" s="304"/>
      <c r="D1810" s="18"/>
    </row>
    <row r="1811" spans="1:4" ht="15.75" customHeight="1" thickBot="1" x14ac:dyDescent="0.3">
      <c r="A1811" s="4"/>
      <c r="B1811" s="303"/>
      <c r="C1811" s="304"/>
      <c r="D1811" s="18"/>
    </row>
    <row r="1812" spans="1:4" ht="15.75" customHeight="1" thickBot="1" x14ac:dyDescent="0.3">
      <c r="A1812" s="4"/>
      <c r="B1812" s="303"/>
      <c r="C1812" s="304"/>
      <c r="D1812" s="18"/>
    </row>
    <row r="1813" spans="1:4" ht="15.75" customHeight="1" thickBot="1" x14ac:dyDescent="0.3">
      <c r="A1813" s="4"/>
      <c r="B1813" s="303"/>
      <c r="C1813" s="304"/>
      <c r="D1813" s="18"/>
    </row>
    <row r="1814" spans="1:4" ht="15.75" customHeight="1" thickBot="1" x14ac:dyDescent="0.3">
      <c r="A1814" s="4"/>
      <c r="B1814" s="303"/>
      <c r="C1814" s="304"/>
      <c r="D1814" s="18"/>
    </row>
    <row r="1815" spans="1:4" ht="15.75" customHeight="1" thickBot="1" x14ac:dyDescent="0.3">
      <c r="A1815" s="2"/>
      <c r="B1815" s="3"/>
      <c r="C1815" s="2"/>
      <c r="D1815" s="1"/>
    </row>
    <row r="1816" spans="1:4" ht="15.75" customHeight="1" thickBot="1" x14ac:dyDescent="0.3">
      <c r="A1816" s="300"/>
      <c r="B1816" s="301"/>
      <c r="C1816" s="301"/>
      <c r="D1816" s="302"/>
    </row>
    <row r="1817" spans="1:4" ht="15.75" customHeight="1" x14ac:dyDescent="0.25">
      <c r="A1817" s="5"/>
      <c r="B1817" s="6"/>
      <c r="C1817" s="7"/>
      <c r="D1817" s="8"/>
    </row>
    <row r="1818" spans="1:4" ht="15.75" customHeight="1" thickBot="1" x14ac:dyDescent="0.3">
      <c r="A1818" s="9"/>
      <c r="B1818" s="10"/>
      <c r="C1818" s="10"/>
      <c r="D1818" s="11"/>
    </row>
    <row r="1819" spans="1:4" ht="15.75" customHeight="1" thickBot="1" x14ac:dyDescent="0.3">
      <c r="A1819" s="15"/>
      <c r="B1819" s="16"/>
      <c r="C1819" s="21"/>
      <c r="D1819" s="16"/>
    </row>
    <row r="1820" spans="1:4" ht="15.75" customHeight="1" thickBot="1" x14ac:dyDescent="0.3">
      <c r="A1820" s="12"/>
      <c r="B1820" s="305"/>
      <c r="C1820" s="306"/>
      <c r="D1820" s="54"/>
    </row>
    <row r="1821" spans="1:4" ht="15.75" customHeight="1" thickBot="1" x14ac:dyDescent="0.3">
      <c r="A1821" s="38"/>
      <c r="B1821" s="45"/>
      <c r="C1821" s="45"/>
      <c r="D1821" s="45"/>
    </row>
    <row r="1822" spans="1:4" ht="15.75" customHeight="1" thickBot="1" x14ac:dyDescent="0.3">
      <c r="A1822" s="19"/>
      <c r="B1822" s="20"/>
      <c r="C1822" s="50"/>
      <c r="D1822" s="51"/>
    </row>
    <row r="1823" spans="1:4" ht="15.75" customHeight="1" thickBot="1" x14ac:dyDescent="0.3">
      <c r="A1823" s="19"/>
      <c r="B1823" s="20"/>
      <c r="C1823" s="52"/>
      <c r="D1823" s="53"/>
    </row>
    <row r="1824" spans="1:4" ht="15.75" customHeight="1" thickBot="1" x14ac:dyDescent="0.3">
      <c r="A1824" s="19"/>
      <c r="B1824" s="20"/>
      <c r="C1824" s="13"/>
      <c r="D1824" s="14"/>
    </row>
    <row r="1825" spans="1:4" ht="15.75" customHeight="1" thickBot="1" x14ac:dyDescent="0.3">
      <c r="A1825" s="2"/>
      <c r="B1825" s="3"/>
      <c r="C1825" s="2"/>
      <c r="D1825" s="1"/>
    </row>
    <row r="1826" spans="1:4" ht="15.75" customHeight="1" thickBot="1" x14ac:dyDescent="0.3">
      <c r="A1826" s="4"/>
      <c r="B1826" s="303"/>
      <c r="C1826" s="304"/>
      <c r="D1826" s="4"/>
    </row>
    <row r="1827" spans="1:4" ht="15.75" customHeight="1" thickBot="1" x14ac:dyDescent="0.3">
      <c r="A1827" s="4"/>
      <c r="B1827" s="303"/>
      <c r="C1827" s="304"/>
      <c r="D1827" s="18"/>
    </row>
    <row r="1828" spans="1:4" ht="15.75" customHeight="1" thickBot="1" x14ac:dyDescent="0.3">
      <c r="A1828" s="4"/>
      <c r="B1828" s="303"/>
      <c r="C1828" s="304"/>
      <c r="D1828" s="18"/>
    </row>
    <row r="1829" spans="1:4" ht="15.75" customHeight="1" thickBot="1" x14ac:dyDescent="0.3">
      <c r="A1829" s="4"/>
      <c r="B1829" s="303"/>
      <c r="C1829" s="304"/>
      <c r="D1829" s="18"/>
    </row>
    <row r="1830" spans="1:4" ht="15.75" customHeight="1" thickBot="1" x14ac:dyDescent="0.3">
      <c r="A1830" s="4"/>
      <c r="B1830" s="303"/>
      <c r="C1830" s="304"/>
      <c r="D1830" s="18"/>
    </row>
    <row r="1831" spans="1:4" ht="15.75" customHeight="1" thickBot="1" x14ac:dyDescent="0.3">
      <c r="A1831" s="4"/>
      <c r="B1831" s="303"/>
      <c r="C1831" s="304"/>
      <c r="D1831" s="18"/>
    </row>
    <row r="1832" spans="1:4" ht="15.75" customHeight="1" thickBot="1" x14ac:dyDescent="0.3">
      <c r="A1832" s="4"/>
      <c r="B1832" s="303"/>
      <c r="C1832" s="304"/>
      <c r="D1832" s="18"/>
    </row>
    <row r="1833" spans="1:4" ht="15.75" customHeight="1" thickBot="1" x14ac:dyDescent="0.3">
      <c r="A1833" s="4"/>
      <c r="B1833" s="303"/>
      <c r="C1833" s="304"/>
      <c r="D1833" s="18"/>
    </row>
    <row r="1834" spans="1:4" ht="15.75" customHeight="1" thickBot="1" x14ac:dyDescent="0.3">
      <c r="A1834" s="4"/>
      <c r="B1834" s="303"/>
      <c r="C1834" s="304"/>
      <c r="D1834" s="18"/>
    </row>
    <row r="1835" spans="1:4" ht="15.75" customHeight="1" thickBot="1" x14ac:dyDescent="0.3">
      <c r="A1835" s="2"/>
      <c r="B1835" s="3"/>
      <c r="C1835" s="2"/>
      <c r="D1835" s="1"/>
    </row>
    <row r="1836" spans="1:4" ht="15.75" customHeight="1" thickBot="1" x14ac:dyDescent="0.3">
      <c r="A1836" s="300"/>
      <c r="B1836" s="301"/>
      <c r="C1836" s="301"/>
      <c r="D1836" s="302"/>
    </row>
    <row r="1837" spans="1:4" ht="15.75" customHeight="1" x14ac:dyDescent="0.25">
      <c r="A1837" s="5"/>
      <c r="B1837" s="6"/>
      <c r="C1837" s="7"/>
      <c r="D1837" s="8"/>
    </row>
    <row r="1838" spans="1:4" ht="15.75" customHeight="1" thickBot="1" x14ac:dyDescent="0.3">
      <c r="A1838" s="9"/>
      <c r="B1838" s="10"/>
      <c r="C1838" s="10"/>
      <c r="D1838" s="11"/>
    </row>
    <row r="1839" spans="1:4" ht="15.75" customHeight="1" thickBot="1" x14ac:dyDescent="0.3">
      <c r="A1839" s="15"/>
      <c r="B1839" s="16"/>
      <c r="C1839" s="21"/>
      <c r="D1839" s="16"/>
    </row>
    <row r="1840" spans="1:4" ht="15.75" customHeight="1" thickBot="1" x14ac:dyDescent="0.3">
      <c r="A1840" s="12"/>
      <c r="B1840" s="305"/>
      <c r="C1840" s="306"/>
      <c r="D1840" s="54"/>
    </row>
    <row r="1841" spans="1:4" ht="15.75" customHeight="1" thickBot="1" x14ac:dyDescent="0.3">
      <c r="A1841" s="38"/>
      <c r="B1841" s="45"/>
      <c r="C1841" s="45"/>
      <c r="D1841" s="45"/>
    </row>
    <row r="1842" spans="1:4" ht="15.75" customHeight="1" thickBot="1" x14ac:dyDescent="0.3">
      <c r="A1842" s="19"/>
      <c r="B1842" s="20"/>
      <c r="C1842" s="50"/>
      <c r="D1842" s="51"/>
    </row>
    <row r="1843" spans="1:4" ht="15.75" customHeight="1" thickBot="1" x14ac:dyDescent="0.3">
      <c r="A1843" s="19"/>
      <c r="B1843" s="20"/>
      <c r="C1843" s="52"/>
      <c r="D1843" s="53"/>
    </row>
    <row r="1844" spans="1:4" ht="15.75" customHeight="1" thickBot="1" x14ac:dyDescent="0.3">
      <c r="A1844" s="19"/>
      <c r="B1844" s="20"/>
      <c r="C1844" s="13"/>
      <c r="D1844" s="14"/>
    </row>
    <row r="1845" spans="1:4" ht="15.75" customHeight="1" thickBot="1" x14ac:dyDescent="0.3">
      <c r="A1845" s="2"/>
      <c r="B1845" s="3"/>
      <c r="C1845" s="2"/>
      <c r="D1845" s="1"/>
    </row>
    <row r="1846" spans="1:4" ht="15.75" customHeight="1" thickBot="1" x14ac:dyDescent="0.3">
      <c r="A1846" s="4"/>
      <c r="B1846" s="303"/>
      <c r="C1846" s="304"/>
      <c r="D1846" s="4"/>
    </row>
    <row r="1847" spans="1:4" ht="15.75" customHeight="1" thickBot="1" x14ac:dyDescent="0.3">
      <c r="A1847" s="4"/>
      <c r="B1847" s="303"/>
      <c r="C1847" s="304"/>
      <c r="D1847" s="18"/>
    </row>
    <row r="1848" spans="1:4" ht="15.75" customHeight="1" thickBot="1" x14ac:dyDescent="0.3">
      <c r="A1848" s="4"/>
      <c r="B1848" s="303"/>
      <c r="C1848" s="304"/>
      <c r="D1848" s="18"/>
    </row>
    <row r="1849" spans="1:4" ht="15.75" customHeight="1" thickBot="1" x14ac:dyDescent="0.3">
      <c r="A1849" s="4"/>
      <c r="B1849" s="303"/>
      <c r="C1849" s="304"/>
      <c r="D1849" s="18"/>
    </row>
    <row r="1850" spans="1:4" ht="15.75" customHeight="1" thickBot="1" x14ac:dyDescent="0.3">
      <c r="A1850" s="4"/>
      <c r="B1850" s="303"/>
      <c r="C1850" s="304"/>
      <c r="D1850" s="18"/>
    </row>
    <row r="1851" spans="1:4" ht="15.75" customHeight="1" thickBot="1" x14ac:dyDescent="0.3">
      <c r="A1851" s="4"/>
      <c r="B1851" s="303"/>
      <c r="C1851" s="304"/>
      <c r="D1851" s="18"/>
    </row>
    <row r="1852" spans="1:4" ht="15.75" customHeight="1" thickBot="1" x14ac:dyDescent="0.3">
      <c r="A1852" s="4"/>
      <c r="B1852" s="303"/>
      <c r="C1852" s="304"/>
      <c r="D1852" s="18"/>
    </row>
    <row r="1853" spans="1:4" ht="15.75" customHeight="1" thickBot="1" x14ac:dyDescent="0.3">
      <c r="A1853" s="4"/>
      <c r="B1853" s="303"/>
      <c r="C1853" s="304"/>
      <c r="D1853" s="18"/>
    </row>
    <row r="1854" spans="1:4" ht="15.75" customHeight="1" thickBot="1" x14ac:dyDescent="0.3">
      <c r="A1854" s="4"/>
      <c r="B1854" s="303"/>
      <c r="C1854" s="304"/>
      <c r="D1854" s="18"/>
    </row>
    <row r="1855" spans="1:4" ht="15.75" customHeight="1" thickBot="1" x14ac:dyDescent="0.3">
      <c r="A1855" s="2"/>
      <c r="B1855" s="3"/>
      <c r="C1855" s="2"/>
      <c r="D1855" s="1"/>
    </row>
    <row r="1856" spans="1:4" ht="15.75" customHeight="1" thickBot="1" x14ac:dyDescent="0.3">
      <c r="A1856" s="300"/>
      <c r="B1856" s="301"/>
      <c r="C1856" s="301"/>
      <c r="D1856" s="302"/>
    </row>
    <row r="1857" spans="1:4" ht="15.75" customHeight="1" x14ac:dyDescent="0.25">
      <c r="A1857" s="5"/>
      <c r="B1857" s="6"/>
      <c r="C1857" s="7"/>
      <c r="D1857" s="8"/>
    </row>
    <row r="1858" spans="1:4" ht="15.75" customHeight="1" thickBot="1" x14ac:dyDescent="0.3">
      <c r="A1858" s="9"/>
      <c r="B1858" s="10"/>
      <c r="C1858" s="10"/>
      <c r="D1858" s="11"/>
    </row>
    <row r="1859" spans="1:4" ht="15.75" customHeight="1" thickBot="1" x14ac:dyDescent="0.3">
      <c r="A1859" s="15"/>
      <c r="B1859" s="16"/>
      <c r="C1859" s="21"/>
      <c r="D1859" s="16"/>
    </row>
    <row r="1860" spans="1:4" ht="15.75" customHeight="1" thickBot="1" x14ac:dyDescent="0.3">
      <c r="A1860" s="12"/>
      <c r="B1860" s="305"/>
      <c r="C1860" s="306"/>
      <c r="D1860" s="54"/>
    </row>
    <row r="1861" spans="1:4" ht="15.75" customHeight="1" thickBot="1" x14ac:dyDescent="0.3">
      <c r="A1861" s="38"/>
      <c r="B1861" s="45"/>
      <c r="C1861" s="45"/>
      <c r="D1861" s="45"/>
    </row>
    <row r="1862" spans="1:4" ht="15.75" customHeight="1" thickBot="1" x14ac:dyDescent="0.3">
      <c r="A1862" s="19"/>
      <c r="B1862" s="20"/>
      <c r="C1862" s="50"/>
      <c r="D1862" s="51"/>
    </row>
    <row r="1863" spans="1:4" ht="15.75" customHeight="1" thickBot="1" x14ac:dyDescent="0.3">
      <c r="A1863" s="19"/>
      <c r="B1863" s="20"/>
      <c r="C1863" s="52"/>
      <c r="D1863" s="53"/>
    </row>
    <row r="1864" spans="1:4" ht="15.75" customHeight="1" thickBot="1" x14ac:dyDescent="0.3">
      <c r="A1864" s="19"/>
      <c r="B1864" s="20"/>
      <c r="C1864" s="13"/>
      <c r="D1864" s="14"/>
    </row>
    <row r="1865" spans="1:4" ht="15.75" customHeight="1" thickBot="1" x14ac:dyDescent="0.3">
      <c r="A1865" s="2"/>
      <c r="B1865" s="3"/>
      <c r="C1865" s="2"/>
      <c r="D1865" s="1"/>
    </row>
    <row r="1866" spans="1:4" ht="15.75" customHeight="1" thickBot="1" x14ac:dyDescent="0.3">
      <c r="A1866" s="4"/>
      <c r="B1866" s="303"/>
      <c r="C1866" s="304"/>
      <c r="D1866" s="4"/>
    </row>
    <row r="1867" spans="1:4" ht="15.75" customHeight="1" thickBot="1" x14ac:dyDescent="0.3">
      <c r="A1867" s="4"/>
      <c r="B1867" s="303"/>
      <c r="C1867" s="304"/>
      <c r="D1867" s="18"/>
    </row>
    <row r="1868" spans="1:4" ht="15.75" customHeight="1" thickBot="1" x14ac:dyDescent="0.3">
      <c r="A1868" s="4"/>
      <c r="B1868" s="303"/>
      <c r="C1868" s="304"/>
      <c r="D1868" s="18"/>
    </row>
    <row r="1869" spans="1:4" ht="15.75" customHeight="1" thickBot="1" x14ac:dyDescent="0.3">
      <c r="A1869" s="4"/>
      <c r="B1869" s="303"/>
      <c r="C1869" s="304"/>
      <c r="D1869" s="18"/>
    </row>
    <row r="1870" spans="1:4" ht="15.75" customHeight="1" thickBot="1" x14ac:dyDescent="0.3">
      <c r="A1870" s="4"/>
      <c r="B1870" s="303"/>
      <c r="C1870" s="304"/>
      <c r="D1870" s="18"/>
    </row>
    <row r="1871" spans="1:4" ht="15.75" customHeight="1" thickBot="1" x14ac:dyDescent="0.3">
      <c r="A1871" s="4"/>
      <c r="B1871" s="303"/>
      <c r="C1871" s="304"/>
      <c r="D1871" s="18"/>
    </row>
    <row r="1872" spans="1:4" ht="15.75" customHeight="1" thickBot="1" x14ac:dyDescent="0.3">
      <c r="A1872" s="4"/>
      <c r="B1872" s="303"/>
      <c r="C1872" s="304"/>
      <c r="D1872" s="18"/>
    </row>
    <row r="1873" spans="1:4" ht="15.75" customHeight="1" thickBot="1" x14ac:dyDescent="0.3">
      <c r="A1873" s="4"/>
      <c r="B1873" s="303"/>
      <c r="C1873" s="304"/>
      <c r="D1873" s="18"/>
    </row>
    <row r="1874" spans="1:4" ht="15.75" customHeight="1" thickBot="1" x14ac:dyDescent="0.3">
      <c r="A1874" s="4"/>
      <c r="B1874" s="303"/>
      <c r="C1874" s="304"/>
      <c r="D1874" s="18"/>
    </row>
    <row r="1875" spans="1:4" ht="15.75" customHeight="1" thickBot="1" x14ac:dyDescent="0.3">
      <c r="A1875" s="2"/>
      <c r="B1875" s="3"/>
      <c r="C1875" s="2"/>
      <c r="D1875" s="1"/>
    </row>
    <row r="1876" spans="1:4" ht="15.75" customHeight="1" thickBot="1" x14ac:dyDescent="0.3">
      <c r="A1876" s="300"/>
      <c r="B1876" s="301"/>
      <c r="C1876" s="301"/>
      <c r="D1876" s="302"/>
    </row>
    <row r="1877" spans="1:4" ht="15.75" customHeight="1" x14ac:dyDescent="0.25">
      <c r="A1877" s="5"/>
      <c r="B1877" s="6"/>
      <c r="C1877" s="7"/>
      <c r="D1877" s="8"/>
    </row>
    <row r="1878" spans="1:4" ht="15.75" customHeight="1" thickBot="1" x14ac:dyDescent="0.3">
      <c r="A1878" s="9"/>
      <c r="B1878" s="10"/>
      <c r="C1878" s="10"/>
      <c r="D1878" s="11"/>
    </row>
    <row r="1879" spans="1:4" ht="15.75" customHeight="1" thickBot="1" x14ac:dyDescent="0.3">
      <c r="A1879" s="15"/>
      <c r="B1879" s="16"/>
      <c r="C1879" s="21"/>
      <c r="D1879" s="16"/>
    </row>
    <row r="1880" spans="1:4" ht="15.75" customHeight="1" thickBot="1" x14ac:dyDescent="0.3">
      <c r="A1880" s="12"/>
      <c r="B1880" s="305"/>
      <c r="C1880" s="306"/>
      <c r="D1880" s="54"/>
    </row>
    <row r="1881" spans="1:4" ht="15.75" customHeight="1" thickBot="1" x14ac:dyDescent="0.3">
      <c r="A1881" s="38"/>
      <c r="B1881" s="45"/>
      <c r="C1881" s="45"/>
      <c r="D1881" s="45"/>
    </row>
    <row r="1882" spans="1:4" ht="15.75" customHeight="1" thickBot="1" x14ac:dyDescent="0.3">
      <c r="A1882" s="19"/>
      <c r="B1882" s="20"/>
      <c r="C1882" s="50"/>
      <c r="D1882" s="51"/>
    </row>
    <row r="1883" spans="1:4" ht="15.75" customHeight="1" thickBot="1" x14ac:dyDescent="0.3">
      <c r="A1883" s="19"/>
      <c r="B1883" s="20"/>
      <c r="C1883" s="52"/>
      <c r="D1883" s="53"/>
    </row>
    <row r="1884" spans="1:4" ht="15.75" customHeight="1" thickBot="1" x14ac:dyDescent="0.3">
      <c r="A1884" s="19"/>
      <c r="B1884" s="20"/>
      <c r="C1884" s="13"/>
      <c r="D1884" s="14"/>
    </row>
    <row r="1885" spans="1:4" ht="15.75" customHeight="1" thickBot="1" x14ac:dyDescent="0.3">
      <c r="A1885" s="2"/>
      <c r="B1885" s="3"/>
      <c r="C1885" s="2"/>
      <c r="D1885" s="1"/>
    </row>
    <row r="1886" spans="1:4" ht="15.75" customHeight="1" thickBot="1" x14ac:dyDescent="0.3">
      <c r="A1886" s="4"/>
      <c r="B1886" s="303"/>
      <c r="C1886" s="304"/>
      <c r="D1886" s="4"/>
    </row>
    <row r="1887" spans="1:4" ht="15.75" customHeight="1" thickBot="1" x14ac:dyDescent="0.3">
      <c r="A1887" s="4"/>
      <c r="B1887" s="303"/>
      <c r="C1887" s="304"/>
      <c r="D1887" s="18"/>
    </row>
    <row r="1888" spans="1:4" ht="15.75" customHeight="1" thickBot="1" x14ac:dyDescent="0.3">
      <c r="A1888" s="4"/>
      <c r="B1888" s="303"/>
      <c r="C1888" s="304"/>
      <c r="D1888" s="18"/>
    </row>
    <row r="1889" spans="1:4" ht="15.75" customHeight="1" thickBot="1" x14ac:dyDescent="0.3">
      <c r="A1889" s="4"/>
      <c r="B1889" s="303"/>
      <c r="C1889" s="304"/>
      <c r="D1889" s="18"/>
    </row>
    <row r="1890" spans="1:4" ht="15.75" customHeight="1" thickBot="1" x14ac:dyDescent="0.3">
      <c r="A1890" s="4"/>
      <c r="B1890" s="303"/>
      <c r="C1890" s="304"/>
      <c r="D1890" s="18"/>
    </row>
    <row r="1891" spans="1:4" ht="15.75" customHeight="1" thickBot="1" x14ac:dyDescent="0.3">
      <c r="A1891" s="4"/>
      <c r="B1891" s="303"/>
      <c r="C1891" s="304"/>
      <c r="D1891" s="18"/>
    </row>
    <row r="1892" spans="1:4" ht="15.75" customHeight="1" thickBot="1" x14ac:dyDescent="0.3">
      <c r="A1892" s="4"/>
      <c r="B1892" s="303"/>
      <c r="C1892" s="304"/>
      <c r="D1892" s="18"/>
    </row>
    <row r="1893" spans="1:4" ht="15.75" customHeight="1" thickBot="1" x14ac:dyDescent="0.3">
      <c r="A1893" s="4"/>
      <c r="B1893" s="303"/>
      <c r="C1893" s="304"/>
      <c r="D1893" s="18"/>
    </row>
    <row r="1894" spans="1:4" ht="15.75" customHeight="1" thickBot="1" x14ac:dyDescent="0.3">
      <c r="A1894" s="4"/>
      <c r="B1894" s="303"/>
      <c r="C1894" s="304"/>
      <c r="D1894" s="18"/>
    </row>
    <row r="1895" spans="1:4" ht="15.75" customHeight="1" thickBot="1" x14ac:dyDescent="0.3">
      <c r="A1895" s="2"/>
      <c r="B1895" s="3"/>
      <c r="C1895" s="2"/>
      <c r="D1895" s="1"/>
    </row>
    <row r="1896" spans="1:4" ht="15.75" customHeight="1" thickBot="1" x14ac:dyDescent="0.3">
      <c r="A1896" s="300"/>
      <c r="B1896" s="301"/>
      <c r="C1896" s="301"/>
      <c r="D1896" s="302"/>
    </row>
    <row r="1897" spans="1:4" ht="15.75" customHeight="1" x14ac:dyDescent="0.25">
      <c r="A1897" s="5"/>
      <c r="B1897" s="6"/>
      <c r="C1897" s="7"/>
      <c r="D1897" s="8"/>
    </row>
    <row r="1898" spans="1:4" ht="15.75" customHeight="1" thickBot="1" x14ac:dyDescent="0.3">
      <c r="A1898" s="9"/>
      <c r="B1898" s="10"/>
      <c r="C1898" s="10"/>
      <c r="D1898" s="11"/>
    </row>
    <row r="1899" spans="1:4" ht="15.75" customHeight="1" thickBot="1" x14ac:dyDescent="0.3">
      <c r="A1899" s="15"/>
      <c r="B1899" s="16"/>
      <c r="C1899" s="21"/>
      <c r="D1899" s="16"/>
    </row>
    <row r="1900" spans="1:4" ht="15.75" customHeight="1" thickBot="1" x14ac:dyDescent="0.3">
      <c r="A1900" s="12"/>
      <c r="B1900" s="305"/>
      <c r="C1900" s="306"/>
      <c r="D1900" s="54"/>
    </row>
    <row r="1901" spans="1:4" ht="15.75" customHeight="1" thickBot="1" x14ac:dyDescent="0.3">
      <c r="A1901" s="38"/>
      <c r="B1901" s="45"/>
      <c r="C1901" s="45"/>
      <c r="D1901" s="45"/>
    </row>
    <row r="1902" spans="1:4" ht="15.75" customHeight="1" thickBot="1" x14ac:dyDescent="0.3">
      <c r="A1902" s="19"/>
      <c r="B1902" s="20"/>
      <c r="C1902" s="50"/>
      <c r="D1902" s="51"/>
    </row>
    <row r="1903" spans="1:4" ht="15.75" customHeight="1" thickBot="1" x14ac:dyDescent="0.3">
      <c r="A1903" s="19"/>
      <c r="B1903" s="20"/>
      <c r="C1903" s="52"/>
      <c r="D1903" s="53"/>
    </row>
    <row r="1904" spans="1:4" ht="15.75" customHeight="1" thickBot="1" x14ac:dyDescent="0.3">
      <c r="A1904" s="19"/>
      <c r="B1904" s="20"/>
      <c r="C1904" s="13"/>
      <c r="D1904" s="14"/>
    </row>
    <row r="1905" spans="1:4" ht="15.75" customHeight="1" thickBot="1" x14ac:dyDescent="0.3">
      <c r="A1905" s="2"/>
      <c r="B1905" s="3"/>
      <c r="C1905" s="2"/>
      <c r="D1905" s="1"/>
    </row>
    <row r="1906" spans="1:4" ht="15.75" customHeight="1" thickBot="1" x14ac:dyDescent="0.3">
      <c r="A1906" s="4"/>
      <c r="B1906" s="303"/>
      <c r="C1906" s="304"/>
      <c r="D1906" s="4"/>
    </row>
    <row r="1907" spans="1:4" ht="15.75" customHeight="1" thickBot="1" x14ac:dyDescent="0.3">
      <c r="A1907" s="4"/>
      <c r="B1907" s="303"/>
      <c r="C1907" s="304"/>
      <c r="D1907" s="18"/>
    </row>
    <row r="1908" spans="1:4" ht="15.75" customHeight="1" thickBot="1" x14ac:dyDescent="0.3">
      <c r="A1908" s="4"/>
      <c r="B1908" s="303"/>
      <c r="C1908" s="304"/>
      <c r="D1908" s="18"/>
    </row>
    <row r="1909" spans="1:4" ht="15.75" customHeight="1" thickBot="1" x14ac:dyDescent="0.3">
      <c r="A1909" s="4"/>
      <c r="B1909" s="303"/>
      <c r="C1909" s="304"/>
      <c r="D1909" s="18"/>
    </row>
    <row r="1910" spans="1:4" ht="15.75" customHeight="1" thickBot="1" x14ac:dyDescent="0.3">
      <c r="A1910" s="4"/>
      <c r="B1910" s="303"/>
      <c r="C1910" s="304"/>
      <c r="D1910" s="18"/>
    </row>
    <row r="1911" spans="1:4" ht="15.75" customHeight="1" thickBot="1" x14ac:dyDescent="0.3">
      <c r="A1911" s="4"/>
      <c r="B1911" s="303"/>
      <c r="C1911" s="304"/>
      <c r="D1911" s="18"/>
    </row>
    <row r="1912" spans="1:4" ht="15.75" customHeight="1" thickBot="1" x14ac:dyDescent="0.3">
      <c r="A1912" s="4"/>
      <c r="B1912" s="303"/>
      <c r="C1912" s="304"/>
      <c r="D1912" s="18"/>
    </row>
    <row r="1913" spans="1:4" ht="15.75" customHeight="1" thickBot="1" x14ac:dyDescent="0.3">
      <c r="A1913" s="4"/>
      <c r="B1913" s="303"/>
      <c r="C1913" s="304"/>
      <c r="D1913" s="18"/>
    </row>
    <row r="1914" spans="1:4" ht="15.75" customHeight="1" thickBot="1" x14ac:dyDescent="0.3">
      <c r="A1914" s="4"/>
      <c r="B1914" s="303"/>
      <c r="C1914" s="304"/>
      <c r="D1914" s="18"/>
    </row>
    <row r="1915" spans="1:4" ht="15.75" customHeight="1" thickBot="1" x14ac:dyDescent="0.3">
      <c r="A1915" s="2"/>
      <c r="B1915" s="3"/>
      <c r="C1915" s="2"/>
      <c r="D1915" s="1"/>
    </row>
    <row r="1916" spans="1:4" ht="15.75" customHeight="1" thickBot="1" x14ac:dyDescent="0.3">
      <c r="A1916" s="300"/>
      <c r="B1916" s="301"/>
      <c r="C1916" s="301"/>
      <c r="D1916" s="302"/>
    </row>
    <row r="1917" spans="1:4" ht="15.75" customHeight="1" x14ac:dyDescent="0.25">
      <c r="A1917" s="5"/>
      <c r="B1917" s="6"/>
      <c r="C1917" s="7"/>
      <c r="D1917" s="8"/>
    </row>
    <row r="1918" spans="1:4" ht="15.75" customHeight="1" thickBot="1" x14ac:dyDescent="0.3">
      <c r="A1918" s="9"/>
      <c r="B1918" s="10"/>
      <c r="C1918" s="10"/>
      <c r="D1918" s="11"/>
    </row>
    <row r="1919" spans="1:4" ht="15.75" customHeight="1" thickBot="1" x14ac:dyDescent="0.3">
      <c r="A1919" s="15"/>
      <c r="B1919" s="16"/>
      <c r="C1919" s="21"/>
      <c r="D1919" s="16"/>
    </row>
    <row r="1920" spans="1:4" ht="15.75" customHeight="1" thickBot="1" x14ac:dyDescent="0.3">
      <c r="A1920" s="12"/>
      <c r="B1920" s="305"/>
      <c r="C1920" s="306"/>
      <c r="D1920" s="54"/>
    </row>
    <row r="1921" spans="1:4" ht="15.75" customHeight="1" thickBot="1" x14ac:dyDescent="0.3">
      <c r="A1921" s="38"/>
      <c r="B1921" s="45"/>
      <c r="C1921" s="45"/>
      <c r="D1921" s="45"/>
    </row>
    <row r="1922" spans="1:4" ht="15.75" customHeight="1" thickBot="1" x14ac:dyDescent="0.3">
      <c r="A1922" s="19"/>
      <c r="B1922" s="20"/>
      <c r="C1922" s="50"/>
      <c r="D1922" s="51"/>
    </row>
    <row r="1923" spans="1:4" ht="15.75" customHeight="1" thickBot="1" x14ac:dyDescent="0.3">
      <c r="A1923" s="19"/>
      <c r="B1923" s="20"/>
      <c r="C1923" s="52"/>
      <c r="D1923" s="53"/>
    </row>
    <row r="1924" spans="1:4" ht="15.75" customHeight="1" thickBot="1" x14ac:dyDescent="0.3">
      <c r="A1924" s="19"/>
      <c r="B1924" s="20"/>
      <c r="C1924" s="13"/>
      <c r="D1924" s="14"/>
    </row>
    <row r="1925" spans="1:4" ht="15.75" customHeight="1" thickBot="1" x14ac:dyDescent="0.3">
      <c r="A1925" s="2"/>
      <c r="B1925" s="3"/>
      <c r="C1925" s="2"/>
      <c r="D1925" s="1"/>
    </row>
    <row r="1926" spans="1:4" ht="15.75" customHeight="1" thickBot="1" x14ac:dyDescent="0.3">
      <c r="A1926" s="4"/>
      <c r="B1926" s="303"/>
      <c r="C1926" s="304"/>
      <c r="D1926" s="4"/>
    </row>
    <row r="1927" spans="1:4" ht="15.75" customHeight="1" thickBot="1" x14ac:dyDescent="0.3">
      <c r="A1927" s="4"/>
      <c r="B1927" s="303"/>
      <c r="C1927" s="304"/>
      <c r="D1927" s="18"/>
    </row>
    <row r="1928" spans="1:4" ht="15.75" customHeight="1" thickBot="1" x14ac:dyDescent="0.3">
      <c r="A1928" s="4"/>
      <c r="B1928" s="303"/>
      <c r="C1928" s="304"/>
      <c r="D1928" s="18"/>
    </row>
    <row r="1929" spans="1:4" ht="15.75" customHeight="1" thickBot="1" x14ac:dyDescent="0.3">
      <c r="A1929" s="4"/>
      <c r="B1929" s="303"/>
      <c r="C1929" s="304"/>
      <c r="D1929" s="18"/>
    </row>
    <row r="1930" spans="1:4" ht="15.75" customHeight="1" thickBot="1" x14ac:dyDescent="0.3">
      <c r="A1930" s="4"/>
      <c r="B1930" s="303"/>
      <c r="C1930" s="304"/>
      <c r="D1930" s="18"/>
    </row>
    <row r="1931" spans="1:4" ht="15.75" customHeight="1" thickBot="1" x14ac:dyDescent="0.3">
      <c r="A1931" s="4"/>
      <c r="B1931" s="303"/>
      <c r="C1931" s="304"/>
      <c r="D1931" s="18"/>
    </row>
    <row r="1932" spans="1:4" ht="15.75" customHeight="1" thickBot="1" x14ac:dyDescent="0.3">
      <c r="A1932" s="4"/>
      <c r="B1932" s="303"/>
      <c r="C1932" s="304"/>
      <c r="D1932" s="18"/>
    </row>
    <row r="1933" spans="1:4" ht="15.75" customHeight="1" thickBot="1" x14ac:dyDescent="0.3">
      <c r="A1933" s="4"/>
      <c r="B1933" s="303"/>
      <c r="C1933" s="304"/>
      <c r="D1933" s="18"/>
    </row>
    <row r="1934" spans="1:4" ht="15.75" customHeight="1" thickBot="1" x14ac:dyDescent="0.3">
      <c r="A1934" s="4"/>
      <c r="B1934" s="303"/>
      <c r="C1934" s="304"/>
      <c r="D1934" s="18"/>
    </row>
    <row r="1935" spans="1:4" ht="15.75" customHeight="1" thickBot="1" x14ac:dyDescent="0.3">
      <c r="A1935" s="2"/>
      <c r="B1935" s="3"/>
      <c r="C1935" s="2"/>
      <c r="D1935" s="1"/>
    </row>
    <row r="1936" spans="1:4" ht="15.75" customHeight="1" thickBot="1" x14ac:dyDescent="0.3">
      <c r="A1936" s="300"/>
      <c r="B1936" s="301"/>
      <c r="C1936" s="301"/>
      <c r="D1936" s="302"/>
    </row>
    <row r="1937" spans="1:4" ht="15.75" customHeight="1" x14ac:dyDescent="0.25">
      <c r="A1937" s="5"/>
      <c r="B1937" s="6"/>
      <c r="C1937" s="7"/>
      <c r="D1937" s="8"/>
    </row>
    <row r="1938" spans="1:4" ht="15.75" customHeight="1" thickBot="1" x14ac:dyDescent="0.3">
      <c r="A1938" s="9"/>
      <c r="B1938" s="10"/>
      <c r="C1938" s="10"/>
      <c r="D1938" s="11"/>
    </row>
    <row r="1939" spans="1:4" ht="15.75" customHeight="1" thickBot="1" x14ac:dyDescent="0.3">
      <c r="A1939" s="15"/>
      <c r="B1939" s="16"/>
      <c r="C1939" s="21"/>
      <c r="D1939" s="16"/>
    </row>
    <row r="1940" spans="1:4" ht="15.75" customHeight="1" thickBot="1" x14ac:dyDescent="0.3">
      <c r="A1940" s="12"/>
      <c r="B1940" s="305"/>
      <c r="C1940" s="306"/>
      <c r="D1940" s="54"/>
    </row>
    <row r="1941" spans="1:4" ht="15.75" customHeight="1" thickBot="1" x14ac:dyDescent="0.3">
      <c r="A1941" s="38"/>
      <c r="B1941" s="45"/>
      <c r="C1941" s="45"/>
      <c r="D1941" s="45"/>
    </row>
    <row r="1942" spans="1:4" ht="15.75" customHeight="1" thickBot="1" x14ac:dyDescent="0.3">
      <c r="A1942" s="19"/>
      <c r="B1942" s="20"/>
      <c r="C1942" s="50"/>
      <c r="D1942" s="51"/>
    </row>
    <row r="1943" spans="1:4" ht="15.75" customHeight="1" thickBot="1" x14ac:dyDescent="0.3">
      <c r="A1943" s="19"/>
      <c r="B1943" s="20"/>
      <c r="C1943" s="52"/>
      <c r="D1943" s="53"/>
    </row>
    <row r="1944" spans="1:4" ht="15.75" customHeight="1" thickBot="1" x14ac:dyDescent="0.3">
      <c r="A1944" s="19"/>
      <c r="B1944" s="20"/>
      <c r="C1944" s="13"/>
      <c r="D1944" s="14"/>
    </row>
    <row r="1945" spans="1:4" ht="15.75" customHeight="1" thickBot="1" x14ac:dyDescent="0.3">
      <c r="A1945" s="2"/>
      <c r="B1945" s="3"/>
      <c r="C1945" s="2"/>
      <c r="D1945" s="1"/>
    </row>
    <row r="1946" spans="1:4" ht="15.75" customHeight="1" thickBot="1" x14ac:dyDescent="0.3">
      <c r="A1946" s="4"/>
      <c r="B1946" s="303"/>
      <c r="C1946" s="304"/>
      <c r="D1946" s="4"/>
    </row>
    <row r="1947" spans="1:4" ht="15.75" customHeight="1" thickBot="1" x14ac:dyDescent="0.3">
      <c r="A1947" s="4"/>
      <c r="B1947" s="303"/>
      <c r="C1947" s="304"/>
      <c r="D1947" s="18"/>
    </row>
    <row r="1948" spans="1:4" ht="15.75" customHeight="1" thickBot="1" x14ac:dyDescent="0.3">
      <c r="A1948" s="4"/>
      <c r="B1948" s="303"/>
      <c r="C1948" s="304"/>
      <c r="D1948" s="18"/>
    </row>
    <row r="1949" spans="1:4" ht="15.75" customHeight="1" thickBot="1" x14ac:dyDescent="0.3">
      <c r="A1949" s="4"/>
      <c r="B1949" s="303"/>
      <c r="C1949" s="304"/>
      <c r="D1949" s="18"/>
    </row>
    <row r="1950" spans="1:4" ht="15.75" customHeight="1" thickBot="1" x14ac:dyDescent="0.3">
      <c r="A1950" s="4"/>
      <c r="B1950" s="303"/>
      <c r="C1950" s="304"/>
      <c r="D1950" s="18"/>
    </row>
    <row r="1951" spans="1:4" ht="15.75" customHeight="1" thickBot="1" x14ac:dyDescent="0.3">
      <c r="A1951" s="4"/>
      <c r="B1951" s="303"/>
      <c r="C1951" s="304"/>
      <c r="D1951" s="18"/>
    </row>
    <row r="1952" spans="1:4" ht="15.75" customHeight="1" thickBot="1" x14ac:dyDescent="0.3">
      <c r="A1952" s="4"/>
      <c r="B1952" s="303"/>
      <c r="C1952" s="304"/>
      <c r="D1952" s="18"/>
    </row>
    <row r="1953" spans="1:4" ht="15.75" customHeight="1" thickBot="1" x14ac:dyDescent="0.3">
      <c r="A1953" s="4"/>
      <c r="B1953" s="303"/>
      <c r="C1953" s="304"/>
      <c r="D1953" s="18"/>
    </row>
    <row r="1954" spans="1:4" ht="15.75" customHeight="1" thickBot="1" x14ac:dyDescent="0.3">
      <c r="A1954" s="4"/>
      <c r="B1954" s="303"/>
      <c r="C1954" s="304"/>
      <c r="D1954" s="18"/>
    </row>
    <row r="1955" spans="1:4" ht="15.75" customHeight="1" thickBot="1" x14ac:dyDescent="0.3">
      <c r="A1955" s="2"/>
      <c r="B1955" s="3"/>
      <c r="C1955" s="2"/>
      <c r="D1955" s="1"/>
    </row>
    <row r="1956" spans="1:4" ht="15.75" customHeight="1" thickBot="1" x14ac:dyDescent="0.3">
      <c r="A1956" s="300"/>
      <c r="B1956" s="301"/>
      <c r="C1956" s="301"/>
      <c r="D1956" s="302"/>
    </row>
    <row r="1957" spans="1:4" ht="15.75" customHeight="1" x14ac:dyDescent="0.25">
      <c r="A1957" s="5"/>
      <c r="B1957" s="6"/>
      <c r="C1957" s="7"/>
      <c r="D1957" s="8"/>
    </row>
    <row r="1958" spans="1:4" ht="15.75" customHeight="1" thickBot="1" x14ac:dyDescent="0.3">
      <c r="A1958" s="9"/>
      <c r="B1958" s="10"/>
      <c r="C1958" s="10"/>
      <c r="D1958" s="11"/>
    </row>
    <row r="1959" spans="1:4" ht="15.75" customHeight="1" thickBot="1" x14ac:dyDescent="0.3">
      <c r="A1959" s="15"/>
      <c r="B1959" s="16"/>
      <c r="C1959" s="21"/>
      <c r="D1959" s="16"/>
    </row>
    <row r="1960" spans="1:4" ht="15.75" customHeight="1" thickBot="1" x14ac:dyDescent="0.3">
      <c r="A1960" s="12"/>
      <c r="B1960" s="305"/>
      <c r="C1960" s="306"/>
      <c r="D1960" s="54"/>
    </row>
    <row r="1961" spans="1:4" ht="15.75" customHeight="1" thickBot="1" x14ac:dyDescent="0.3">
      <c r="A1961" s="38"/>
      <c r="B1961" s="45"/>
      <c r="C1961" s="45"/>
      <c r="D1961" s="45"/>
    </row>
    <row r="1962" spans="1:4" ht="15.75" customHeight="1" thickBot="1" x14ac:dyDescent="0.3">
      <c r="A1962" s="19"/>
      <c r="B1962" s="20"/>
      <c r="C1962" s="50"/>
      <c r="D1962" s="51"/>
    </row>
    <row r="1963" spans="1:4" ht="15.75" customHeight="1" thickBot="1" x14ac:dyDescent="0.3">
      <c r="A1963" s="19"/>
      <c r="B1963" s="20"/>
      <c r="C1963" s="52"/>
      <c r="D1963" s="53"/>
    </row>
    <row r="1964" spans="1:4" ht="15.75" customHeight="1" thickBot="1" x14ac:dyDescent="0.3">
      <c r="A1964" s="19"/>
      <c r="B1964" s="20"/>
      <c r="C1964" s="13"/>
      <c r="D1964" s="14"/>
    </row>
    <row r="1965" spans="1:4" ht="15.75" customHeight="1" thickBot="1" x14ac:dyDescent="0.3">
      <c r="A1965" s="2"/>
      <c r="B1965" s="3"/>
      <c r="C1965" s="2"/>
      <c r="D1965" s="1"/>
    </row>
    <row r="1966" spans="1:4" ht="15.75" customHeight="1" thickBot="1" x14ac:dyDescent="0.3">
      <c r="A1966" s="4"/>
      <c r="B1966" s="303"/>
      <c r="C1966" s="304"/>
      <c r="D1966" s="4"/>
    </row>
    <row r="1967" spans="1:4" ht="15.75" customHeight="1" thickBot="1" x14ac:dyDescent="0.3">
      <c r="A1967" s="4"/>
      <c r="B1967" s="303"/>
      <c r="C1967" s="304"/>
      <c r="D1967" s="18"/>
    </row>
    <row r="1968" spans="1:4" ht="15.75" customHeight="1" thickBot="1" x14ac:dyDescent="0.3">
      <c r="A1968" s="4"/>
      <c r="B1968" s="303"/>
      <c r="C1968" s="304"/>
      <c r="D1968" s="18"/>
    </row>
    <row r="1969" spans="1:4" ht="15.75" customHeight="1" thickBot="1" x14ac:dyDescent="0.3">
      <c r="A1969" s="4"/>
      <c r="B1969" s="303"/>
      <c r="C1969" s="304"/>
      <c r="D1969" s="18"/>
    </row>
    <row r="1970" spans="1:4" ht="15.75" customHeight="1" thickBot="1" x14ac:dyDescent="0.3">
      <c r="A1970" s="4"/>
      <c r="B1970" s="303"/>
      <c r="C1970" s="304"/>
      <c r="D1970" s="18"/>
    </row>
    <row r="1971" spans="1:4" ht="15.75" customHeight="1" thickBot="1" x14ac:dyDescent="0.3">
      <c r="A1971" s="4"/>
      <c r="B1971" s="303"/>
      <c r="C1971" s="304"/>
      <c r="D1971" s="18"/>
    </row>
    <row r="1972" spans="1:4" ht="15.75" customHeight="1" thickBot="1" x14ac:dyDescent="0.3">
      <c r="A1972" s="4"/>
      <c r="B1972" s="303"/>
      <c r="C1972" s="304"/>
      <c r="D1972" s="18"/>
    </row>
    <row r="1973" spans="1:4" ht="15.75" customHeight="1" thickBot="1" x14ac:dyDescent="0.3">
      <c r="A1973" s="4"/>
      <c r="B1973" s="303"/>
      <c r="C1973" s="304"/>
      <c r="D1973" s="18"/>
    </row>
    <row r="1974" spans="1:4" ht="15.75" customHeight="1" thickBot="1" x14ac:dyDescent="0.3">
      <c r="A1974" s="4"/>
      <c r="B1974" s="303"/>
      <c r="C1974" s="304"/>
      <c r="D1974" s="18"/>
    </row>
    <row r="1975" spans="1:4" ht="15.75" customHeight="1" thickBot="1" x14ac:dyDescent="0.3">
      <c r="A1975" s="2"/>
      <c r="B1975" s="3"/>
      <c r="C1975" s="2"/>
      <c r="D1975" s="1"/>
    </row>
    <row r="1976" spans="1:4" ht="15.75" customHeight="1" thickBot="1" x14ac:dyDescent="0.3">
      <c r="A1976" s="300"/>
      <c r="B1976" s="301"/>
      <c r="C1976" s="301"/>
      <c r="D1976" s="302"/>
    </row>
    <row r="1977" spans="1:4" ht="15.75" customHeight="1" x14ac:dyDescent="0.25">
      <c r="A1977" s="5"/>
      <c r="B1977" s="6"/>
      <c r="C1977" s="7"/>
      <c r="D1977" s="8"/>
    </row>
    <row r="1978" spans="1:4" ht="15.75" customHeight="1" thickBot="1" x14ac:dyDescent="0.3">
      <c r="A1978" s="9"/>
      <c r="B1978" s="10"/>
      <c r="C1978" s="10"/>
      <c r="D1978" s="11"/>
    </row>
    <row r="1979" spans="1:4" ht="15.75" customHeight="1" thickBot="1" x14ac:dyDescent="0.3">
      <c r="A1979" s="15"/>
      <c r="B1979" s="16"/>
      <c r="C1979" s="21"/>
      <c r="D1979" s="16"/>
    </row>
    <row r="1980" spans="1:4" ht="15.75" customHeight="1" thickBot="1" x14ac:dyDescent="0.3">
      <c r="A1980" s="12"/>
      <c r="B1980" s="305"/>
      <c r="C1980" s="306"/>
      <c r="D1980" s="54"/>
    </row>
    <row r="1981" spans="1:4" ht="15.75" customHeight="1" thickBot="1" x14ac:dyDescent="0.3">
      <c r="A1981" s="38"/>
      <c r="B1981" s="45"/>
      <c r="C1981" s="45"/>
      <c r="D1981" s="45"/>
    </row>
    <row r="1982" spans="1:4" ht="15.75" customHeight="1" thickBot="1" x14ac:dyDescent="0.3">
      <c r="A1982" s="19"/>
      <c r="B1982" s="20"/>
      <c r="C1982" s="50"/>
      <c r="D1982" s="51"/>
    </row>
    <row r="1983" spans="1:4" ht="15.75" customHeight="1" thickBot="1" x14ac:dyDescent="0.3">
      <c r="A1983" s="19"/>
      <c r="B1983" s="20"/>
      <c r="C1983" s="52"/>
      <c r="D1983" s="53"/>
    </row>
    <row r="1984" spans="1:4" ht="15.75" customHeight="1" thickBot="1" x14ac:dyDescent="0.3">
      <c r="A1984" s="19"/>
      <c r="B1984" s="20"/>
      <c r="C1984" s="13"/>
      <c r="D1984" s="14"/>
    </row>
    <row r="1985" spans="1:4" ht="15.75" customHeight="1" thickBot="1" x14ac:dyDescent="0.3">
      <c r="A1985" s="2"/>
      <c r="B1985" s="3"/>
      <c r="C1985" s="2"/>
      <c r="D1985" s="1"/>
    </row>
    <row r="1986" spans="1:4" ht="15.75" customHeight="1" thickBot="1" x14ac:dyDescent="0.3">
      <c r="A1986" s="4"/>
      <c r="B1986" s="303"/>
      <c r="C1986" s="304"/>
      <c r="D1986" s="4"/>
    </row>
    <row r="1987" spans="1:4" ht="15.75" customHeight="1" thickBot="1" x14ac:dyDescent="0.3">
      <c r="A1987" s="4"/>
      <c r="B1987" s="303"/>
      <c r="C1987" s="304"/>
      <c r="D1987" s="18"/>
    </row>
    <row r="1988" spans="1:4" ht="15.75" customHeight="1" thickBot="1" x14ac:dyDescent="0.3">
      <c r="A1988" s="4"/>
      <c r="B1988" s="303"/>
      <c r="C1988" s="304"/>
      <c r="D1988" s="18"/>
    </row>
    <row r="1989" spans="1:4" ht="15.75" customHeight="1" thickBot="1" x14ac:dyDescent="0.3">
      <c r="A1989" s="4"/>
      <c r="B1989" s="303"/>
      <c r="C1989" s="304"/>
      <c r="D1989" s="18"/>
    </row>
    <row r="1990" spans="1:4" ht="15.75" customHeight="1" thickBot="1" x14ac:dyDescent="0.3">
      <c r="A1990" s="4"/>
      <c r="B1990" s="303"/>
      <c r="C1990" s="304"/>
      <c r="D1990" s="18"/>
    </row>
    <row r="1991" spans="1:4" ht="15.75" customHeight="1" thickBot="1" x14ac:dyDescent="0.3">
      <c r="A1991" s="4"/>
      <c r="B1991" s="303"/>
      <c r="C1991" s="304"/>
      <c r="D1991" s="18"/>
    </row>
    <row r="1992" spans="1:4" ht="15.75" customHeight="1" thickBot="1" x14ac:dyDescent="0.3">
      <c r="A1992" s="4"/>
      <c r="B1992" s="303"/>
      <c r="C1992" s="304"/>
      <c r="D1992" s="18"/>
    </row>
    <row r="1993" spans="1:4" ht="15.75" customHeight="1" thickBot="1" x14ac:dyDescent="0.3">
      <c r="A1993" s="4"/>
      <c r="B1993" s="303"/>
      <c r="C1993" s="304"/>
      <c r="D1993" s="18"/>
    </row>
    <row r="1994" spans="1:4" ht="15.75" customHeight="1" thickBot="1" x14ac:dyDescent="0.3">
      <c r="A1994" s="4"/>
      <c r="B1994" s="303"/>
      <c r="C1994" s="304"/>
      <c r="D1994" s="18"/>
    </row>
    <row r="1995" spans="1:4" ht="15.75" customHeight="1" thickBot="1" x14ac:dyDescent="0.3">
      <c r="A1995" s="2"/>
      <c r="B1995" s="3"/>
      <c r="C1995" s="2"/>
      <c r="D1995" s="1"/>
    </row>
    <row r="1996" spans="1:4" ht="15.75" customHeight="1" thickBot="1" x14ac:dyDescent="0.3">
      <c r="A1996" s="300"/>
      <c r="B1996" s="301"/>
      <c r="C1996" s="301"/>
      <c r="D1996" s="302"/>
    </row>
    <row r="1997" spans="1:4" ht="15.75" customHeight="1" x14ac:dyDescent="0.25">
      <c r="A1997" s="5"/>
      <c r="B1997" s="6"/>
      <c r="C1997" s="7"/>
      <c r="D1997" s="8"/>
    </row>
    <row r="1998" spans="1:4" ht="15.75" customHeight="1" thickBot="1" x14ac:dyDescent="0.3">
      <c r="A1998" s="9"/>
      <c r="B1998" s="10"/>
      <c r="C1998" s="10"/>
      <c r="D1998" s="11"/>
    </row>
    <row r="1999" spans="1:4" ht="15.75" customHeight="1" thickBot="1" x14ac:dyDescent="0.3">
      <c r="A1999" s="15"/>
      <c r="B1999" s="16"/>
      <c r="C1999" s="21"/>
      <c r="D1999" s="16"/>
    </row>
    <row r="2000" spans="1:4" ht="15.75" customHeight="1" thickBot="1" x14ac:dyDescent="0.3">
      <c r="A2000" s="12"/>
      <c r="B2000" s="305"/>
      <c r="C2000" s="306"/>
      <c r="D2000" s="54"/>
    </row>
    <row r="2001" spans="1:4" ht="15.75" customHeight="1" thickBot="1" x14ac:dyDescent="0.3">
      <c r="A2001" s="38"/>
      <c r="B2001" s="45"/>
      <c r="C2001" s="45"/>
      <c r="D2001" s="45"/>
    </row>
    <row r="2002" spans="1:4" ht="15.75" customHeight="1" thickBot="1" x14ac:dyDescent="0.3">
      <c r="A2002" s="19"/>
      <c r="B2002" s="20"/>
      <c r="C2002" s="50"/>
      <c r="D2002" s="51"/>
    </row>
    <row r="2003" spans="1:4" ht="15.75" customHeight="1" thickBot="1" x14ac:dyDescent="0.3">
      <c r="A2003" s="19"/>
      <c r="B2003" s="20"/>
      <c r="C2003" s="52"/>
      <c r="D2003" s="53"/>
    </row>
    <row r="2004" spans="1:4" ht="15.75" customHeight="1" thickBot="1" x14ac:dyDescent="0.3">
      <c r="A2004" s="19"/>
      <c r="B2004" s="20"/>
      <c r="C2004" s="13"/>
      <c r="D2004" s="14"/>
    </row>
    <row r="2005" spans="1:4" ht="15.75" customHeight="1" thickBot="1" x14ac:dyDescent="0.3">
      <c r="A2005" s="2"/>
      <c r="B2005" s="3"/>
      <c r="C2005" s="2"/>
      <c r="D2005" s="1"/>
    </row>
    <row r="2006" spans="1:4" ht="15.75" customHeight="1" thickBot="1" x14ac:dyDescent="0.3">
      <c r="A2006" s="4"/>
      <c r="B2006" s="303"/>
      <c r="C2006" s="304"/>
      <c r="D2006" s="4"/>
    </row>
    <row r="2007" spans="1:4" ht="15.75" customHeight="1" thickBot="1" x14ac:dyDescent="0.3">
      <c r="A2007" s="4"/>
      <c r="B2007" s="303"/>
      <c r="C2007" s="304"/>
      <c r="D2007" s="18"/>
    </row>
    <row r="2008" spans="1:4" ht="15.75" customHeight="1" thickBot="1" x14ac:dyDescent="0.3">
      <c r="A2008" s="4"/>
      <c r="B2008" s="303"/>
      <c r="C2008" s="304"/>
      <c r="D2008" s="18"/>
    </row>
    <row r="2009" spans="1:4" ht="15.75" customHeight="1" thickBot="1" x14ac:dyDescent="0.3">
      <c r="A2009" s="4"/>
      <c r="B2009" s="303"/>
      <c r="C2009" s="304"/>
      <c r="D2009" s="18"/>
    </row>
    <row r="2010" spans="1:4" ht="15.75" customHeight="1" thickBot="1" x14ac:dyDescent="0.3">
      <c r="A2010" s="4"/>
      <c r="B2010" s="303"/>
      <c r="C2010" s="304"/>
      <c r="D2010" s="18"/>
    </row>
    <row r="2011" spans="1:4" ht="15.75" customHeight="1" thickBot="1" x14ac:dyDescent="0.3">
      <c r="A2011" s="4"/>
      <c r="B2011" s="303"/>
      <c r="C2011" s="304"/>
      <c r="D2011" s="18"/>
    </row>
    <row r="2012" spans="1:4" ht="15.75" customHeight="1" thickBot="1" x14ac:dyDescent="0.3">
      <c r="A2012" s="4"/>
      <c r="B2012" s="303"/>
      <c r="C2012" s="304"/>
      <c r="D2012" s="18"/>
    </row>
    <row r="2013" spans="1:4" ht="15.75" customHeight="1" thickBot="1" x14ac:dyDescent="0.3">
      <c r="A2013" s="4"/>
      <c r="B2013" s="303"/>
      <c r="C2013" s="304"/>
      <c r="D2013" s="18"/>
    </row>
    <row r="2014" spans="1:4" ht="15.75" customHeight="1" thickBot="1" x14ac:dyDescent="0.3">
      <c r="A2014" s="4"/>
      <c r="B2014" s="303"/>
      <c r="C2014" s="304"/>
      <c r="D2014" s="18"/>
    </row>
    <row r="2015" spans="1:4" ht="15.75" customHeight="1" thickBot="1" x14ac:dyDescent="0.3">
      <c r="A2015" s="2"/>
      <c r="B2015" s="3"/>
      <c r="C2015" s="2"/>
      <c r="D2015" s="1"/>
    </row>
    <row r="2016" spans="1:4" ht="15.75" customHeight="1" thickBot="1" x14ac:dyDescent="0.3">
      <c r="A2016" s="300"/>
      <c r="B2016" s="301"/>
      <c r="C2016" s="301"/>
      <c r="D2016" s="302"/>
    </row>
    <row r="2017" spans="1:4" ht="15.75" customHeight="1" x14ac:dyDescent="0.25">
      <c r="A2017" s="5"/>
      <c r="B2017" s="6"/>
      <c r="C2017" s="7"/>
      <c r="D2017" s="8"/>
    </row>
    <row r="2018" spans="1:4" ht="15.75" customHeight="1" thickBot="1" x14ac:dyDescent="0.3">
      <c r="A2018" s="9"/>
      <c r="B2018" s="10"/>
      <c r="C2018" s="10"/>
      <c r="D2018" s="11"/>
    </row>
    <row r="2019" spans="1:4" ht="15.75" customHeight="1" thickBot="1" x14ac:dyDescent="0.3">
      <c r="A2019" s="15"/>
      <c r="B2019" s="16"/>
      <c r="C2019" s="21"/>
      <c r="D2019" s="16"/>
    </row>
    <row r="2020" spans="1:4" ht="15.75" customHeight="1" thickBot="1" x14ac:dyDescent="0.3">
      <c r="A2020" s="12"/>
      <c r="B2020" s="305"/>
      <c r="C2020" s="306"/>
      <c r="D2020" s="54"/>
    </row>
    <row r="2021" spans="1:4" ht="15.75" customHeight="1" thickBot="1" x14ac:dyDescent="0.3">
      <c r="A2021" s="38"/>
      <c r="B2021" s="45"/>
      <c r="C2021" s="45"/>
      <c r="D2021" s="45"/>
    </row>
    <row r="2022" spans="1:4" ht="15.75" customHeight="1" thickBot="1" x14ac:dyDescent="0.3">
      <c r="A2022" s="19"/>
      <c r="B2022" s="20"/>
      <c r="C2022" s="50"/>
      <c r="D2022" s="51"/>
    </row>
    <row r="2023" spans="1:4" ht="15.75" customHeight="1" thickBot="1" x14ac:dyDescent="0.3">
      <c r="A2023" s="19"/>
      <c r="B2023" s="20"/>
      <c r="C2023" s="52"/>
      <c r="D2023" s="53"/>
    </row>
    <row r="2024" spans="1:4" ht="15.75" customHeight="1" thickBot="1" x14ac:dyDescent="0.3">
      <c r="A2024" s="19"/>
      <c r="B2024" s="20"/>
      <c r="C2024" s="13"/>
      <c r="D2024" s="14"/>
    </row>
    <row r="2025" spans="1:4" ht="15.75" customHeight="1" thickBot="1" x14ac:dyDescent="0.3">
      <c r="A2025" s="2"/>
      <c r="B2025" s="3"/>
      <c r="C2025" s="2"/>
      <c r="D2025" s="1"/>
    </row>
    <row r="2026" spans="1:4" ht="15.75" customHeight="1" thickBot="1" x14ac:dyDescent="0.3">
      <c r="A2026" s="4"/>
      <c r="B2026" s="303"/>
      <c r="C2026" s="304"/>
      <c r="D2026" s="4"/>
    </row>
    <row r="2027" spans="1:4" ht="15.75" customHeight="1" thickBot="1" x14ac:dyDescent="0.3">
      <c r="A2027" s="4"/>
      <c r="B2027" s="303"/>
      <c r="C2027" s="304"/>
      <c r="D2027" s="18"/>
    </row>
    <row r="2028" spans="1:4" ht="15.75" customHeight="1" thickBot="1" x14ac:dyDescent="0.3">
      <c r="A2028" s="4"/>
      <c r="B2028" s="303"/>
      <c r="C2028" s="304"/>
      <c r="D2028" s="18"/>
    </row>
    <row r="2029" spans="1:4" ht="15.75" customHeight="1" thickBot="1" x14ac:dyDescent="0.3">
      <c r="A2029" s="4"/>
      <c r="B2029" s="303"/>
      <c r="C2029" s="304"/>
      <c r="D2029" s="18"/>
    </row>
    <row r="2030" spans="1:4" ht="15.75" customHeight="1" thickBot="1" x14ac:dyDescent="0.3">
      <c r="A2030" s="4"/>
      <c r="B2030" s="303"/>
      <c r="C2030" s="304"/>
      <c r="D2030" s="18"/>
    </row>
    <row r="2031" spans="1:4" ht="15.75" customHeight="1" thickBot="1" x14ac:dyDescent="0.3">
      <c r="A2031" s="4"/>
      <c r="B2031" s="303"/>
      <c r="C2031" s="304"/>
      <c r="D2031" s="18"/>
    </row>
    <row r="2032" spans="1:4" ht="15.75" customHeight="1" thickBot="1" x14ac:dyDescent="0.3">
      <c r="A2032" s="4"/>
      <c r="B2032" s="303"/>
      <c r="C2032" s="304"/>
      <c r="D2032" s="18"/>
    </row>
    <row r="2033" spans="1:4" ht="15.75" customHeight="1" thickBot="1" x14ac:dyDescent="0.3">
      <c r="A2033" s="4"/>
      <c r="B2033" s="303"/>
      <c r="C2033" s="304"/>
      <c r="D2033" s="18"/>
    </row>
    <row r="2034" spans="1:4" ht="15.75" customHeight="1" thickBot="1" x14ac:dyDescent="0.3">
      <c r="A2034" s="4"/>
      <c r="B2034" s="303"/>
      <c r="C2034" s="304"/>
      <c r="D2034" s="18"/>
    </row>
    <row r="2035" spans="1:4" ht="15.75" customHeight="1" thickBot="1" x14ac:dyDescent="0.3">
      <c r="A2035" s="2"/>
      <c r="B2035" s="3"/>
      <c r="C2035" s="2"/>
      <c r="D2035" s="1"/>
    </row>
    <row r="2036" spans="1:4" ht="15.75" customHeight="1" thickBot="1" x14ac:dyDescent="0.3">
      <c r="A2036" s="300"/>
      <c r="B2036" s="301"/>
      <c r="C2036" s="301"/>
      <c r="D2036" s="302"/>
    </row>
    <row r="2037" spans="1:4" ht="15.75" customHeight="1" x14ac:dyDescent="0.25">
      <c r="A2037" s="5"/>
      <c r="B2037" s="6"/>
      <c r="C2037" s="7"/>
      <c r="D2037" s="8"/>
    </row>
    <row r="2038" spans="1:4" ht="15.75" customHeight="1" thickBot="1" x14ac:dyDescent="0.3">
      <c r="A2038" s="9"/>
      <c r="B2038" s="10"/>
      <c r="C2038" s="10"/>
      <c r="D2038" s="11"/>
    </row>
    <row r="2039" spans="1:4" ht="15.75" customHeight="1" thickBot="1" x14ac:dyDescent="0.3">
      <c r="A2039" s="15"/>
      <c r="B2039" s="16"/>
      <c r="C2039" s="21"/>
      <c r="D2039" s="16"/>
    </row>
    <row r="2040" spans="1:4" ht="15.75" customHeight="1" thickBot="1" x14ac:dyDescent="0.3">
      <c r="A2040" s="12"/>
      <c r="B2040" s="305"/>
      <c r="C2040" s="306"/>
      <c r="D2040" s="54"/>
    </row>
    <row r="2041" spans="1:4" ht="15.75" customHeight="1" thickBot="1" x14ac:dyDescent="0.3">
      <c r="A2041" s="38"/>
      <c r="B2041" s="45"/>
      <c r="C2041" s="45"/>
      <c r="D2041" s="45"/>
    </row>
    <row r="2042" spans="1:4" ht="15.75" customHeight="1" thickBot="1" x14ac:dyDescent="0.3">
      <c r="A2042" s="19"/>
      <c r="B2042" s="20"/>
      <c r="C2042" s="50"/>
      <c r="D2042" s="51"/>
    </row>
    <row r="2043" spans="1:4" ht="15.75" customHeight="1" thickBot="1" x14ac:dyDescent="0.3">
      <c r="A2043" s="19"/>
      <c r="B2043" s="20"/>
      <c r="C2043" s="52"/>
      <c r="D2043" s="53"/>
    </row>
    <row r="2044" spans="1:4" ht="15.75" customHeight="1" thickBot="1" x14ac:dyDescent="0.3">
      <c r="A2044" s="19"/>
      <c r="B2044" s="20"/>
      <c r="C2044" s="13"/>
      <c r="D2044" s="14"/>
    </row>
    <row r="2045" spans="1:4" ht="15.75" customHeight="1" thickBot="1" x14ac:dyDescent="0.3">
      <c r="A2045" s="2"/>
      <c r="B2045" s="3"/>
      <c r="C2045" s="2"/>
      <c r="D2045" s="1"/>
    </row>
    <row r="2046" spans="1:4" ht="15.75" customHeight="1" thickBot="1" x14ac:dyDescent="0.3">
      <c r="A2046" s="4"/>
      <c r="B2046" s="303"/>
      <c r="C2046" s="304"/>
      <c r="D2046" s="4"/>
    </row>
    <row r="2047" spans="1:4" ht="15.75" customHeight="1" thickBot="1" x14ac:dyDescent="0.3">
      <c r="A2047" s="4"/>
      <c r="B2047" s="303"/>
      <c r="C2047" s="304"/>
      <c r="D2047" s="18"/>
    </row>
    <row r="2048" spans="1:4" ht="15.75" customHeight="1" thickBot="1" x14ac:dyDescent="0.3">
      <c r="A2048" s="4"/>
      <c r="B2048" s="303"/>
      <c r="C2048" s="304"/>
      <c r="D2048" s="18"/>
    </row>
    <row r="2049" spans="1:4" ht="15.75" customHeight="1" thickBot="1" x14ac:dyDescent="0.3">
      <c r="A2049" s="4"/>
      <c r="B2049" s="303"/>
      <c r="C2049" s="304"/>
      <c r="D2049" s="18"/>
    </row>
    <row r="2050" spans="1:4" ht="15.75" customHeight="1" thickBot="1" x14ac:dyDescent="0.3">
      <c r="A2050" s="4"/>
      <c r="B2050" s="303"/>
      <c r="C2050" s="304"/>
      <c r="D2050" s="18"/>
    </row>
    <row r="2051" spans="1:4" ht="15.75" customHeight="1" thickBot="1" x14ac:dyDescent="0.3">
      <c r="A2051" s="4"/>
      <c r="B2051" s="303"/>
      <c r="C2051" s="304"/>
      <c r="D2051" s="18"/>
    </row>
    <row r="2052" spans="1:4" ht="15.75" customHeight="1" thickBot="1" x14ac:dyDescent="0.3">
      <c r="A2052" s="4"/>
      <c r="B2052" s="303"/>
      <c r="C2052" s="304"/>
      <c r="D2052" s="18"/>
    </row>
    <row r="2053" spans="1:4" ht="15.75" customHeight="1" thickBot="1" x14ac:dyDescent="0.3">
      <c r="A2053" s="4"/>
      <c r="B2053" s="303"/>
      <c r="C2053" s="304"/>
      <c r="D2053" s="18"/>
    </row>
    <row r="2054" spans="1:4" ht="15.75" customHeight="1" thickBot="1" x14ac:dyDescent="0.3">
      <c r="A2054" s="4"/>
      <c r="B2054" s="303"/>
      <c r="C2054" s="304"/>
      <c r="D2054" s="18"/>
    </row>
    <row r="2055" spans="1:4" ht="15.75" customHeight="1" thickBot="1" x14ac:dyDescent="0.3">
      <c r="A2055" s="2"/>
      <c r="B2055" s="3"/>
      <c r="C2055" s="2"/>
      <c r="D2055" s="1"/>
    </row>
    <row r="2056" spans="1:4" ht="15.75" customHeight="1" thickBot="1" x14ac:dyDescent="0.3">
      <c r="A2056" s="300"/>
      <c r="B2056" s="301"/>
      <c r="C2056" s="301"/>
      <c r="D2056" s="302"/>
    </row>
    <row r="2057" spans="1:4" ht="15.75" customHeight="1" x14ac:dyDescent="0.25">
      <c r="A2057" s="5"/>
      <c r="B2057" s="6"/>
      <c r="C2057" s="7"/>
      <c r="D2057" s="8"/>
    </row>
    <row r="2058" spans="1:4" ht="15.75" customHeight="1" thickBot="1" x14ac:dyDescent="0.3">
      <c r="A2058" s="9"/>
      <c r="B2058" s="10"/>
      <c r="C2058" s="10"/>
      <c r="D2058" s="11"/>
    </row>
    <row r="2059" spans="1:4" ht="15.75" customHeight="1" thickBot="1" x14ac:dyDescent="0.3">
      <c r="A2059" s="15"/>
      <c r="B2059" s="16"/>
      <c r="C2059" s="21"/>
      <c r="D2059" s="16"/>
    </row>
    <row r="2060" spans="1:4" ht="15.75" customHeight="1" thickBot="1" x14ac:dyDescent="0.3">
      <c r="A2060" s="12"/>
      <c r="B2060" s="305"/>
      <c r="C2060" s="306"/>
      <c r="D2060" s="54"/>
    </row>
    <row r="2061" spans="1:4" ht="15.75" customHeight="1" thickBot="1" x14ac:dyDescent="0.3">
      <c r="A2061" s="38"/>
      <c r="B2061" s="45"/>
      <c r="C2061" s="45"/>
      <c r="D2061" s="45"/>
    </row>
    <row r="2062" spans="1:4" ht="15.75" customHeight="1" thickBot="1" x14ac:dyDescent="0.3">
      <c r="A2062" s="19"/>
      <c r="B2062" s="20"/>
      <c r="C2062" s="50"/>
      <c r="D2062" s="51"/>
    </row>
    <row r="2063" spans="1:4" ht="15.75" customHeight="1" thickBot="1" x14ac:dyDescent="0.3">
      <c r="A2063" s="19"/>
      <c r="B2063" s="20"/>
      <c r="C2063" s="52"/>
      <c r="D2063" s="53"/>
    </row>
    <row r="2064" spans="1:4" ht="15.75" customHeight="1" thickBot="1" x14ac:dyDescent="0.3">
      <c r="A2064" s="19"/>
      <c r="B2064" s="20"/>
      <c r="C2064" s="13"/>
      <c r="D2064" s="14"/>
    </row>
    <row r="2065" spans="1:4" ht="15.75" customHeight="1" thickBot="1" x14ac:dyDescent="0.3">
      <c r="A2065" s="2"/>
      <c r="B2065" s="3"/>
      <c r="C2065" s="2"/>
      <c r="D2065" s="1"/>
    </row>
    <row r="2066" spans="1:4" ht="15.75" customHeight="1" thickBot="1" x14ac:dyDescent="0.3">
      <c r="A2066" s="4"/>
      <c r="B2066" s="303"/>
      <c r="C2066" s="304"/>
      <c r="D2066" s="4"/>
    </row>
    <row r="2067" spans="1:4" ht="15.75" customHeight="1" thickBot="1" x14ac:dyDescent="0.3">
      <c r="A2067" s="4"/>
      <c r="B2067" s="303"/>
      <c r="C2067" s="304"/>
      <c r="D2067" s="18"/>
    </row>
    <row r="2068" spans="1:4" ht="15.75" customHeight="1" thickBot="1" x14ac:dyDescent="0.3">
      <c r="A2068" s="4"/>
      <c r="B2068" s="303"/>
      <c r="C2068" s="304"/>
      <c r="D2068" s="18"/>
    </row>
    <row r="2069" spans="1:4" ht="15.75" customHeight="1" thickBot="1" x14ac:dyDescent="0.3">
      <c r="A2069" s="4"/>
      <c r="B2069" s="303"/>
      <c r="C2069" s="304"/>
      <c r="D2069" s="18"/>
    </row>
    <row r="2070" spans="1:4" ht="15.75" customHeight="1" thickBot="1" x14ac:dyDescent="0.3">
      <c r="A2070" s="4"/>
      <c r="B2070" s="303"/>
      <c r="C2070" s="304"/>
      <c r="D2070" s="18"/>
    </row>
    <row r="2071" spans="1:4" ht="15.75" customHeight="1" thickBot="1" x14ac:dyDescent="0.3">
      <c r="A2071" s="4"/>
      <c r="B2071" s="303"/>
      <c r="C2071" s="304"/>
      <c r="D2071" s="18"/>
    </row>
    <row r="2072" spans="1:4" ht="15.75" customHeight="1" thickBot="1" x14ac:dyDescent="0.3">
      <c r="A2072" s="4"/>
      <c r="B2072" s="303"/>
      <c r="C2072" s="304"/>
      <c r="D2072" s="18"/>
    </row>
    <row r="2073" spans="1:4" ht="15.75" customHeight="1" thickBot="1" x14ac:dyDescent="0.3">
      <c r="A2073" s="4"/>
      <c r="B2073" s="303"/>
      <c r="C2073" s="304"/>
      <c r="D2073" s="18"/>
    </row>
    <row r="2074" spans="1:4" ht="15.75" customHeight="1" thickBot="1" x14ac:dyDescent="0.3">
      <c r="A2074" s="4"/>
      <c r="B2074" s="303"/>
      <c r="C2074" s="304"/>
      <c r="D2074" s="18"/>
    </row>
    <row r="2075" spans="1:4" ht="15.75" customHeight="1" thickBot="1" x14ac:dyDescent="0.3">
      <c r="A2075" s="2"/>
      <c r="B2075" s="3"/>
      <c r="C2075" s="2"/>
      <c r="D2075" s="1"/>
    </row>
    <row r="2076" spans="1:4" ht="15.75" customHeight="1" thickBot="1" x14ac:dyDescent="0.3">
      <c r="A2076" s="300"/>
      <c r="B2076" s="301"/>
      <c r="C2076" s="301"/>
      <c r="D2076" s="302"/>
    </row>
    <row r="2077" spans="1:4" ht="15.75" customHeight="1" x14ac:dyDescent="0.25">
      <c r="A2077" s="5"/>
      <c r="B2077" s="6"/>
      <c r="C2077" s="7"/>
      <c r="D2077" s="8"/>
    </row>
    <row r="2078" spans="1:4" ht="15.75" customHeight="1" thickBot="1" x14ac:dyDescent="0.3">
      <c r="A2078" s="9"/>
      <c r="B2078" s="10"/>
      <c r="C2078" s="10"/>
      <c r="D2078" s="11"/>
    </row>
    <row r="2079" spans="1:4" ht="15.75" customHeight="1" thickBot="1" x14ac:dyDescent="0.3">
      <c r="A2079" s="15"/>
      <c r="B2079" s="16"/>
      <c r="C2079" s="21"/>
      <c r="D2079" s="16"/>
    </row>
    <row r="2080" spans="1:4" ht="15.75" customHeight="1" thickBot="1" x14ac:dyDescent="0.3">
      <c r="A2080" s="12"/>
      <c r="B2080" s="305"/>
      <c r="C2080" s="306"/>
      <c r="D2080" s="54"/>
    </row>
    <row r="2081" spans="1:4" ht="15.75" customHeight="1" thickBot="1" x14ac:dyDescent="0.3">
      <c r="A2081" s="38"/>
      <c r="B2081" s="45"/>
      <c r="C2081" s="45"/>
      <c r="D2081" s="45"/>
    </row>
    <row r="2082" spans="1:4" ht="15.75" customHeight="1" thickBot="1" x14ac:dyDescent="0.3">
      <c r="A2082" s="19"/>
      <c r="B2082" s="20"/>
      <c r="C2082" s="50"/>
      <c r="D2082" s="51"/>
    </row>
    <row r="2083" spans="1:4" ht="15.75" customHeight="1" thickBot="1" x14ac:dyDescent="0.3">
      <c r="A2083" s="19"/>
      <c r="B2083" s="20"/>
      <c r="C2083" s="52"/>
      <c r="D2083" s="53"/>
    </row>
    <row r="2084" spans="1:4" ht="15.75" customHeight="1" thickBot="1" x14ac:dyDescent="0.3">
      <c r="A2084" s="19"/>
      <c r="B2084" s="20"/>
      <c r="C2084" s="13"/>
      <c r="D2084" s="14"/>
    </row>
    <row r="2085" spans="1:4" ht="15.75" customHeight="1" thickBot="1" x14ac:dyDescent="0.3">
      <c r="A2085" s="2"/>
      <c r="B2085" s="3"/>
      <c r="C2085" s="2"/>
      <c r="D2085" s="1"/>
    </row>
    <row r="2086" spans="1:4" ht="15.75" customHeight="1" thickBot="1" x14ac:dyDescent="0.3">
      <c r="A2086" s="4"/>
      <c r="B2086" s="303"/>
      <c r="C2086" s="304"/>
      <c r="D2086" s="4"/>
    </row>
    <row r="2087" spans="1:4" ht="15.75" customHeight="1" thickBot="1" x14ac:dyDescent="0.3">
      <c r="A2087" s="4"/>
      <c r="B2087" s="303"/>
      <c r="C2087" s="304"/>
      <c r="D2087" s="18"/>
    </row>
    <row r="2088" spans="1:4" ht="15.75" customHeight="1" thickBot="1" x14ac:dyDescent="0.3">
      <c r="A2088" s="4"/>
      <c r="B2088" s="303"/>
      <c r="C2088" s="304"/>
      <c r="D2088" s="18"/>
    </row>
    <row r="2089" spans="1:4" ht="15.75" customHeight="1" thickBot="1" x14ac:dyDescent="0.3">
      <c r="A2089" s="4"/>
      <c r="B2089" s="303"/>
      <c r="C2089" s="304"/>
      <c r="D2089" s="18"/>
    </row>
    <row r="2090" spans="1:4" ht="15.75" customHeight="1" thickBot="1" x14ac:dyDescent="0.3">
      <c r="A2090" s="4"/>
      <c r="B2090" s="303"/>
      <c r="C2090" s="304"/>
      <c r="D2090" s="18"/>
    </row>
    <row r="2091" spans="1:4" ht="15.75" customHeight="1" thickBot="1" x14ac:dyDescent="0.3">
      <c r="A2091" s="4"/>
      <c r="B2091" s="303"/>
      <c r="C2091" s="304"/>
      <c r="D2091" s="18"/>
    </row>
    <row r="2092" spans="1:4" ht="15.75" customHeight="1" thickBot="1" x14ac:dyDescent="0.3">
      <c r="A2092" s="4"/>
      <c r="B2092" s="303"/>
      <c r="C2092" s="304"/>
      <c r="D2092" s="18"/>
    </row>
    <row r="2093" spans="1:4" ht="15.75" customHeight="1" thickBot="1" x14ac:dyDescent="0.3">
      <c r="A2093" s="4"/>
      <c r="B2093" s="303"/>
      <c r="C2093" s="304"/>
      <c r="D2093" s="18"/>
    </row>
    <row r="2094" spans="1:4" ht="15.75" customHeight="1" thickBot="1" x14ac:dyDescent="0.3">
      <c r="A2094" s="4"/>
      <c r="B2094" s="303"/>
      <c r="C2094" s="304"/>
      <c r="D2094" s="18"/>
    </row>
    <row r="2095" spans="1:4" ht="15.75" customHeight="1" thickBot="1" x14ac:dyDescent="0.3">
      <c r="A2095" s="2"/>
      <c r="B2095" s="3"/>
      <c r="C2095" s="2"/>
      <c r="D2095" s="1"/>
    </row>
    <row r="2096" spans="1:4" ht="15.75" customHeight="1" thickBot="1" x14ac:dyDescent="0.3">
      <c r="A2096" s="300"/>
      <c r="B2096" s="301"/>
      <c r="C2096" s="301"/>
      <c r="D2096" s="302"/>
    </row>
    <row r="2097" spans="1:4" ht="15.75" customHeight="1" x14ac:dyDescent="0.25">
      <c r="A2097" s="5"/>
      <c r="B2097" s="6"/>
      <c r="C2097" s="7"/>
      <c r="D2097" s="8"/>
    </row>
    <row r="2098" spans="1:4" ht="15.75" customHeight="1" thickBot="1" x14ac:dyDescent="0.3">
      <c r="A2098" s="9"/>
      <c r="B2098" s="10"/>
      <c r="C2098" s="10"/>
      <c r="D2098" s="11"/>
    </row>
    <row r="2099" spans="1:4" ht="15.75" customHeight="1" thickBot="1" x14ac:dyDescent="0.3">
      <c r="A2099" s="15"/>
      <c r="B2099" s="16"/>
      <c r="C2099" s="21"/>
      <c r="D2099" s="16"/>
    </row>
    <row r="2100" spans="1:4" ht="15.75" customHeight="1" thickBot="1" x14ac:dyDescent="0.3">
      <c r="A2100" s="12"/>
      <c r="B2100" s="305"/>
      <c r="C2100" s="306"/>
      <c r="D2100" s="54"/>
    </row>
    <row r="2101" spans="1:4" ht="15.75" customHeight="1" thickBot="1" x14ac:dyDescent="0.3">
      <c r="A2101" s="38"/>
      <c r="B2101" s="45"/>
      <c r="C2101" s="45"/>
      <c r="D2101" s="45"/>
    </row>
    <row r="2102" spans="1:4" ht="15.75" customHeight="1" thickBot="1" x14ac:dyDescent="0.3">
      <c r="A2102" s="19"/>
      <c r="B2102" s="20"/>
      <c r="C2102" s="50"/>
      <c r="D2102" s="51"/>
    </row>
    <row r="2103" spans="1:4" ht="15.75" customHeight="1" thickBot="1" x14ac:dyDescent="0.3">
      <c r="A2103" s="19"/>
      <c r="B2103" s="20"/>
      <c r="C2103" s="52"/>
      <c r="D2103" s="53"/>
    </row>
    <row r="2104" spans="1:4" ht="15.75" customHeight="1" thickBot="1" x14ac:dyDescent="0.3">
      <c r="A2104" s="19"/>
      <c r="B2104" s="20"/>
      <c r="C2104" s="13"/>
      <c r="D2104" s="14"/>
    </row>
    <row r="2105" spans="1:4" ht="15.75" customHeight="1" thickBot="1" x14ac:dyDescent="0.3">
      <c r="A2105" s="2"/>
      <c r="B2105" s="3"/>
      <c r="C2105" s="2"/>
      <c r="D2105" s="1"/>
    </row>
    <row r="2106" spans="1:4" ht="15.75" customHeight="1" thickBot="1" x14ac:dyDescent="0.3">
      <c r="A2106" s="4"/>
      <c r="B2106" s="303"/>
      <c r="C2106" s="304"/>
      <c r="D2106" s="4"/>
    </row>
    <row r="2107" spans="1:4" ht="15.75" customHeight="1" thickBot="1" x14ac:dyDescent="0.3">
      <c r="A2107" s="4"/>
      <c r="B2107" s="303"/>
      <c r="C2107" s="304"/>
      <c r="D2107" s="18"/>
    </row>
    <row r="2108" spans="1:4" ht="15.75" customHeight="1" thickBot="1" x14ac:dyDescent="0.3">
      <c r="A2108" s="4"/>
      <c r="B2108" s="303"/>
      <c r="C2108" s="304"/>
      <c r="D2108" s="18"/>
    </row>
    <row r="2109" spans="1:4" ht="15.75" customHeight="1" thickBot="1" x14ac:dyDescent="0.3">
      <c r="A2109" s="4"/>
      <c r="B2109" s="303"/>
      <c r="C2109" s="304"/>
      <c r="D2109" s="18"/>
    </row>
    <row r="2110" spans="1:4" ht="15.75" customHeight="1" thickBot="1" x14ac:dyDescent="0.3">
      <c r="A2110" s="4"/>
      <c r="B2110" s="303"/>
      <c r="C2110" s="304"/>
      <c r="D2110" s="18"/>
    </row>
    <row r="2111" spans="1:4" ht="15.75" customHeight="1" thickBot="1" x14ac:dyDescent="0.3">
      <c r="A2111" s="4"/>
      <c r="B2111" s="303"/>
      <c r="C2111" s="304"/>
      <c r="D2111" s="18"/>
    </row>
    <row r="2112" spans="1:4" ht="15.75" customHeight="1" thickBot="1" x14ac:dyDescent="0.3">
      <c r="A2112" s="4"/>
      <c r="B2112" s="303"/>
      <c r="C2112" s="304"/>
      <c r="D2112" s="18"/>
    </row>
    <row r="2113" spans="1:4" ht="15.75" customHeight="1" thickBot="1" x14ac:dyDescent="0.3">
      <c r="A2113" s="4"/>
      <c r="B2113" s="303"/>
      <c r="C2113" s="304"/>
      <c r="D2113" s="18"/>
    </row>
    <row r="2114" spans="1:4" ht="15.75" customHeight="1" thickBot="1" x14ac:dyDescent="0.3">
      <c r="A2114" s="4"/>
      <c r="B2114" s="303"/>
      <c r="C2114" s="304"/>
      <c r="D2114" s="18"/>
    </row>
    <row r="2115" spans="1:4" ht="15.75" customHeight="1" thickBot="1" x14ac:dyDescent="0.3">
      <c r="A2115" s="2"/>
      <c r="B2115" s="3"/>
      <c r="C2115" s="2"/>
      <c r="D2115" s="1"/>
    </row>
    <row r="2116" spans="1:4" ht="15.75" customHeight="1" thickBot="1" x14ac:dyDescent="0.3">
      <c r="A2116" s="300"/>
      <c r="B2116" s="301"/>
      <c r="C2116" s="301"/>
      <c r="D2116" s="302"/>
    </row>
    <row r="2117" spans="1:4" ht="15.75" customHeight="1" x14ac:dyDescent="0.25">
      <c r="A2117" s="5"/>
      <c r="B2117" s="6"/>
      <c r="C2117" s="7"/>
      <c r="D2117" s="8"/>
    </row>
    <row r="2118" spans="1:4" ht="15.75" customHeight="1" thickBot="1" x14ac:dyDescent="0.3">
      <c r="A2118" s="9"/>
      <c r="B2118" s="10"/>
      <c r="C2118" s="10"/>
      <c r="D2118" s="11"/>
    </row>
    <row r="2119" spans="1:4" ht="15.75" customHeight="1" thickBot="1" x14ac:dyDescent="0.3">
      <c r="A2119" s="15"/>
      <c r="B2119" s="16"/>
      <c r="C2119" s="21"/>
      <c r="D2119" s="16"/>
    </row>
    <row r="2120" spans="1:4" ht="15.75" customHeight="1" thickBot="1" x14ac:dyDescent="0.3">
      <c r="A2120" s="12"/>
      <c r="B2120" s="305"/>
      <c r="C2120" s="306"/>
      <c r="D2120" s="54"/>
    </row>
    <row r="2121" spans="1:4" ht="15.75" customHeight="1" thickBot="1" x14ac:dyDescent="0.3">
      <c r="A2121" s="38"/>
      <c r="B2121" s="45"/>
      <c r="C2121" s="45"/>
      <c r="D2121" s="45"/>
    </row>
    <row r="2122" spans="1:4" ht="15.75" customHeight="1" thickBot="1" x14ac:dyDescent="0.3">
      <c r="A2122" s="19"/>
      <c r="B2122" s="20"/>
      <c r="C2122" s="50"/>
      <c r="D2122" s="51"/>
    </row>
    <row r="2123" spans="1:4" ht="15.75" customHeight="1" thickBot="1" x14ac:dyDescent="0.3">
      <c r="A2123" s="19"/>
      <c r="B2123" s="20"/>
      <c r="C2123" s="52"/>
      <c r="D2123" s="53"/>
    </row>
    <row r="2124" spans="1:4" ht="15.75" customHeight="1" thickBot="1" x14ac:dyDescent="0.3">
      <c r="A2124" s="19"/>
      <c r="B2124" s="20"/>
      <c r="C2124" s="13"/>
      <c r="D2124" s="14"/>
    </row>
    <row r="2125" spans="1:4" ht="15.75" customHeight="1" thickBot="1" x14ac:dyDescent="0.3">
      <c r="A2125" s="2"/>
      <c r="B2125" s="3"/>
      <c r="C2125" s="2"/>
      <c r="D2125" s="1"/>
    </row>
    <row r="2126" spans="1:4" ht="15.75" customHeight="1" thickBot="1" x14ac:dyDescent="0.3">
      <c r="A2126" s="4"/>
      <c r="B2126" s="303"/>
      <c r="C2126" s="304"/>
      <c r="D2126" s="4"/>
    </row>
    <row r="2127" spans="1:4" ht="15.75" customHeight="1" thickBot="1" x14ac:dyDescent="0.3">
      <c r="A2127" s="4"/>
      <c r="B2127" s="303"/>
      <c r="C2127" s="304"/>
      <c r="D2127" s="18"/>
    </row>
    <row r="2128" spans="1:4" ht="15.75" customHeight="1" thickBot="1" x14ac:dyDescent="0.3">
      <c r="A2128" s="4"/>
      <c r="B2128" s="303"/>
      <c r="C2128" s="304"/>
      <c r="D2128" s="18"/>
    </row>
    <row r="2129" spans="1:4" ht="15.75" customHeight="1" thickBot="1" x14ac:dyDescent="0.3">
      <c r="A2129" s="4"/>
      <c r="B2129" s="303"/>
      <c r="C2129" s="304"/>
      <c r="D2129" s="18"/>
    </row>
    <row r="2130" spans="1:4" ht="15.75" customHeight="1" thickBot="1" x14ac:dyDescent="0.3">
      <c r="A2130" s="4"/>
      <c r="B2130" s="303"/>
      <c r="C2130" s="304"/>
      <c r="D2130" s="18"/>
    </row>
    <row r="2131" spans="1:4" ht="15.75" customHeight="1" thickBot="1" x14ac:dyDescent="0.3">
      <c r="A2131" s="4"/>
      <c r="B2131" s="303"/>
      <c r="C2131" s="304"/>
      <c r="D2131" s="18"/>
    </row>
    <row r="2132" spans="1:4" ht="15.75" customHeight="1" thickBot="1" x14ac:dyDescent="0.3">
      <c r="A2132" s="4"/>
      <c r="B2132" s="303"/>
      <c r="C2132" s="304"/>
      <c r="D2132" s="18"/>
    </row>
    <row r="2133" spans="1:4" ht="15.75" customHeight="1" thickBot="1" x14ac:dyDescent="0.3">
      <c r="A2133" s="4"/>
      <c r="B2133" s="303"/>
      <c r="C2133" s="304"/>
      <c r="D2133" s="18"/>
    </row>
    <row r="2134" spans="1:4" ht="15.75" customHeight="1" thickBot="1" x14ac:dyDescent="0.3">
      <c r="A2134" s="4"/>
      <c r="B2134" s="303"/>
      <c r="C2134" s="304"/>
      <c r="D2134" s="18"/>
    </row>
    <row r="2135" spans="1:4" ht="15.75" customHeight="1" thickBot="1" x14ac:dyDescent="0.3">
      <c r="A2135" s="2"/>
      <c r="B2135" s="3"/>
      <c r="C2135" s="2"/>
      <c r="D2135" s="1"/>
    </row>
    <row r="2136" spans="1:4" ht="15.75" customHeight="1" thickBot="1" x14ac:dyDescent="0.3">
      <c r="A2136" s="300"/>
      <c r="B2136" s="301"/>
      <c r="C2136" s="301"/>
      <c r="D2136" s="302"/>
    </row>
    <row r="2137" spans="1:4" ht="15.75" customHeight="1" x14ac:dyDescent="0.25">
      <c r="A2137" s="5"/>
      <c r="B2137" s="6"/>
      <c r="C2137" s="7"/>
      <c r="D2137" s="8"/>
    </row>
    <row r="2138" spans="1:4" ht="15.75" customHeight="1" thickBot="1" x14ac:dyDescent="0.3">
      <c r="A2138" s="9"/>
      <c r="B2138" s="10"/>
      <c r="C2138" s="10"/>
      <c r="D2138" s="11"/>
    </row>
    <row r="2139" spans="1:4" ht="15.75" customHeight="1" thickBot="1" x14ac:dyDescent="0.3">
      <c r="A2139" s="15"/>
      <c r="B2139" s="16"/>
      <c r="C2139" s="21"/>
      <c r="D2139" s="16"/>
    </row>
    <row r="2140" spans="1:4" ht="15.75" customHeight="1" thickBot="1" x14ac:dyDescent="0.3">
      <c r="A2140" s="12"/>
      <c r="B2140" s="305"/>
      <c r="C2140" s="306"/>
      <c r="D2140" s="54"/>
    </row>
    <row r="2141" spans="1:4" ht="15.75" customHeight="1" thickBot="1" x14ac:dyDescent="0.3">
      <c r="A2141" s="38"/>
      <c r="B2141" s="45"/>
      <c r="C2141" s="45"/>
      <c r="D2141" s="45"/>
    </row>
    <row r="2142" spans="1:4" ht="15.75" customHeight="1" thickBot="1" x14ac:dyDescent="0.3">
      <c r="A2142" s="19"/>
      <c r="B2142" s="20"/>
      <c r="C2142" s="50"/>
      <c r="D2142" s="51"/>
    </row>
    <row r="2143" spans="1:4" ht="15.75" customHeight="1" thickBot="1" x14ac:dyDescent="0.3">
      <c r="A2143" s="19"/>
      <c r="B2143" s="20"/>
      <c r="C2143" s="52"/>
      <c r="D2143" s="53"/>
    </row>
    <row r="2144" spans="1:4" ht="15.75" customHeight="1" thickBot="1" x14ac:dyDescent="0.3">
      <c r="A2144" s="19"/>
      <c r="B2144" s="20"/>
      <c r="C2144" s="13"/>
      <c r="D2144" s="14"/>
    </row>
    <row r="2145" spans="1:4" ht="15.75" customHeight="1" thickBot="1" x14ac:dyDescent="0.3">
      <c r="A2145" s="2"/>
      <c r="B2145" s="3"/>
      <c r="C2145" s="2"/>
      <c r="D2145" s="1"/>
    </row>
    <row r="2146" spans="1:4" ht="15.75" customHeight="1" thickBot="1" x14ac:dyDescent="0.3">
      <c r="A2146" s="4"/>
      <c r="B2146" s="303"/>
      <c r="C2146" s="304"/>
      <c r="D2146" s="4"/>
    </row>
    <row r="2147" spans="1:4" ht="15.75" customHeight="1" thickBot="1" x14ac:dyDescent="0.3">
      <c r="A2147" s="4"/>
      <c r="B2147" s="303"/>
      <c r="C2147" s="304"/>
      <c r="D2147" s="18"/>
    </row>
    <row r="2148" spans="1:4" ht="15.75" customHeight="1" thickBot="1" x14ac:dyDescent="0.3">
      <c r="A2148" s="4"/>
      <c r="B2148" s="303"/>
      <c r="C2148" s="304"/>
      <c r="D2148" s="18"/>
    </row>
    <row r="2149" spans="1:4" ht="15.75" customHeight="1" thickBot="1" x14ac:dyDescent="0.3">
      <c r="A2149" s="4"/>
      <c r="B2149" s="303"/>
      <c r="C2149" s="304"/>
      <c r="D2149" s="18"/>
    </row>
    <row r="2150" spans="1:4" ht="15.75" customHeight="1" thickBot="1" x14ac:dyDescent="0.3">
      <c r="A2150" s="4"/>
      <c r="B2150" s="303"/>
      <c r="C2150" s="304"/>
      <c r="D2150" s="18"/>
    </row>
    <row r="2151" spans="1:4" ht="15.75" customHeight="1" thickBot="1" x14ac:dyDescent="0.3">
      <c r="A2151" s="4"/>
      <c r="B2151" s="303"/>
      <c r="C2151" s="304"/>
      <c r="D2151" s="18"/>
    </row>
    <row r="2152" spans="1:4" ht="15.75" customHeight="1" thickBot="1" x14ac:dyDescent="0.3">
      <c r="A2152" s="4"/>
      <c r="B2152" s="303"/>
      <c r="C2152" s="304"/>
      <c r="D2152" s="18"/>
    </row>
    <row r="2153" spans="1:4" ht="15.75" customHeight="1" thickBot="1" x14ac:dyDescent="0.3">
      <c r="A2153" s="4"/>
      <c r="B2153" s="303"/>
      <c r="C2153" s="304"/>
      <c r="D2153" s="18"/>
    </row>
    <row r="2154" spans="1:4" ht="15.75" customHeight="1" thickBot="1" x14ac:dyDescent="0.3">
      <c r="A2154" s="4"/>
      <c r="B2154" s="303"/>
      <c r="C2154" s="304"/>
      <c r="D2154" s="18"/>
    </row>
    <row r="2155" spans="1:4" ht="15.75" customHeight="1" thickBot="1" x14ac:dyDescent="0.3">
      <c r="A2155" s="2"/>
      <c r="B2155" s="3"/>
      <c r="C2155" s="2"/>
      <c r="D2155" s="1"/>
    </row>
    <row r="2156" spans="1:4" ht="15.75" customHeight="1" thickBot="1" x14ac:dyDescent="0.3">
      <c r="A2156" s="300"/>
      <c r="B2156" s="301"/>
      <c r="C2156" s="301"/>
      <c r="D2156" s="302"/>
    </row>
    <row r="2157" spans="1:4" ht="15.75" customHeight="1" x14ac:dyDescent="0.25">
      <c r="A2157" s="5"/>
      <c r="B2157" s="6"/>
      <c r="C2157" s="7"/>
      <c r="D2157" s="8"/>
    </row>
    <row r="2158" spans="1:4" ht="15.75" customHeight="1" thickBot="1" x14ac:dyDescent="0.3">
      <c r="A2158" s="9"/>
      <c r="B2158" s="10"/>
      <c r="C2158" s="10"/>
      <c r="D2158" s="11"/>
    </row>
    <row r="2159" spans="1:4" ht="15.75" customHeight="1" thickBot="1" x14ac:dyDescent="0.3">
      <c r="A2159" s="15"/>
      <c r="B2159" s="16"/>
      <c r="C2159" s="21"/>
      <c r="D2159" s="16"/>
    </row>
    <row r="2160" spans="1:4" ht="15.75" customHeight="1" thickBot="1" x14ac:dyDescent="0.3">
      <c r="A2160" s="12"/>
      <c r="B2160" s="305"/>
      <c r="C2160" s="306"/>
      <c r="D2160" s="54"/>
    </row>
    <row r="2161" spans="1:4" ht="15.75" customHeight="1" thickBot="1" x14ac:dyDescent="0.3">
      <c r="A2161" s="38"/>
      <c r="B2161" s="45"/>
      <c r="C2161" s="45"/>
      <c r="D2161" s="45"/>
    </row>
    <row r="2162" spans="1:4" ht="15.75" customHeight="1" thickBot="1" x14ac:dyDescent="0.3">
      <c r="A2162" s="19"/>
      <c r="B2162" s="20"/>
      <c r="C2162" s="50"/>
      <c r="D2162" s="51"/>
    </row>
    <row r="2163" spans="1:4" ht="15.75" customHeight="1" thickBot="1" x14ac:dyDescent="0.3">
      <c r="A2163" s="19"/>
      <c r="B2163" s="20"/>
      <c r="C2163" s="52"/>
      <c r="D2163" s="53"/>
    </row>
    <row r="2164" spans="1:4" ht="15.75" customHeight="1" thickBot="1" x14ac:dyDescent="0.3">
      <c r="A2164" s="19"/>
      <c r="B2164" s="20"/>
      <c r="C2164" s="13"/>
      <c r="D2164" s="14"/>
    </row>
    <row r="2165" spans="1:4" ht="15.75" customHeight="1" thickBot="1" x14ac:dyDescent="0.3">
      <c r="A2165" s="2"/>
      <c r="B2165" s="3"/>
      <c r="C2165" s="2"/>
      <c r="D2165" s="1"/>
    </row>
    <row r="2166" spans="1:4" ht="15.75" customHeight="1" thickBot="1" x14ac:dyDescent="0.3">
      <c r="A2166" s="4"/>
      <c r="B2166" s="303"/>
      <c r="C2166" s="304"/>
      <c r="D2166" s="4"/>
    </row>
    <row r="2167" spans="1:4" ht="15.75" customHeight="1" thickBot="1" x14ac:dyDescent="0.3">
      <c r="A2167" s="4"/>
      <c r="B2167" s="303"/>
      <c r="C2167" s="304"/>
      <c r="D2167" s="18"/>
    </row>
    <row r="2168" spans="1:4" ht="15.75" customHeight="1" thickBot="1" x14ac:dyDescent="0.3">
      <c r="A2168" s="4"/>
      <c r="B2168" s="303"/>
      <c r="C2168" s="304"/>
      <c r="D2168" s="18"/>
    </row>
    <row r="2169" spans="1:4" ht="15.75" customHeight="1" thickBot="1" x14ac:dyDescent="0.3">
      <c r="A2169" s="4"/>
      <c r="B2169" s="303"/>
      <c r="C2169" s="304"/>
      <c r="D2169" s="18"/>
    </row>
    <row r="2170" spans="1:4" ht="15.75" customHeight="1" thickBot="1" x14ac:dyDescent="0.3">
      <c r="A2170" s="4"/>
      <c r="B2170" s="303"/>
      <c r="C2170" s="304"/>
      <c r="D2170" s="18"/>
    </row>
    <row r="2171" spans="1:4" ht="15.75" customHeight="1" thickBot="1" x14ac:dyDescent="0.3">
      <c r="A2171" s="4"/>
      <c r="B2171" s="303"/>
      <c r="C2171" s="304"/>
      <c r="D2171" s="18"/>
    </row>
    <row r="2172" spans="1:4" ht="15.75" customHeight="1" thickBot="1" x14ac:dyDescent="0.3">
      <c r="A2172" s="4"/>
      <c r="B2172" s="303"/>
      <c r="C2172" s="304"/>
      <c r="D2172" s="18"/>
    </row>
    <row r="2173" spans="1:4" ht="15.75" customHeight="1" thickBot="1" x14ac:dyDescent="0.3">
      <c r="A2173" s="4"/>
      <c r="B2173" s="303"/>
      <c r="C2173" s="304"/>
      <c r="D2173" s="18"/>
    </row>
    <row r="2174" spans="1:4" ht="15.75" customHeight="1" thickBot="1" x14ac:dyDescent="0.3">
      <c r="A2174" s="4"/>
      <c r="B2174" s="303"/>
      <c r="C2174" s="304"/>
      <c r="D2174" s="18"/>
    </row>
    <row r="2175" spans="1:4" ht="15.75" customHeight="1" thickBot="1" x14ac:dyDescent="0.3">
      <c r="A2175" s="2"/>
      <c r="B2175" s="3"/>
      <c r="C2175" s="2"/>
      <c r="D2175" s="1"/>
    </row>
    <row r="2176" spans="1:4" ht="15.75" customHeight="1" thickBot="1" x14ac:dyDescent="0.3">
      <c r="A2176" s="300"/>
      <c r="B2176" s="301"/>
      <c r="C2176" s="301"/>
      <c r="D2176" s="302"/>
    </row>
    <row r="2177" spans="1:4" ht="15.75" customHeight="1" x14ac:dyDescent="0.25">
      <c r="A2177" s="5"/>
      <c r="B2177" s="6"/>
      <c r="C2177" s="7"/>
      <c r="D2177" s="8"/>
    </row>
    <row r="2178" spans="1:4" ht="15.75" customHeight="1" thickBot="1" x14ac:dyDescent="0.3">
      <c r="A2178" s="9"/>
      <c r="B2178" s="10"/>
      <c r="C2178" s="10"/>
      <c r="D2178" s="11"/>
    </row>
    <row r="2179" spans="1:4" ht="15.75" customHeight="1" thickBot="1" x14ac:dyDescent="0.3">
      <c r="A2179" s="15"/>
      <c r="B2179" s="16"/>
      <c r="C2179" s="21"/>
      <c r="D2179" s="16"/>
    </row>
    <row r="2180" spans="1:4" ht="15.75" customHeight="1" thickBot="1" x14ac:dyDescent="0.3">
      <c r="A2180" s="12"/>
      <c r="B2180" s="305"/>
      <c r="C2180" s="306"/>
      <c r="D2180" s="54"/>
    </row>
    <row r="2181" spans="1:4" ht="15.75" customHeight="1" thickBot="1" x14ac:dyDescent="0.3">
      <c r="A2181" s="38"/>
      <c r="B2181" s="45"/>
      <c r="C2181" s="45"/>
      <c r="D2181" s="45"/>
    </row>
    <row r="2182" spans="1:4" ht="15.75" customHeight="1" thickBot="1" x14ac:dyDescent="0.3">
      <c r="A2182" s="19"/>
      <c r="B2182" s="20"/>
      <c r="C2182" s="50"/>
      <c r="D2182" s="51"/>
    </row>
    <row r="2183" spans="1:4" ht="15.75" customHeight="1" thickBot="1" x14ac:dyDescent="0.3">
      <c r="A2183" s="19"/>
      <c r="B2183" s="20"/>
      <c r="C2183" s="52"/>
      <c r="D2183" s="53"/>
    </row>
    <row r="2184" spans="1:4" ht="15.75" customHeight="1" thickBot="1" x14ac:dyDescent="0.3">
      <c r="A2184" s="19"/>
      <c r="B2184" s="20"/>
      <c r="C2184" s="13"/>
      <c r="D2184" s="14"/>
    </row>
    <row r="2185" spans="1:4" ht="15.75" customHeight="1" thickBot="1" x14ac:dyDescent="0.3">
      <c r="A2185" s="2"/>
      <c r="B2185" s="3"/>
      <c r="C2185" s="2"/>
      <c r="D2185" s="1"/>
    </row>
    <row r="2186" spans="1:4" ht="15.75" customHeight="1" thickBot="1" x14ac:dyDescent="0.3">
      <c r="A2186" s="4"/>
      <c r="B2186" s="303"/>
      <c r="C2186" s="304"/>
      <c r="D2186" s="4"/>
    </row>
    <row r="2187" spans="1:4" ht="15.75" customHeight="1" thickBot="1" x14ac:dyDescent="0.3">
      <c r="A2187" s="4"/>
      <c r="B2187" s="303"/>
      <c r="C2187" s="304"/>
      <c r="D2187" s="18"/>
    </row>
    <row r="2188" spans="1:4" ht="15.75" customHeight="1" thickBot="1" x14ac:dyDescent="0.3">
      <c r="A2188" s="4"/>
      <c r="B2188" s="303"/>
      <c r="C2188" s="304"/>
      <c r="D2188" s="18"/>
    </row>
    <row r="2189" spans="1:4" ht="15.75" customHeight="1" thickBot="1" x14ac:dyDescent="0.3">
      <c r="A2189" s="4"/>
      <c r="B2189" s="303"/>
      <c r="C2189" s="304"/>
      <c r="D2189" s="18"/>
    </row>
    <row r="2190" spans="1:4" ht="15.75" customHeight="1" thickBot="1" x14ac:dyDescent="0.3">
      <c r="A2190" s="4"/>
      <c r="B2190" s="303"/>
      <c r="C2190" s="304"/>
      <c r="D2190" s="18"/>
    </row>
    <row r="2191" spans="1:4" ht="15.75" customHeight="1" thickBot="1" x14ac:dyDescent="0.3">
      <c r="A2191" s="4"/>
      <c r="B2191" s="303"/>
      <c r="C2191" s="304"/>
      <c r="D2191" s="18"/>
    </row>
    <row r="2192" spans="1:4" ht="15.75" customHeight="1" thickBot="1" x14ac:dyDescent="0.3">
      <c r="A2192" s="4"/>
      <c r="B2192" s="303"/>
      <c r="C2192" s="304"/>
      <c r="D2192" s="18"/>
    </row>
    <row r="2193" spans="1:4" ht="15.75" customHeight="1" thickBot="1" x14ac:dyDescent="0.3">
      <c r="A2193" s="4"/>
      <c r="B2193" s="303"/>
      <c r="C2193" s="304"/>
      <c r="D2193" s="18"/>
    </row>
    <row r="2194" spans="1:4" ht="15.75" customHeight="1" thickBot="1" x14ac:dyDescent="0.3">
      <c r="A2194" s="4"/>
      <c r="B2194" s="303"/>
      <c r="C2194" s="304"/>
      <c r="D2194" s="18"/>
    </row>
    <row r="2195" spans="1:4" ht="15.75" customHeight="1" thickBot="1" x14ac:dyDescent="0.3">
      <c r="A2195" s="2"/>
      <c r="B2195" s="3"/>
      <c r="C2195" s="2"/>
      <c r="D2195" s="1"/>
    </row>
    <row r="2196" spans="1:4" ht="15.75" customHeight="1" thickBot="1" x14ac:dyDescent="0.3">
      <c r="A2196" s="300"/>
      <c r="B2196" s="301"/>
      <c r="C2196" s="301"/>
      <c r="D2196" s="302"/>
    </row>
    <row r="2197" spans="1:4" ht="15.75" customHeight="1" x14ac:dyDescent="0.25">
      <c r="A2197" s="5"/>
      <c r="B2197" s="6"/>
      <c r="C2197" s="7"/>
      <c r="D2197" s="8"/>
    </row>
    <row r="2198" spans="1:4" ht="15.75" customHeight="1" thickBot="1" x14ac:dyDescent="0.3">
      <c r="A2198" s="9"/>
      <c r="B2198" s="10"/>
      <c r="C2198" s="10"/>
      <c r="D2198" s="11"/>
    </row>
    <row r="2199" spans="1:4" ht="15.75" customHeight="1" thickBot="1" x14ac:dyDescent="0.3">
      <c r="A2199" s="15"/>
      <c r="B2199" s="16"/>
      <c r="C2199" s="21"/>
      <c r="D2199" s="16"/>
    </row>
    <row r="2200" spans="1:4" ht="15.75" customHeight="1" thickBot="1" x14ac:dyDescent="0.3">
      <c r="A2200" s="12"/>
      <c r="B2200" s="305"/>
      <c r="C2200" s="306"/>
      <c r="D2200" s="54"/>
    </row>
    <row r="2201" spans="1:4" ht="15.75" customHeight="1" thickBot="1" x14ac:dyDescent="0.3">
      <c r="A2201" s="38"/>
      <c r="B2201" s="45"/>
      <c r="C2201" s="45"/>
      <c r="D2201" s="45"/>
    </row>
    <row r="2202" spans="1:4" ht="15.75" customHeight="1" thickBot="1" x14ac:dyDescent="0.3">
      <c r="A2202" s="19"/>
      <c r="B2202" s="20"/>
      <c r="C2202" s="50"/>
      <c r="D2202" s="51"/>
    </row>
    <row r="2203" spans="1:4" ht="15.75" customHeight="1" thickBot="1" x14ac:dyDescent="0.3">
      <c r="A2203" s="19"/>
      <c r="B2203" s="20"/>
      <c r="C2203" s="52"/>
      <c r="D2203" s="53"/>
    </row>
    <row r="2204" spans="1:4" ht="15.75" customHeight="1" thickBot="1" x14ac:dyDescent="0.3">
      <c r="A2204" s="19"/>
      <c r="B2204" s="20"/>
      <c r="C2204" s="13"/>
      <c r="D2204" s="14"/>
    </row>
    <row r="2205" spans="1:4" ht="15.75" customHeight="1" thickBot="1" x14ac:dyDescent="0.3">
      <c r="A2205" s="2"/>
      <c r="B2205" s="3"/>
      <c r="C2205" s="2"/>
      <c r="D2205" s="1"/>
    </row>
    <row r="2206" spans="1:4" ht="15.75" customHeight="1" thickBot="1" x14ac:dyDescent="0.3">
      <c r="A2206" s="4"/>
      <c r="B2206" s="303"/>
      <c r="C2206" s="304"/>
      <c r="D2206" s="4"/>
    </row>
    <row r="2207" spans="1:4" ht="15.75" customHeight="1" thickBot="1" x14ac:dyDescent="0.3">
      <c r="A2207" s="4"/>
      <c r="B2207" s="303"/>
      <c r="C2207" s="304"/>
      <c r="D2207" s="18"/>
    </row>
    <row r="2208" spans="1:4" ht="15.75" customHeight="1" thickBot="1" x14ac:dyDescent="0.3">
      <c r="A2208" s="4"/>
      <c r="B2208" s="303"/>
      <c r="C2208" s="304"/>
      <c r="D2208" s="18"/>
    </row>
    <row r="2209" spans="1:4" ht="15.75" customHeight="1" thickBot="1" x14ac:dyDescent="0.3">
      <c r="A2209" s="4"/>
      <c r="B2209" s="303"/>
      <c r="C2209" s="304"/>
      <c r="D2209" s="18"/>
    </row>
    <row r="2210" spans="1:4" ht="15.75" customHeight="1" thickBot="1" x14ac:dyDescent="0.3">
      <c r="A2210" s="4"/>
      <c r="B2210" s="303"/>
      <c r="C2210" s="304"/>
      <c r="D2210" s="18"/>
    </row>
    <row r="2211" spans="1:4" ht="15.75" customHeight="1" thickBot="1" x14ac:dyDescent="0.3">
      <c r="A2211" s="4"/>
      <c r="B2211" s="303"/>
      <c r="C2211" s="304"/>
      <c r="D2211" s="18"/>
    </row>
    <row r="2212" spans="1:4" ht="15.75" customHeight="1" thickBot="1" x14ac:dyDescent="0.3">
      <c r="A2212" s="4"/>
      <c r="B2212" s="303"/>
      <c r="C2212" s="304"/>
      <c r="D2212" s="18"/>
    </row>
    <row r="2213" spans="1:4" ht="15.75" customHeight="1" thickBot="1" x14ac:dyDescent="0.3">
      <c r="A2213" s="4"/>
      <c r="B2213" s="303"/>
      <c r="C2213" s="304"/>
      <c r="D2213" s="18"/>
    </row>
    <row r="2214" spans="1:4" ht="15.75" customHeight="1" thickBot="1" x14ac:dyDescent="0.3">
      <c r="A2214" s="4"/>
      <c r="B2214" s="303"/>
      <c r="C2214" s="304"/>
      <c r="D2214" s="18"/>
    </row>
    <row r="2215" spans="1:4" ht="15.75" customHeight="1" thickBot="1" x14ac:dyDescent="0.3">
      <c r="A2215" s="2"/>
      <c r="B2215" s="3"/>
      <c r="C2215" s="2"/>
      <c r="D2215" s="1"/>
    </row>
    <row r="2216" spans="1:4" ht="15.75" customHeight="1" thickBot="1" x14ac:dyDescent="0.3">
      <c r="A2216" s="300"/>
      <c r="B2216" s="301"/>
      <c r="C2216" s="301"/>
      <c r="D2216" s="302"/>
    </row>
    <row r="2217" spans="1:4" ht="15.75" customHeight="1" x14ac:dyDescent="0.25">
      <c r="A2217" s="5"/>
      <c r="B2217" s="6"/>
      <c r="C2217" s="7"/>
      <c r="D2217" s="8"/>
    </row>
    <row r="2218" spans="1:4" ht="15.75" customHeight="1" thickBot="1" x14ac:dyDescent="0.3">
      <c r="A2218" s="9"/>
      <c r="B2218" s="10"/>
      <c r="C2218" s="10"/>
      <c r="D2218" s="11"/>
    </row>
    <row r="2219" spans="1:4" ht="15.75" customHeight="1" thickBot="1" x14ac:dyDescent="0.3">
      <c r="A2219" s="15"/>
      <c r="B2219" s="16"/>
      <c r="C2219" s="21"/>
      <c r="D2219" s="16"/>
    </row>
    <row r="2220" spans="1:4" ht="15.75" customHeight="1" thickBot="1" x14ac:dyDescent="0.3">
      <c r="A2220" s="12"/>
      <c r="B2220" s="305"/>
      <c r="C2220" s="306"/>
      <c r="D2220" s="54"/>
    </row>
    <row r="2221" spans="1:4" ht="15.75" customHeight="1" thickBot="1" x14ac:dyDescent="0.3">
      <c r="A2221" s="38"/>
      <c r="B2221" s="45"/>
      <c r="C2221" s="45"/>
      <c r="D2221" s="45"/>
    </row>
    <row r="2222" spans="1:4" ht="15.75" customHeight="1" thickBot="1" x14ac:dyDescent="0.3">
      <c r="A2222" s="19"/>
      <c r="B2222" s="20"/>
      <c r="C2222" s="50"/>
      <c r="D2222" s="51"/>
    </row>
    <row r="2223" spans="1:4" ht="15.75" customHeight="1" thickBot="1" x14ac:dyDescent="0.3">
      <c r="A2223" s="19"/>
      <c r="B2223" s="20"/>
      <c r="C2223" s="52"/>
      <c r="D2223" s="53"/>
    </row>
    <row r="2224" spans="1:4" ht="15.75" customHeight="1" thickBot="1" x14ac:dyDescent="0.3">
      <c r="A2224" s="19"/>
      <c r="B2224" s="20"/>
      <c r="C2224" s="13"/>
      <c r="D2224" s="14"/>
    </row>
    <row r="2225" spans="1:4" ht="15.75" customHeight="1" thickBot="1" x14ac:dyDescent="0.3">
      <c r="A2225" s="2"/>
      <c r="B2225" s="3"/>
      <c r="C2225" s="2"/>
      <c r="D2225" s="1"/>
    </row>
    <row r="2226" spans="1:4" ht="15.75" customHeight="1" thickBot="1" x14ac:dyDescent="0.3">
      <c r="A2226" s="4"/>
      <c r="B2226" s="303"/>
      <c r="C2226" s="304"/>
      <c r="D2226" s="4"/>
    </row>
    <row r="2227" spans="1:4" ht="15.75" customHeight="1" thickBot="1" x14ac:dyDescent="0.3">
      <c r="A2227" s="4"/>
      <c r="B2227" s="303"/>
      <c r="C2227" s="304"/>
      <c r="D2227" s="18"/>
    </row>
    <row r="2228" spans="1:4" ht="15.75" customHeight="1" thickBot="1" x14ac:dyDescent="0.3">
      <c r="A2228" s="4"/>
      <c r="B2228" s="303"/>
      <c r="C2228" s="304"/>
      <c r="D2228" s="18"/>
    </row>
    <row r="2229" spans="1:4" ht="15.75" customHeight="1" thickBot="1" x14ac:dyDescent="0.3">
      <c r="A2229" s="4"/>
      <c r="B2229" s="303"/>
      <c r="C2229" s="304"/>
      <c r="D2229" s="18"/>
    </row>
    <row r="2230" spans="1:4" ht="15.75" customHeight="1" thickBot="1" x14ac:dyDescent="0.3">
      <c r="A2230" s="4"/>
      <c r="B2230" s="303"/>
      <c r="C2230" s="304"/>
      <c r="D2230" s="18"/>
    </row>
    <row r="2231" spans="1:4" ht="15.75" customHeight="1" thickBot="1" x14ac:dyDescent="0.3">
      <c r="A2231" s="4"/>
      <c r="B2231" s="303"/>
      <c r="C2231" s="304"/>
      <c r="D2231" s="18"/>
    </row>
    <row r="2232" spans="1:4" ht="15.75" customHeight="1" thickBot="1" x14ac:dyDescent="0.3">
      <c r="A2232" s="4"/>
      <c r="B2232" s="303"/>
      <c r="C2232" s="304"/>
      <c r="D2232" s="18"/>
    </row>
    <row r="2233" spans="1:4" ht="15.75" customHeight="1" thickBot="1" x14ac:dyDescent="0.3">
      <c r="A2233" s="4"/>
      <c r="B2233" s="303"/>
      <c r="C2233" s="304"/>
      <c r="D2233" s="18"/>
    </row>
    <row r="2234" spans="1:4" ht="15.75" customHeight="1" thickBot="1" x14ac:dyDescent="0.3">
      <c r="A2234" s="4"/>
      <c r="B2234" s="303"/>
      <c r="C2234" s="304"/>
      <c r="D2234" s="18"/>
    </row>
    <row r="2235" spans="1:4" ht="15.75" customHeight="1" thickBot="1" x14ac:dyDescent="0.3">
      <c r="A2235" s="2"/>
      <c r="B2235" s="3"/>
      <c r="C2235" s="2"/>
      <c r="D2235" s="1"/>
    </row>
    <row r="2236" spans="1:4" ht="15.75" customHeight="1" thickBot="1" x14ac:dyDescent="0.3">
      <c r="A2236" s="300"/>
      <c r="B2236" s="301"/>
      <c r="C2236" s="301"/>
      <c r="D2236" s="302"/>
    </row>
    <row r="2237" spans="1:4" ht="15.75" customHeight="1" x14ac:dyDescent="0.25">
      <c r="A2237" s="5"/>
      <c r="B2237" s="6"/>
      <c r="C2237" s="7"/>
      <c r="D2237" s="8"/>
    </row>
    <row r="2238" spans="1:4" ht="15.75" customHeight="1" thickBot="1" x14ac:dyDescent="0.3">
      <c r="A2238" s="9"/>
      <c r="B2238" s="10"/>
      <c r="C2238" s="10"/>
      <c r="D2238" s="11"/>
    </row>
    <row r="2239" spans="1:4" ht="15.75" customHeight="1" thickBot="1" x14ac:dyDescent="0.3">
      <c r="A2239" s="15"/>
      <c r="B2239" s="16"/>
      <c r="C2239" s="21"/>
      <c r="D2239" s="16"/>
    </row>
    <row r="2240" spans="1:4" ht="15.75" customHeight="1" thickBot="1" x14ac:dyDescent="0.3">
      <c r="A2240" s="12"/>
      <c r="B2240" s="305"/>
      <c r="C2240" s="306"/>
      <c r="D2240" s="54"/>
    </row>
    <row r="2241" spans="1:4" ht="15.75" customHeight="1" thickBot="1" x14ac:dyDescent="0.3">
      <c r="A2241" s="38"/>
      <c r="B2241" s="45"/>
      <c r="C2241" s="45"/>
      <c r="D2241" s="45"/>
    </row>
    <row r="2242" spans="1:4" ht="15.75" customHeight="1" thickBot="1" x14ac:dyDescent="0.3">
      <c r="A2242" s="19"/>
      <c r="B2242" s="20"/>
      <c r="C2242" s="50"/>
      <c r="D2242" s="51"/>
    </row>
    <row r="2243" spans="1:4" ht="15.75" customHeight="1" thickBot="1" x14ac:dyDescent="0.3">
      <c r="A2243" s="19"/>
      <c r="B2243" s="20"/>
      <c r="C2243" s="52"/>
      <c r="D2243" s="53"/>
    </row>
    <row r="2244" spans="1:4" ht="15.75" customHeight="1" thickBot="1" x14ac:dyDescent="0.3">
      <c r="A2244" s="19"/>
      <c r="B2244" s="20"/>
      <c r="C2244" s="13"/>
      <c r="D2244" s="14"/>
    </row>
    <row r="2245" spans="1:4" ht="15.75" customHeight="1" thickBot="1" x14ac:dyDescent="0.3">
      <c r="A2245" s="2"/>
      <c r="B2245" s="3"/>
      <c r="C2245" s="2"/>
      <c r="D2245" s="1"/>
    </row>
    <row r="2246" spans="1:4" ht="15.75" customHeight="1" thickBot="1" x14ac:dyDescent="0.3">
      <c r="A2246" s="4"/>
      <c r="B2246" s="303"/>
      <c r="C2246" s="304"/>
      <c r="D2246" s="4"/>
    </row>
    <row r="2247" spans="1:4" ht="15.75" customHeight="1" thickBot="1" x14ac:dyDescent="0.3">
      <c r="A2247" s="4"/>
      <c r="B2247" s="303"/>
      <c r="C2247" s="304"/>
      <c r="D2247" s="18"/>
    </row>
    <row r="2248" spans="1:4" ht="15.75" customHeight="1" thickBot="1" x14ac:dyDescent="0.3">
      <c r="A2248" s="4"/>
      <c r="B2248" s="303"/>
      <c r="C2248" s="304"/>
      <c r="D2248" s="18"/>
    </row>
    <row r="2249" spans="1:4" ht="15.75" customHeight="1" thickBot="1" x14ac:dyDescent="0.3">
      <c r="A2249" s="4"/>
      <c r="B2249" s="303"/>
      <c r="C2249" s="304"/>
      <c r="D2249" s="18"/>
    </row>
    <row r="2250" spans="1:4" ht="15.75" customHeight="1" thickBot="1" x14ac:dyDescent="0.3">
      <c r="A2250" s="4"/>
      <c r="B2250" s="303"/>
      <c r="C2250" s="304"/>
      <c r="D2250" s="18"/>
    </row>
    <row r="2251" spans="1:4" ht="15.75" customHeight="1" thickBot="1" x14ac:dyDescent="0.3">
      <c r="A2251" s="4"/>
      <c r="B2251" s="303"/>
      <c r="C2251" s="304"/>
      <c r="D2251" s="18"/>
    </row>
    <row r="2252" spans="1:4" ht="15.75" customHeight="1" thickBot="1" x14ac:dyDescent="0.3">
      <c r="A2252" s="4"/>
      <c r="B2252" s="303"/>
      <c r="C2252" s="304"/>
      <c r="D2252" s="18"/>
    </row>
    <row r="2253" spans="1:4" ht="15.75" customHeight="1" thickBot="1" x14ac:dyDescent="0.3">
      <c r="A2253" s="4"/>
      <c r="B2253" s="303"/>
      <c r="C2253" s="304"/>
      <c r="D2253" s="18"/>
    </row>
    <row r="2254" spans="1:4" ht="15.75" customHeight="1" thickBot="1" x14ac:dyDescent="0.3">
      <c r="A2254" s="4"/>
      <c r="B2254" s="303"/>
      <c r="C2254" s="304"/>
      <c r="D2254" s="18"/>
    </row>
    <row r="2255" spans="1:4" ht="15.75" customHeight="1" thickBot="1" x14ac:dyDescent="0.3">
      <c r="A2255" s="2"/>
      <c r="B2255" s="3"/>
      <c r="C2255" s="2"/>
      <c r="D2255" s="1"/>
    </row>
    <row r="2256" spans="1:4" ht="15.75" customHeight="1" thickBot="1" x14ac:dyDescent="0.3">
      <c r="A2256" s="300"/>
      <c r="B2256" s="301"/>
      <c r="C2256" s="301"/>
      <c r="D2256" s="302"/>
    </row>
    <row r="2257" spans="1:4" ht="15.75" customHeight="1" x14ac:dyDescent="0.25">
      <c r="A2257" s="5"/>
      <c r="B2257" s="6"/>
      <c r="C2257" s="7"/>
      <c r="D2257" s="8"/>
    </row>
    <row r="2258" spans="1:4" ht="15.75" customHeight="1" thickBot="1" x14ac:dyDescent="0.3">
      <c r="A2258" s="9"/>
      <c r="B2258" s="10"/>
      <c r="C2258" s="10"/>
      <c r="D2258" s="11"/>
    </row>
    <row r="2259" spans="1:4" ht="15.75" customHeight="1" thickBot="1" x14ac:dyDescent="0.3">
      <c r="A2259" s="15"/>
      <c r="B2259" s="16"/>
      <c r="C2259" s="21"/>
      <c r="D2259" s="16"/>
    </row>
    <row r="2260" spans="1:4" ht="15.75" customHeight="1" thickBot="1" x14ac:dyDescent="0.3">
      <c r="A2260" s="12"/>
      <c r="B2260" s="305"/>
      <c r="C2260" s="306"/>
      <c r="D2260" s="54"/>
    </row>
    <row r="2261" spans="1:4" ht="15.75" customHeight="1" thickBot="1" x14ac:dyDescent="0.3">
      <c r="A2261" s="38"/>
      <c r="B2261" s="45"/>
      <c r="C2261" s="45"/>
      <c r="D2261" s="45"/>
    </row>
    <row r="2262" spans="1:4" ht="15.75" customHeight="1" thickBot="1" x14ac:dyDescent="0.3">
      <c r="A2262" s="19"/>
      <c r="B2262" s="20"/>
      <c r="C2262" s="50"/>
      <c r="D2262" s="51"/>
    </row>
    <row r="2263" spans="1:4" ht="15.75" customHeight="1" thickBot="1" x14ac:dyDescent="0.3">
      <c r="A2263" s="19"/>
      <c r="B2263" s="20"/>
      <c r="C2263" s="52"/>
      <c r="D2263" s="53"/>
    </row>
    <row r="2264" spans="1:4" ht="15.75" customHeight="1" thickBot="1" x14ac:dyDescent="0.3">
      <c r="A2264" s="19"/>
      <c r="B2264" s="20"/>
      <c r="C2264" s="13"/>
      <c r="D2264" s="14"/>
    </row>
    <row r="2265" spans="1:4" ht="15.75" customHeight="1" thickBot="1" x14ac:dyDescent="0.3">
      <c r="A2265" s="2"/>
      <c r="B2265" s="3"/>
      <c r="C2265" s="2"/>
      <c r="D2265" s="1"/>
    </row>
    <row r="2266" spans="1:4" ht="15.75" customHeight="1" thickBot="1" x14ac:dyDescent="0.3">
      <c r="A2266" s="4"/>
      <c r="B2266" s="303"/>
      <c r="C2266" s="304"/>
      <c r="D2266" s="4"/>
    </row>
    <row r="2267" spans="1:4" ht="15.75" customHeight="1" thickBot="1" x14ac:dyDescent="0.3">
      <c r="A2267" s="4"/>
      <c r="B2267" s="303"/>
      <c r="C2267" s="304"/>
      <c r="D2267" s="18"/>
    </row>
    <row r="2268" spans="1:4" ht="15.75" customHeight="1" thickBot="1" x14ac:dyDescent="0.3">
      <c r="A2268" s="4"/>
      <c r="B2268" s="303"/>
      <c r="C2268" s="304"/>
      <c r="D2268" s="18"/>
    </row>
    <row r="2269" spans="1:4" ht="15.75" customHeight="1" thickBot="1" x14ac:dyDescent="0.3">
      <c r="A2269" s="4"/>
      <c r="B2269" s="303"/>
      <c r="C2269" s="304"/>
      <c r="D2269" s="18"/>
    </row>
    <row r="2270" spans="1:4" ht="15.75" customHeight="1" thickBot="1" x14ac:dyDescent="0.3">
      <c r="A2270" s="4"/>
      <c r="B2270" s="303"/>
      <c r="C2270" s="304"/>
      <c r="D2270" s="18"/>
    </row>
    <row r="2271" spans="1:4" ht="15.75" customHeight="1" thickBot="1" x14ac:dyDescent="0.3">
      <c r="A2271" s="4"/>
      <c r="B2271" s="303"/>
      <c r="C2271" s="304"/>
      <c r="D2271" s="18"/>
    </row>
    <row r="2272" spans="1:4" ht="15.75" customHeight="1" thickBot="1" x14ac:dyDescent="0.3">
      <c r="A2272" s="4"/>
      <c r="B2272" s="303"/>
      <c r="C2272" s="304"/>
      <c r="D2272" s="18"/>
    </row>
    <row r="2273" spans="1:4" ht="15.75" customHeight="1" thickBot="1" x14ac:dyDescent="0.3">
      <c r="A2273" s="4"/>
      <c r="B2273" s="303"/>
      <c r="C2273" s="304"/>
      <c r="D2273" s="18"/>
    </row>
    <row r="2274" spans="1:4" ht="15.75" customHeight="1" thickBot="1" x14ac:dyDescent="0.3">
      <c r="A2274" s="4"/>
      <c r="B2274" s="303"/>
      <c r="C2274" s="304"/>
      <c r="D2274" s="18"/>
    </row>
    <row r="2275" spans="1:4" ht="15.75" customHeight="1" thickBot="1" x14ac:dyDescent="0.3">
      <c r="A2275" s="2"/>
      <c r="B2275" s="3"/>
      <c r="C2275" s="2"/>
      <c r="D2275" s="1"/>
    </row>
    <row r="2276" spans="1:4" ht="15.75" customHeight="1" thickBot="1" x14ac:dyDescent="0.3">
      <c r="A2276" s="300"/>
      <c r="B2276" s="301"/>
      <c r="C2276" s="301"/>
      <c r="D2276" s="302"/>
    </row>
    <row r="2277" spans="1:4" ht="15.75" customHeight="1" x14ac:dyDescent="0.25">
      <c r="A2277" s="5"/>
      <c r="B2277" s="6"/>
      <c r="C2277" s="7"/>
      <c r="D2277" s="8"/>
    </row>
    <row r="2278" spans="1:4" ht="15.75" customHeight="1" thickBot="1" x14ac:dyDescent="0.3">
      <c r="A2278" s="9"/>
      <c r="B2278" s="10"/>
      <c r="C2278" s="10"/>
      <c r="D2278" s="11"/>
    </row>
    <row r="2279" spans="1:4" ht="15.75" customHeight="1" thickBot="1" x14ac:dyDescent="0.3">
      <c r="A2279" s="15"/>
      <c r="B2279" s="16"/>
      <c r="C2279" s="21"/>
      <c r="D2279" s="16"/>
    </row>
    <row r="2280" spans="1:4" ht="15.75" customHeight="1" thickBot="1" x14ac:dyDescent="0.3">
      <c r="A2280" s="12"/>
      <c r="B2280" s="305"/>
      <c r="C2280" s="306"/>
      <c r="D2280" s="54"/>
    </row>
    <row r="2281" spans="1:4" ht="15.75" customHeight="1" thickBot="1" x14ac:dyDescent="0.3">
      <c r="A2281" s="38"/>
      <c r="B2281" s="45"/>
      <c r="C2281" s="45"/>
      <c r="D2281" s="45"/>
    </row>
    <row r="2282" spans="1:4" ht="15.75" customHeight="1" thickBot="1" x14ac:dyDescent="0.3">
      <c r="A2282" s="19"/>
      <c r="B2282" s="20"/>
      <c r="C2282" s="50"/>
      <c r="D2282" s="51"/>
    </row>
    <row r="2283" spans="1:4" ht="15.75" customHeight="1" thickBot="1" x14ac:dyDescent="0.3">
      <c r="A2283" s="19"/>
      <c r="B2283" s="20"/>
      <c r="C2283" s="52"/>
      <c r="D2283" s="53"/>
    </row>
    <row r="2284" spans="1:4" ht="15.75" customHeight="1" thickBot="1" x14ac:dyDescent="0.3">
      <c r="A2284" s="19"/>
      <c r="B2284" s="20"/>
      <c r="C2284" s="13"/>
      <c r="D2284" s="14"/>
    </row>
    <row r="2285" spans="1:4" ht="15.75" customHeight="1" thickBot="1" x14ac:dyDescent="0.3">
      <c r="A2285" s="2"/>
      <c r="B2285" s="3"/>
      <c r="C2285" s="2"/>
      <c r="D2285" s="1"/>
    </row>
    <row r="2286" spans="1:4" ht="15.75" customHeight="1" thickBot="1" x14ac:dyDescent="0.3">
      <c r="A2286" s="4"/>
      <c r="B2286" s="303"/>
      <c r="C2286" s="304"/>
      <c r="D2286" s="4"/>
    </row>
    <row r="2287" spans="1:4" ht="15.75" customHeight="1" thickBot="1" x14ac:dyDescent="0.3">
      <c r="A2287" s="4"/>
      <c r="B2287" s="303"/>
      <c r="C2287" s="304"/>
      <c r="D2287" s="18"/>
    </row>
    <row r="2288" spans="1:4" ht="15.75" customHeight="1" thickBot="1" x14ac:dyDescent="0.3">
      <c r="A2288" s="4"/>
      <c r="B2288" s="303"/>
      <c r="C2288" s="304"/>
      <c r="D2288" s="18"/>
    </row>
    <row r="2289" spans="1:4" ht="15.75" customHeight="1" thickBot="1" x14ac:dyDescent="0.3">
      <c r="A2289" s="4"/>
      <c r="B2289" s="303"/>
      <c r="C2289" s="304"/>
      <c r="D2289" s="18"/>
    </row>
    <row r="2290" spans="1:4" ht="15.75" customHeight="1" thickBot="1" x14ac:dyDescent="0.3">
      <c r="A2290" s="4"/>
      <c r="B2290" s="303"/>
      <c r="C2290" s="304"/>
      <c r="D2290" s="18"/>
    </row>
    <row r="2291" spans="1:4" ht="15.75" customHeight="1" thickBot="1" x14ac:dyDescent="0.3">
      <c r="A2291" s="4"/>
      <c r="B2291" s="303"/>
      <c r="C2291" s="304"/>
      <c r="D2291" s="18"/>
    </row>
    <row r="2292" spans="1:4" ht="15.75" customHeight="1" thickBot="1" x14ac:dyDescent="0.3">
      <c r="A2292" s="4"/>
      <c r="B2292" s="303"/>
      <c r="C2292" s="304"/>
      <c r="D2292" s="18"/>
    </row>
    <row r="2293" spans="1:4" ht="15.75" customHeight="1" thickBot="1" x14ac:dyDescent="0.3">
      <c r="A2293" s="4"/>
      <c r="B2293" s="303"/>
      <c r="C2293" s="304"/>
      <c r="D2293" s="18"/>
    </row>
    <row r="2294" spans="1:4" ht="15.75" customHeight="1" thickBot="1" x14ac:dyDescent="0.3">
      <c r="A2294" s="4"/>
      <c r="B2294" s="303"/>
      <c r="C2294" s="304"/>
      <c r="D2294" s="18"/>
    </row>
    <row r="2295" spans="1:4" ht="15.75" customHeight="1" thickBot="1" x14ac:dyDescent="0.3">
      <c r="A2295" s="2"/>
      <c r="B2295" s="3"/>
      <c r="C2295" s="2"/>
      <c r="D2295" s="1"/>
    </row>
    <row r="2296" spans="1:4" ht="15.75" customHeight="1" thickBot="1" x14ac:dyDescent="0.3">
      <c r="A2296" s="300"/>
      <c r="B2296" s="301"/>
      <c r="C2296" s="301"/>
      <c r="D2296" s="302"/>
    </row>
    <row r="2297" spans="1:4" ht="15.75" customHeight="1" x14ac:dyDescent="0.25">
      <c r="A2297" s="5"/>
      <c r="B2297" s="6"/>
      <c r="C2297" s="7"/>
      <c r="D2297" s="8"/>
    </row>
    <row r="2298" spans="1:4" ht="15.75" customHeight="1" thickBot="1" x14ac:dyDescent="0.3">
      <c r="A2298" s="9"/>
      <c r="B2298" s="10"/>
      <c r="C2298" s="10"/>
      <c r="D2298" s="11"/>
    </row>
    <row r="2299" spans="1:4" ht="15.75" customHeight="1" thickBot="1" x14ac:dyDescent="0.3">
      <c r="A2299" s="15"/>
      <c r="B2299" s="16"/>
      <c r="C2299" s="21"/>
      <c r="D2299" s="16"/>
    </row>
    <row r="2300" spans="1:4" ht="15.75" customHeight="1" thickBot="1" x14ac:dyDescent="0.3">
      <c r="A2300" s="12"/>
      <c r="B2300" s="305"/>
      <c r="C2300" s="306"/>
      <c r="D2300" s="54"/>
    </row>
    <row r="2301" spans="1:4" ht="15.75" customHeight="1" thickBot="1" x14ac:dyDescent="0.3">
      <c r="A2301" s="38"/>
      <c r="B2301" s="45"/>
      <c r="C2301" s="45"/>
      <c r="D2301" s="45"/>
    </row>
    <row r="2302" spans="1:4" ht="15.75" customHeight="1" thickBot="1" x14ac:dyDescent="0.3">
      <c r="A2302" s="19"/>
      <c r="B2302" s="20"/>
      <c r="C2302" s="50"/>
      <c r="D2302" s="51"/>
    </row>
    <row r="2303" spans="1:4" ht="15.75" customHeight="1" thickBot="1" x14ac:dyDescent="0.3">
      <c r="A2303" s="19"/>
      <c r="B2303" s="20"/>
      <c r="C2303" s="52"/>
      <c r="D2303" s="53"/>
    </row>
    <row r="2304" spans="1:4" ht="15.75" customHeight="1" thickBot="1" x14ac:dyDescent="0.3">
      <c r="A2304" s="19"/>
      <c r="B2304" s="20"/>
      <c r="C2304" s="13"/>
      <c r="D2304" s="14"/>
    </row>
    <row r="2305" spans="1:4" ht="15.75" customHeight="1" thickBot="1" x14ac:dyDescent="0.3">
      <c r="A2305" s="2"/>
      <c r="B2305" s="3"/>
      <c r="C2305" s="2"/>
      <c r="D2305" s="1"/>
    </row>
    <row r="2306" spans="1:4" ht="15.75" customHeight="1" thickBot="1" x14ac:dyDescent="0.3">
      <c r="A2306" s="4"/>
      <c r="B2306" s="303"/>
      <c r="C2306" s="304"/>
      <c r="D2306" s="4"/>
    </row>
    <row r="2307" spans="1:4" ht="15.75" customHeight="1" thickBot="1" x14ac:dyDescent="0.3">
      <c r="A2307" s="4"/>
      <c r="B2307" s="303"/>
      <c r="C2307" s="304"/>
      <c r="D2307" s="18"/>
    </row>
    <row r="2308" spans="1:4" ht="15.75" customHeight="1" thickBot="1" x14ac:dyDescent="0.3">
      <c r="A2308" s="4"/>
      <c r="B2308" s="303"/>
      <c r="C2308" s="304"/>
      <c r="D2308" s="18"/>
    </row>
    <row r="2309" spans="1:4" ht="15.75" customHeight="1" thickBot="1" x14ac:dyDescent="0.3">
      <c r="A2309" s="4"/>
      <c r="B2309" s="303"/>
      <c r="C2309" s="304"/>
      <c r="D2309" s="18"/>
    </row>
    <row r="2310" spans="1:4" ht="15.75" customHeight="1" thickBot="1" x14ac:dyDescent="0.3">
      <c r="A2310" s="4"/>
      <c r="B2310" s="303"/>
      <c r="C2310" s="304"/>
      <c r="D2310" s="18"/>
    </row>
    <row r="2311" spans="1:4" ht="15.75" customHeight="1" thickBot="1" x14ac:dyDescent="0.3">
      <c r="A2311" s="4"/>
      <c r="B2311" s="303"/>
      <c r="C2311" s="304"/>
      <c r="D2311" s="18"/>
    </row>
    <row r="2312" spans="1:4" ht="15.75" customHeight="1" thickBot="1" x14ac:dyDescent="0.3">
      <c r="A2312" s="4"/>
      <c r="B2312" s="303"/>
      <c r="C2312" s="304"/>
      <c r="D2312" s="18"/>
    </row>
    <row r="2313" spans="1:4" ht="15.75" customHeight="1" thickBot="1" x14ac:dyDescent="0.3">
      <c r="A2313" s="4"/>
      <c r="B2313" s="303"/>
      <c r="C2313" s="304"/>
      <c r="D2313" s="18"/>
    </row>
    <row r="2314" spans="1:4" ht="15.75" customHeight="1" thickBot="1" x14ac:dyDescent="0.3">
      <c r="A2314" s="4"/>
      <c r="B2314" s="303"/>
      <c r="C2314" s="304"/>
      <c r="D2314" s="18"/>
    </row>
    <row r="2315" spans="1:4" ht="15.75" customHeight="1" thickBot="1" x14ac:dyDescent="0.3">
      <c r="A2315" s="2"/>
      <c r="B2315" s="3"/>
      <c r="C2315" s="2"/>
      <c r="D2315" s="1"/>
    </row>
    <row r="2316" spans="1:4" ht="15.75" customHeight="1" thickBot="1" x14ac:dyDescent="0.3">
      <c r="A2316" s="300"/>
      <c r="B2316" s="301"/>
      <c r="C2316" s="301"/>
      <c r="D2316" s="302"/>
    </row>
    <row r="2317" spans="1:4" ht="15.75" customHeight="1" x14ac:dyDescent="0.25">
      <c r="A2317" s="5"/>
      <c r="B2317" s="6"/>
      <c r="C2317" s="7"/>
      <c r="D2317" s="8"/>
    </row>
    <row r="2318" spans="1:4" ht="15.75" customHeight="1" thickBot="1" x14ac:dyDescent="0.3">
      <c r="A2318" s="9"/>
      <c r="B2318" s="10"/>
      <c r="C2318" s="10"/>
      <c r="D2318" s="11"/>
    </row>
    <row r="2319" spans="1:4" ht="15.75" customHeight="1" thickBot="1" x14ac:dyDescent="0.3">
      <c r="A2319" s="15"/>
      <c r="B2319" s="16"/>
      <c r="C2319" s="21"/>
      <c r="D2319" s="16"/>
    </row>
    <row r="2320" spans="1:4" ht="15.75" customHeight="1" thickBot="1" x14ac:dyDescent="0.3">
      <c r="A2320" s="12"/>
      <c r="B2320" s="305"/>
      <c r="C2320" s="306"/>
      <c r="D2320" s="54"/>
    </row>
    <row r="2321" spans="1:4" ht="15.75" customHeight="1" thickBot="1" x14ac:dyDescent="0.3">
      <c r="A2321" s="38"/>
      <c r="B2321" s="45"/>
      <c r="C2321" s="45"/>
      <c r="D2321" s="45"/>
    </row>
    <row r="2322" spans="1:4" ht="15.75" customHeight="1" thickBot="1" x14ac:dyDescent="0.3">
      <c r="A2322" s="19"/>
      <c r="B2322" s="20"/>
      <c r="C2322" s="50"/>
      <c r="D2322" s="51"/>
    </row>
    <row r="2323" spans="1:4" ht="15.75" customHeight="1" thickBot="1" x14ac:dyDescent="0.3">
      <c r="A2323" s="19"/>
      <c r="B2323" s="20"/>
      <c r="C2323" s="52"/>
      <c r="D2323" s="53"/>
    </row>
    <row r="2324" spans="1:4" ht="15.75" customHeight="1" thickBot="1" x14ac:dyDescent="0.3">
      <c r="A2324" s="19"/>
      <c r="B2324" s="20"/>
      <c r="C2324" s="13"/>
      <c r="D2324" s="14"/>
    </row>
    <row r="2325" spans="1:4" ht="15.75" customHeight="1" thickBot="1" x14ac:dyDescent="0.3">
      <c r="A2325" s="2"/>
      <c r="B2325" s="3"/>
      <c r="C2325" s="2"/>
      <c r="D2325" s="1"/>
    </row>
    <row r="2326" spans="1:4" ht="15.75" customHeight="1" thickBot="1" x14ac:dyDescent="0.3">
      <c r="A2326" s="4"/>
      <c r="B2326" s="303"/>
      <c r="C2326" s="304"/>
      <c r="D2326" s="4"/>
    </row>
    <row r="2327" spans="1:4" ht="15.75" customHeight="1" thickBot="1" x14ac:dyDescent="0.3">
      <c r="A2327" s="4"/>
      <c r="B2327" s="303"/>
      <c r="C2327" s="304"/>
      <c r="D2327" s="18"/>
    </row>
    <row r="2328" spans="1:4" ht="15.75" customHeight="1" thickBot="1" x14ac:dyDescent="0.3">
      <c r="A2328" s="4"/>
      <c r="B2328" s="303"/>
      <c r="C2328" s="304"/>
      <c r="D2328" s="18"/>
    </row>
    <row r="2329" spans="1:4" ht="15.75" customHeight="1" thickBot="1" x14ac:dyDescent="0.3">
      <c r="A2329" s="4"/>
      <c r="B2329" s="303"/>
      <c r="C2329" s="304"/>
      <c r="D2329" s="18"/>
    </row>
    <row r="2330" spans="1:4" ht="15.75" customHeight="1" thickBot="1" x14ac:dyDescent="0.3">
      <c r="A2330" s="4"/>
      <c r="B2330" s="303"/>
      <c r="C2330" s="304"/>
      <c r="D2330" s="18"/>
    </row>
    <row r="2331" spans="1:4" ht="15.75" customHeight="1" thickBot="1" x14ac:dyDescent="0.3">
      <c r="A2331" s="4"/>
      <c r="B2331" s="303"/>
      <c r="C2331" s="304"/>
      <c r="D2331" s="18"/>
    </row>
    <row r="2332" spans="1:4" ht="15.75" customHeight="1" thickBot="1" x14ac:dyDescent="0.3">
      <c r="A2332" s="4"/>
      <c r="B2332" s="303"/>
      <c r="C2332" s="304"/>
      <c r="D2332" s="18"/>
    </row>
    <row r="2333" spans="1:4" ht="15.75" customHeight="1" thickBot="1" x14ac:dyDescent="0.3">
      <c r="A2333" s="4"/>
      <c r="B2333" s="303"/>
      <c r="C2333" s="304"/>
      <c r="D2333" s="18"/>
    </row>
    <row r="2334" spans="1:4" ht="15.75" customHeight="1" thickBot="1" x14ac:dyDescent="0.3">
      <c r="A2334" s="4"/>
      <c r="B2334" s="303"/>
      <c r="C2334" s="304"/>
      <c r="D2334" s="18"/>
    </row>
    <row r="2335" spans="1:4" ht="15.75" customHeight="1" thickBot="1" x14ac:dyDescent="0.3">
      <c r="A2335" s="2"/>
      <c r="B2335" s="3"/>
      <c r="C2335" s="2"/>
      <c r="D2335" s="1"/>
    </row>
    <row r="2336" spans="1:4" ht="15.75" customHeight="1" thickBot="1" x14ac:dyDescent="0.3">
      <c r="A2336" s="300"/>
      <c r="B2336" s="301"/>
      <c r="C2336" s="301"/>
      <c r="D2336" s="302"/>
    </row>
    <row r="2337" spans="1:4" ht="15.75" customHeight="1" x14ac:dyDescent="0.25">
      <c r="A2337" s="5"/>
      <c r="B2337" s="6"/>
      <c r="C2337" s="7"/>
      <c r="D2337" s="8"/>
    </row>
    <row r="2338" spans="1:4" ht="15.75" customHeight="1" thickBot="1" x14ac:dyDescent="0.3">
      <c r="A2338" s="9"/>
      <c r="B2338" s="10"/>
      <c r="C2338" s="10"/>
      <c r="D2338" s="11"/>
    </row>
    <row r="2339" spans="1:4" ht="15.75" customHeight="1" thickBot="1" x14ac:dyDescent="0.3">
      <c r="A2339" s="15"/>
      <c r="B2339" s="16"/>
      <c r="C2339" s="21"/>
      <c r="D2339" s="16"/>
    </row>
    <row r="2340" spans="1:4" ht="15.75" customHeight="1" thickBot="1" x14ac:dyDescent="0.3">
      <c r="A2340" s="12"/>
      <c r="B2340" s="305"/>
      <c r="C2340" s="306"/>
      <c r="D2340" s="54"/>
    </row>
    <row r="2341" spans="1:4" ht="15.75" customHeight="1" thickBot="1" x14ac:dyDescent="0.3">
      <c r="A2341" s="38"/>
      <c r="B2341" s="45"/>
      <c r="C2341" s="45"/>
      <c r="D2341" s="45"/>
    </row>
    <row r="2342" spans="1:4" ht="15.75" customHeight="1" thickBot="1" x14ac:dyDescent="0.3">
      <c r="A2342" s="19"/>
      <c r="B2342" s="20"/>
      <c r="C2342" s="50"/>
      <c r="D2342" s="51"/>
    </row>
    <row r="2343" spans="1:4" ht="15.75" customHeight="1" thickBot="1" x14ac:dyDescent="0.3">
      <c r="A2343" s="19"/>
      <c r="B2343" s="20"/>
      <c r="C2343" s="52"/>
      <c r="D2343" s="53"/>
    </row>
    <row r="2344" spans="1:4" ht="15.75" customHeight="1" thickBot="1" x14ac:dyDescent="0.3">
      <c r="A2344" s="19"/>
      <c r="B2344" s="20"/>
      <c r="C2344" s="13"/>
      <c r="D2344" s="14"/>
    </row>
    <row r="2345" spans="1:4" ht="15.75" customHeight="1" thickBot="1" x14ac:dyDescent="0.3">
      <c r="A2345" s="2"/>
      <c r="B2345" s="3"/>
      <c r="C2345" s="2"/>
      <c r="D2345" s="1"/>
    </row>
    <row r="2346" spans="1:4" ht="15.75" customHeight="1" thickBot="1" x14ac:dyDescent="0.3">
      <c r="A2346" s="4"/>
      <c r="B2346" s="303"/>
      <c r="C2346" s="304"/>
      <c r="D2346" s="4"/>
    </row>
    <row r="2347" spans="1:4" ht="15.75" customHeight="1" thickBot="1" x14ac:dyDescent="0.3">
      <c r="A2347" s="4"/>
      <c r="B2347" s="303"/>
      <c r="C2347" s="304"/>
      <c r="D2347" s="18"/>
    </row>
    <row r="2348" spans="1:4" ht="15.75" customHeight="1" thickBot="1" x14ac:dyDescent="0.3">
      <c r="A2348" s="4"/>
      <c r="B2348" s="303"/>
      <c r="C2348" s="304"/>
      <c r="D2348" s="18"/>
    </row>
    <row r="2349" spans="1:4" ht="15.75" customHeight="1" thickBot="1" x14ac:dyDescent="0.3">
      <c r="A2349" s="4"/>
      <c r="B2349" s="303"/>
      <c r="C2349" s="304"/>
      <c r="D2349" s="18"/>
    </row>
    <row r="2350" spans="1:4" ht="15.75" customHeight="1" thickBot="1" x14ac:dyDescent="0.3">
      <c r="A2350" s="4"/>
      <c r="B2350" s="303"/>
      <c r="C2350" s="304"/>
      <c r="D2350" s="18"/>
    </row>
    <row r="2351" spans="1:4" ht="15.75" customHeight="1" thickBot="1" x14ac:dyDescent="0.3">
      <c r="A2351" s="4"/>
      <c r="B2351" s="303"/>
      <c r="C2351" s="304"/>
      <c r="D2351" s="18"/>
    </row>
    <row r="2352" spans="1:4" ht="15.75" customHeight="1" thickBot="1" x14ac:dyDescent="0.3">
      <c r="A2352" s="4"/>
      <c r="B2352" s="303"/>
      <c r="C2352" s="304"/>
      <c r="D2352" s="18"/>
    </row>
    <row r="2353" spans="1:4" ht="15.75" customHeight="1" thickBot="1" x14ac:dyDescent="0.3">
      <c r="A2353" s="4"/>
      <c r="B2353" s="303"/>
      <c r="C2353" s="304"/>
      <c r="D2353" s="18"/>
    </row>
    <row r="2354" spans="1:4" ht="15.75" customHeight="1" thickBot="1" x14ac:dyDescent="0.3">
      <c r="A2354" s="4"/>
      <c r="B2354" s="303"/>
      <c r="C2354" s="304"/>
      <c r="D2354" s="18"/>
    </row>
    <row r="2355" spans="1:4" ht="15.75" customHeight="1" thickBot="1" x14ac:dyDescent="0.3">
      <c r="A2355" s="2"/>
      <c r="B2355" s="3"/>
      <c r="C2355" s="2"/>
      <c r="D2355" s="1"/>
    </row>
    <row r="2356" spans="1:4" ht="15.75" customHeight="1" thickBot="1" x14ac:dyDescent="0.3">
      <c r="A2356" s="300"/>
      <c r="B2356" s="301"/>
      <c r="C2356" s="301"/>
      <c r="D2356" s="302"/>
    </row>
    <row r="2357" spans="1:4" ht="15.75" customHeight="1" x14ac:dyDescent="0.25">
      <c r="A2357" s="5"/>
      <c r="B2357" s="6"/>
      <c r="C2357" s="7"/>
      <c r="D2357" s="8"/>
    </row>
    <row r="2358" spans="1:4" ht="15.75" customHeight="1" thickBot="1" x14ac:dyDescent="0.3">
      <c r="A2358" s="9"/>
      <c r="B2358" s="10"/>
      <c r="C2358" s="10"/>
      <c r="D2358" s="11"/>
    </row>
    <row r="2359" spans="1:4" ht="15.75" customHeight="1" thickBot="1" x14ac:dyDescent="0.3">
      <c r="A2359" s="15"/>
      <c r="B2359" s="16"/>
      <c r="C2359" s="21"/>
      <c r="D2359" s="16"/>
    </row>
    <row r="2360" spans="1:4" ht="15.75" customHeight="1" thickBot="1" x14ac:dyDescent="0.3">
      <c r="A2360" s="12"/>
      <c r="B2360" s="305"/>
      <c r="C2360" s="306"/>
      <c r="D2360" s="54"/>
    </row>
    <row r="2361" spans="1:4" ht="15.75" customHeight="1" thickBot="1" x14ac:dyDescent="0.3">
      <c r="A2361" s="38"/>
      <c r="B2361" s="45"/>
      <c r="C2361" s="45"/>
      <c r="D2361" s="45"/>
    </row>
    <row r="2362" spans="1:4" ht="15.75" customHeight="1" thickBot="1" x14ac:dyDescent="0.3">
      <c r="A2362" s="19"/>
      <c r="B2362" s="20"/>
      <c r="C2362" s="50"/>
      <c r="D2362" s="51"/>
    </row>
    <row r="2363" spans="1:4" ht="15.75" customHeight="1" thickBot="1" x14ac:dyDescent="0.3">
      <c r="A2363" s="19"/>
      <c r="B2363" s="20"/>
      <c r="C2363" s="52"/>
      <c r="D2363" s="53"/>
    </row>
    <row r="2364" spans="1:4" ht="15.75" customHeight="1" thickBot="1" x14ac:dyDescent="0.3">
      <c r="A2364" s="19"/>
      <c r="B2364" s="20"/>
      <c r="C2364" s="13"/>
      <c r="D2364" s="14"/>
    </row>
    <row r="2365" spans="1:4" ht="15.75" customHeight="1" thickBot="1" x14ac:dyDescent="0.3">
      <c r="A2365" s="2"/>
      <c r="B2365" s="3"/>
      <c r="C2365" s="2"/>
      <c r="D2365" s="1"/>
    </row>
    <row r="2366" spans="1:4" ht="15.75" customHeight="1" thickBot="1" x14ac:dyDescent="0.3">
      <c r="A2366" s="4"/>
      <c r="B2366" s="303"/>
      <c r="C2366" s="304"/>
      <c r="D2366" s="4"/>
    </row>
    <row r="2367" spans="1:4" ht="15.75" customHeight="1" thickBot="1" x14ac:dyDescent="0.3">
      <c r="A2367" s="4"/>
      <c r="B2367" s="303"/>
      <c r="C2367" s="304"/>
      <c r="D2367" s="18"/>
    </row>
    <row r="2368" spans="1:4" ht="15.75" customHeight="1" thickBot="1" x14ac:dyDescent="0.3">
      <c r="A2368" s="4"/>
      <c r="B2368" s="303"/>
      <c r="C2368" s="304"/>
      <c r="D2368" s="18"/>
    </row>
    <row r="2369" spans="1:4" ht="15.75" customHeight="1" thickBot="1" x14ac:dyDescent="0.3">
      <c r="A2369" s="4"/>
      <c r="B2369" s="303"/>
      <c r="C2369" s="304"/>
      <c r="D2369" s="18"/>
    </row>
    <row r="2370" spans="1:4" ht="15.75" customHeight="1" thickBot="1" x14ac:dyDescent="0.3">
      <c r="A2370" s="4"/>
      <c r="B2370" s="303"/>
      <c r="C2370" s="304"/>
      <c r="D2370" s="18"/>
    </row>
    <row r="2371" spans="1:4" ht="15.75" customHeight="1" thickBot="1" x14ac:dyDescent="0.3">
      <c r="A2371" s="4"/>
      <c r="B2371" s="303"/>
      <c r="C2371" s="304"/>
      <c r="D2371" s="18"/>
    </row>
    <row r="2372" spans="1:4" ht="15.75" customHeight="1" thickBot="1" x14ac:dyDescent="0.3">
      <c r="A2372" s="4"/>
      <c r="B2372" s="303"/>
      <c r="C2372" s="304"/>
      <c r="D2372" s="18"/>
    </row>
    <row r="2373" spans="1:4" ht="15.75" customHeight="1" thickBot="1" x14ac:dyDescent="0.3">
      <c r="A2373" s="4"/>
      <c r="B2373" s="303"/>
      <c r="C2373" s="304"/>
      <c r="D2373" s="18"/>
    </row>
    <row r="2374" spans="1:4" ht="15.75" customHeight="1" thickBot="1" x14ac:dyDescent="0.3">
      <c r="A2374" s="4"/>
      <c r="B2374" s="303"/>
      <c r="C2374" s="304"/>
      <c r="D2374" s="18"/>
    </row>
    <row r="2375" spans="1:4" ht="15.75" customHeight="1" thickBot="1" x14ac:dyDescent="0.3">
      <c r="A2375" s="2"/>
      <c r="B2375" s="3"/>
      <c r="C2375" s="2"/>
      <c r="D2375" s="1"/>
    </row>
    <row r="2376" spans="1:4" ht="15.75" customHeight="1" thickBot="1" x14ac:dyDescent="0.3">
      <c r="A2376" s="300"/>
      <c r="B2376" s="301"/>
      <c r="C2376" s="301"/>
      <c r="D2376" s="302"/>
    </row>
    <row r="2377" spans="1:4" ht="15.75" customHeight="1" x14ac:dyDescent="0.25">
      <c r="A2377" s="5"/>
      <c r="B2377" s="6"/>
      <c r="C2377" s="7"/>
      <c r="D2377" s="8"/>
    </row>
    <row r="2378" spans="1:4" ht="15.75" customHeight="1" thickBot="1" x14ac:dyDescent="0.3">
      <c r="A2378" s="9"/>
      <c r="B2378" s="10"/>
      <c r="C2378" s="10"/>
      <c r="D2378" s="11"/>
    </row>
    <row r="2379" spans="1:4" ht="15.75" customHeight="1" thickBot="1" x14ac:dyDescent="0.3">
      <c r="A2379" s="15"/>
      <c r="B2379" s="16"/>
      <c r="C2379" s="21"/>
      <c r="D2379" s="16"/>
    </row>
    <row r="2380" spans="1:4" ht="15.75" customHeight="1" thickBot="1" x14ac:dyDescent="0.3">
      <c r="A2380" s="12"/>
      <c r="B2380" s="305"/>
      <c r="C2380" s="306"/>
      <c r="D2380" s="54"/>
    </row>
    <row r="2381" spans="1:4" ht="15.75" customHeight="1" thickBot="1" x14ac:dyDescent="0.3">
      <c r="A2381" s="38"/>
      <c r="B2381" s="45"/>
      <c r="C2381" s="45"/>
      <c r="D2381" s="45"/>
    </row>
    <row r="2382" spans="1:4" ht="15.75" customHeight="1" thickBot="1" x14ac:dyDescent="0.3">
      <c r="A2382" s="19"/>
      <c r="B2382" s="20"/>
      <c r="C2382" s="50"/>
      <c r="D2382" s="51"/>
    </row>
    <row r="2383" spans="1:4" ht="15.75" customHeight="1" thickBot="1" x14ac:dyDescent="0.3">
      <c r="A2383" s="19"/>
      <c r="B2383" s="20"/>
      <c r="C2383" s="52"/>
      <c r="D2383" s="53"/>
    </row>
    <row r="2384" spans="1:4" ht="15.75" customHeight="1" thickBot="1" x14ac:dyDescent="0.3">
      <c r="A2384" s="19"/>
      <c r="B2384" s="20"/>
      <c r="C2384" s="13"/>
      <c r="D2384" s="14"/>
    </row>
    <row r="2385" spans="1:4" ht="15.75" customHeight="1" thickBot="1" x14ac:dyDescent="0.3">
      <c r="A2385" s="2"/>
      <c r="B2385" s="3"/>
      <c r="C2385" s="2"/>
      <c r="D2385" s="1"/>
    </row>
    <row r="2386" spans="1:4" ht="15.75" customHeight="1" thickBot="1" x14ac:dyDescent="0.3">
      <c r="A2386" s="4"/>
      <c r="B2386" s="303"/>
      <c r="C2386" s="304"/>
      <c r="D2386" s="4"/>
    </row>
    <row r="2387" spans="1:4" ht="15.75" customHeight="1" thickBot="1" x14ac:dyDescent="0.3">
      <c r="A2387" s="4"/>
      <c r="B2387" s="303"/>
      <c r="C2387" s="304"/>
      <c r="D2387" s="18"/>
    </row>
    <row r="2388" spans="1:4" ht="15.75" customHeight="1" thickBot="1" x14ac:dyDescent="0.3">
      <c r="A2388" s="4"/>
      <c r="B2388" s="303"/>
      <c r="C2388" s="304"/>
      <c r="D2388" s="18"/>
    </row>
    <row r="2389" spans="1:4" ht="15.75" customHeight="1" thickBot="1" x14ac:dyDescent="0.3">
      <c r="A2389" s="4"/>
      <c r="B2389" s="303"/>
      <c r="C2389" s="304"/>
      <c r="D2389" s="18"/>
    </row>
    <row r="2390" spans="1:4" ht="15.75" customHeight="1" thickBot="1" x14ac:dyDescent="0.3">
      <c r="A2390" s="4"/>
      <c r="B2390" s="303"/>
      <c r="C2390" s="304"/>
      <c r="D2390" s="18"/>
    </row>
    <row r="2391" spans="1:4" ht="15.75" customHeight="1" thickBot="1" x14ac:dyDescent="0.3">
      <c r="A2391" s="4"/>
      <c r="B2391" s="303"/>
      <c r="C2391" s="304"/>
      <c r="D2391" s="18"/>
    </row>
    <row r="2392" spans="1:4" ht="15.75" customHeight="1" thickBot="1" x14ac:dyDescent="0.3">
      <c r="A2392" s="4"/>
      <c r="B2392" s="303"/>
      <c r="C2392" s="304"/>
      <c r="D2392" s="18"/>
    </row>
    <row r="2393" spans="1:4" ht="15.75" customHeight="1" thickBot="1" x14ac:dyDescent="0.3">
      <c r="A2393" s="4"/>
      <c r="B2393" s="303"/>
      <c r="C2393" s="304"/>
      <c r="D2393" s="18"/>
    </row>
    <row r="2394" spans="1:4" ht="15.75" customHeight="1" thickBot="1" x14ac:dyDescent="0.3">
      <c r="A2394" s="4"/>
      <c r="B2394" s="303"/>
      <c r="C2394" s="304"/>
      <c r="D2394" s="18"/>
    </row>
    <row r="2395" spans="1:4" ht="15.75" customHeight="1" thickBot="1" x14ac:dyDescent="0.3">
      <c r="A2395" s="2"/>
      <c r="B2395" s="3"/>
      <c r="C2395" s="2"/>
      <c r="D2395" s="1"/>
    </row>
    <row r="2396" spans="1:4" ht="15.75" customHeight="1" thickBot="1" x14ac:dyDescent="0.3">
      <c r="A2396" s="300"/>
      <c r="B2396" s="301"/>
      <c r="C2396" s="301"/>
      <c r="D2396" s="302"/>
    </row>
    <row r="2397" spans="1:4" ht="15.75" customHeight="1" x14ac:dyDescent="0.25">
      <c r="A2397" s="5"/>
      <c r="B2397" s="6"/>
      <c r="C2397" s="7"/>
      <c r="D2397" s="8"/>
    </row>
    <row r="2398" spans="1:4" ht="15.75" customHeight="1" thickBot="1" x14ac:dyDescent="0.3">
      <c r="A2398" s="9"/>
      <c r="B2398" s="10"/>
      <c r="C2398" s="10"/>
      <c r="D2398" s="11"/>
    </row>
    <row r="2399" spans="1:4" ht="15.75" customHeight="1" thickBot="1" x14ac:dyDescent="0.3">
      <c r="A2399" s="15"/>
      <c r="B2399" s="16"/>
      <c r="C2399" s="21"/>
      <c r="D2399" s="16"/>
    </row>
    <row r="2400" spans="1:4" ht="15.75" customHeight="1" thickBot="1" x14ac:dyDescent="0.3">
      <c r="A2400" s="12"/>
      <c r="B2400" s="305"/>
      <c r="C2400" s="306"/>
      <c r="D2400" s="54"/>
    </row>
    <row r="2401" spans="1:4" ht="15.75" customHeight="1" thickBot="1" x14ac:dyDescent="0.3">
      <c r="A2401" s="38"/>
      <c r="B2401" s="45"/>
      <c r="C2401" s="45"/>
      <c r="D2401" s="45"/>
    </row>
    <row r="2402" spans="1:4" ht="15.75" customHeight="1" thickBot="1" x14ac:dyDescent="0.3">
      <c r="A2402" s="19"/>
      <c r="B2402" s="20"/>
      <c r="C2402" s="50"/>
      <c r="D2402" s="51"/>
    </row>
    <row r="2403" spans="1:4" ht="15.75" customHeight="1" thickBot="1" x14ac:dyDescent="0.3">
      <c r="A2403" s="19"/>
      <c r="B2403" s="20"/>
      <c r="C2403" s="52"/>
      <c r="D2403" s="53"/>
    </row>
    <row r="2404" spans="1:4" ht="15.75" customHeight="1" thickBot="1" x14ac:dyDescent="0.3">
      <c r="A2404" s="19"/>
      <c r="B2404" s="20"/>
      <c r="C2404" s="13"/>
      <c r="D2404" s="14"/>
    </row>
    <row r="2405" spans="1:4" ht="15.75" customHeight="1" thickBot="1" x14ac:dyDescent="0.3">
      <c r="A2405" s="2"/>
      <c r="B2405" s="3"/>
      <c r="C2405" s="2"/>
      <c r="D2405" s="1"/>
    </row>
    <row r="2406" spans="1:4" ht="15.75" customHeight="1" thickBot="1" x14ac:dyDescent="0.3">
      <c r="A2406" s="4"/>
      <c r="B2406" s="303"/>
      <c r="C2406" s="304"/>
      <c r="D2406" s="4"/>
    </row>
    <row r="2407" spans="1:4" ht="15.75" customHeight="1" thickBot="1" x14ac:dyDescent="0.3">
      <c r="A2407" s="4"/>
      <c r="B2407" s="303"/>
      <c r="C2407" s="304"/>
      <c r="D2407" s="18"/>
    </row>
    <row r="2408" spans="1:4" ht="15.75" customHeight="1" thickBot="1" x14ac:dyDescent="0.3">
      <c r="A2408" s="4"/>
      <c r="B2408" s="303"/>
      <c r="C2408" s="304"/>
      <c r="D2408" s="18"/>
    </row>
    <row r="2409" spans="1:4" ht="15.75" customHeight="1" thickBot="1" x14ac:dyDescent="0.3">
      <c r="A2409" s="4"/>
      <c r="B2409" s="303"/>
      <c r="C2409" s="304"/>
      <c r="D2409" s="18"/>
    </row>
    <row r="2410" spans="1:4" ht="15.75" customHeight="1" thickBot="1" x14ac:dyDescent="0.3">
      <c r="A2410" s="4"/>
      <c r="B2410" s="303"/>
      <c r="C2410" s="304"/>
      <c r="D2410" s="18"/>
    </row>
    <row r="2411" spans="1:4" ht="15.75" customHeight="1" thickBot="1" x14ac:dyDescent="0.3">
      <c r="A2411" s="4"/>
      <c r="B2411" s="303"/>
      <c r="C2411" s="304"/>
      <c r="D2411" s="18"/>
    </row>
    <row r="2412" spans="1:4" ht="15.75" customHeight="1" thickBot="1" x14ac:dyDescent="0.3">
      <c r="A2412" s="4"/>
      <c r="B2412" s="303"/>
      <c r="C2412" s="304"/>
      <c r="D2412" s="18"/>
    </row>
    <row r="2413" spans="1:4" ht="15.75" customHeight="1" thickBot="1" x14ac:dyDescent="0.3">
      <c r="A2413" s="4"/>
      <c r="B2413" s="303"/>
      <c r="C2413" s="304"/>
      <c r="D2413" s="18"/>
    </row>
    <row r="2414" spans="1:4" ht="15.75" customHeight="1" thickBot="1" x14ac:dyDescent="0.3">
      <c r="A2414" s="4"/>
      <c r="B2414" s="303"/>
      <c r="C2414" s="304"/>
      <c r="D2414" s="18"/>
    </row>
    <row r="2415" spans="1:4" ht="15.75" customHeight="1" thickBot="1" x14ac:dyDescent="0.3">
      <c r="A2415" s="2"/>
      <c r="B2415" s="3"/>
      <c r="C2415" s="2"/>
      <c r="D2415" s="1"/>
    </row>
    <row r="2416" spans="1:4" ht="15.75" customHeight="1" thickBot="1" x14ac:dyDescent="0.3">
      <c r="A2416" s="300"/>
      <c r="B2416" s="301"/>
      <c r="C2416" s="301"/>
      <c r="D2416" s="302"/>
    </row>
    <row r="2417" spans="1:4" ht="15.75" customHeight="1" x14ac:dyDescent="0.25">
      <c r="A2417" s="5"/>
      <c r="B2417" s="6"/>
      <c r="C2417" s="7"/>
      <c r="D2417" s="8"/>
    </row>
    <row r="2418" spans="1:4" ht="15.75" customHeight="1" thickBot="1" x14ac:dyDescent="0.3">
      <c r="A2418" s="9"/>
      <c r="B2418" s="10"/>
      <c r="C2418" s="10"/>
      <c r="D2418" s="11"/>
    </row>
    <row r="2419" spans="1:4" ht="15.75" customHeight="1" thickBot="1" x14ac:dyDescent="0.3">
      <c r="A2419" s="15"/>
      <c r="B2419" s="16"/>
      <c r="C2419" s="21"/>
      <c r="D2419" s="16"/>
    </row>
    <row r="2420" spans="1:4" ht="15.75" customHeight="1" thickBot="1" x14ac:dyDescent="0.3">
      <c r="A2420" s="12"/>
      <c r="B2420" s="305"/>
      <c r="C2420" s="306"/>
      <c r="D2420" s="54"/>
    </row>
    <row r="2421" spans="1:4" ht="15.75" customHeight="1" thickBot="1" x14ac:dyDescent="0.3">
      <c r="A2421" s="38"/>
      <c r="B2421" s="45"/>
      <c r="C2421" s="45"/>
      <c r="D2421" s="45"/>
    </row>
    <row r="2422" spans="1:4" ht="15.75" customHeight="1" thickBot="1" x14ac:dyDescent="0.3">
      <c r="A2422" s="19"/>
      <c r="B2422" s="20"/>
      <c r="C2422" s="50"/>
      <c r="D2422" s="51"/>
    </row>
    <row r="2423" spans="1:4" ht="15.75" customHeight="1" thickBot="1" x14ac:dyDescent="0.3">
      <c r="A2423" s="19"/>
      <c r="B2423" s="20"/>
      <c r="C2423" s="52"/>
      <c r="D2423" s="53"/>
    </row>
    <row r="2424" spans="1:4" ht="15.75" customHeight="1" thickBot="1" x14ac:dyDescent="0.3">
      <c r="A2424" s="19"/>
      <c r="B2424" s="20"/>
      <c r="C2424" s="13"/>
      <c r="D2424" s="14"/>
    </row>
    <row r="2425" spans="1:4" ht="15.75" customHeight="1" thickBot="1" x14ac:dyDescent="0.3">
      <c r="A2425" s="2"/>
      <c r="B2425" s="3"/>
      <c r="C2425" s="2"/>
      <c r="D2425" s="1"/>
    </row>
    <row r="2426" spans="1:4" ht="15.75" customHeight="1" thickBot="1" x14ac:dyDescent="0.3">
      <c r="A2426" s="4"/>
      <c r="B2426" s="303"/>
      <c r="C2426" s="304"/>
      <c r="D2426" s="4"/>
    </row>
    <row r="2427" spans="1:4" ht="15.75" customHeight="1" thickBot="1" x14ac:dyDescent="0.3">
      <c r="A2427" s="4"/>
      <c r="B2427" s="303"/>
      <c r="C2427" s="304"/>
      <c r="D2427" s="18"/>
    </row>
    <row r="2428" spans="1:4" ht="15.75" customHeight="1" thickBot="1" x14ac:dyDescent="0.3">
      <c r="A2428" s="4"/>
      <c r="B2428" s="303"/>
      <c r="C2428" s="304"/>
      <c r="D2428" s="18"/>
    </row>
    <row r="2429" spans="1:4" ht="15.75" customHeight="1" thickBot="1" x14ac:dyDescent="0.3">
      <c r="A2429" s="4"/>
      <c r="B2429" s="303"/>
      <c r="C2429" s="304"/>
      <c r="D2429" s="18"/>
    </row>
    <row r="2430" spans="1:4" ht="15.75" customHeight="1" thickBot="1" x14ac:dyDescent="0.3">
      <c r="A2430" s="4"/>
      <c r="B2430" s="303"/>
      <c r="C2430" s="304"/>
      <c r="D2430" s="18"/>
    </row>
    <row r="2431" spans="1:4" ht="15.75" customHeight="1" thickBot="1" x14ac:dyDescent="0.3">
      <c r="A2431" s="4"/>
      <c r="B2431" s="303"/>
      <c r="C2431" s="304"/>
      <c r="D2431" s="18"/>
    </row>
    <row r="2432" spans="1:4" ht="15.75" customHeight="1" thickBot="1" x14ac:dyDescent="0.3">
      <c r="A2432" s="4"/>
      <c r="B2432" s="303"/>
      <c r="C2432" s="304"/>
      <c r="D2432" s="18"/>
    </row>
    <row r="2433" spans="1:4" ht="15.75" customHeight="1" thickBot="1" x14ac:dyDescent="0.3">
      <c r="A2433" s="4"/>
      <c r="B2433" s="303"/>
      <c r="C2433" s="304"/>
      <c r="D2433" s="18"/>
    </row>
    <row r="2434" spans="1:4" ht="15.75" customHeight="1" thickBot="1" x14ac:dyDescent="0.3">
      <c r="A2434" s="4"/>
      <c r="B2434" s="303"/>
      <c r="C2434" s="304"/>
      <c r="D2434" s="18"/>
    </row>
    <row r="2435" spans="1:4" ht="15.75" customHeight="1" thickBot="1" x14ac:dyDescent="0.3">
      <c r="A2435" s="2"/>
      <c r="B2435" s="3"/>
      <c r="C2435" s="2"/>
      <c r="D2435" s="1"/>
    </row>
    <row r="2436" spans="1:4" ht="15.75" customHeight="1" thickBot="1" x14ac:dyDescent="0.3">
      <c r="A2436" s="300"/>
      <c r="B2436" s="301"/>
      <c r="C2436" s="301"/>
      <c r="D2436" s="302"/>
    </row>
    <row r="2437" spans="1:4" ht="15.75" customHeight="1" x14ac:dyDescent="0.25">
      <c r="A2437" s="5"/>
      <c r="B2437" s="6"/>
      <c r="C2437" s="7"/>
      <c r="D2437" s="8"/>
    </row>
    <row r="2438" spans="1:4" ht="15.75" customHeight="1" thickBot="1" x14ac:dyDescent="0.3">
      <c r="A2438" s="9"/>
      <c r="B2438" s="10"/>
      <c r="C2438" s="10"/>
      <c r="D2438" s="11"/>
    </row>
    <row r="2439" spans="1:4" ht="15.75" customHeight="1" thickBot="1" x14ac:dyDescent="0.3">
      <c r="A2439" s="15"/>
      <c r="B2439" s="16"/>
      <c r="C2439" s="21"/>
      <c r="D2439" s="16"/>
    </row>
    <row r="2440" spans="1:4" ht="15.75" customHeight="1" thickBot="1" x14ac:dyDescent="0.3">
      <c r="A2440" s="12"/>
      <c r="B2440" s="305"/>
      <c r="C2440" s="306"/>
      <c r="D2440" s="54"/>
    </row>
    <row r="2441" spans="1:4" ht="15.75" customHeight="1" thickBot="1" x14ac:dyDescent="0.3">
      <c r="A2441" s="38"/>
      <c r="B2441" s="45"/>
      <c r="C2441" s="45"/>
      <c r="D2441" s="45"/>
    </row>
    <row r="2442" spans="1:4" ht="15.75" customHeight="1" thickBot="1" x14ac:dyDescent="0.3">
      <c r="A2442" s="19"/>
      <c r="B2442" s="20"/>
      <c r="C2442" s="50"/>
      <c r="D2442" s="51"/>
    </row>
    <row r="2443" spans="1:4" ht="15.75" customHeight="1" thickBot="1" x14ac:dyDescent="0.3">
      <c r="A2443" s="19"/>
      <c r="B2443" s="20"/>
      <c r="C2443" s="52"/>
      <c r="D2443" s="53"/>
    </row>
    <row r="2444" spans="1:4" ht="15.75" customHeight="1" thickBot="1" x14ac:dyDescent="0.3">
      <c r="A2444" s="19"/>
      <c r="B2444" s="20"/>
      <c r="C2444" s="13"/>
      <c r="D2444" s="14"/>
    </row>
    <row r="2445" spans="1:4" ht="15.75" customHeight="1" thickBot="1" x14ac:dyDescent="0.3">
      <c r="A2445" s="2"/>
      <c r="B2445" s="3"/>
      <c r="C2445" s="2"/>
      <c r="D2445" s="1"/>
    </row>
    <row r="2446" spans="1:4" ht="15.75" customHeight="1" thickBot="1" x14ac:dyDescent="0.3">
      <c r="A2446" s="4"/>
      <c r="B2446" s="303"/>
      <c r="C2446" s="304"/>
      <c r="D2446" s="4"/>
    </row>
    <row r="2447" spans="1:4" ht="15.75" customHeight="1" thickBot="1" x14ac:dyDescent="0.3">
      <c r="A2447" s="4"/>
      <c r="B2447" s="303"/>
      <c r="C2447" s="304"/>
      <c r="D2447" s="18"/>
    </row>
    <row r="2448" spans="1:4" ht="15.75" customHeight="1" thickBot="1" x14ac:dyDescent="0.3">
      <c r="A2448" s="4"/>
      <c r="B2448" s="303"/>
      <c r="C2448" s="304"/>
      <c r="D2448" s="18"/>
    </row>
    <row r="2449" spans="1:4" ht="15.75" customHeight="1" thickBot="1" x14ac:dyDescent="0.3">
      <c r="A2449" s="4"/>
      <c r="B2449" s="303"/>
      <c r="C2449" s="304"/>
      <c r="D2449" s="18"/>
    </row>
    <row r="2450" spans="1:4" ht="15.75" customHeight="1" thickBot="1" x14ac:dyDescent="0.3">
      <c r="A2450" s="4"/>
      <c r="B2450" s="303"/>
      <c r="C2450" s="304"/>
      <c r="D2450" s="18"/>
    </row>
    <row r="2451" spans="1:4" ht="15.75" customHeight="1" thickBot="1" x14ac:dyDescent="0.3">
      <c r="A2451" s="4"/>
      <c r="B2451" s="303"/>
      <c r="C2451" s="304"/>
      <c r="D2451" s="18"/>
    </row>
    <row r="2452" spans="1:4" ht="15.75" customHeight="1" thickBot="1" x14ac:dyDescent="0.3">
      <c r="A2452" s="4"/>
      <c r="B2452" s="303"/>
      <c r="C2452" s="304"/>
      <c r="D2452" s="18"/>
    </row>
    <row r="2453" spans="1:4" ht="15.75" customHeight="1" thickBot="1" x14ac:dyDescent="0.3">
      <c r="A2453" s="4"/>
      <c r="B2453" s="303"/>
      <c r="C2453" s="304"/>
      <c r="D2453" s="18"/>
    </row>
    <row r="2454" spans="1:4" ht="15.75" customHeight="1" thickBot="1" x14ac:dyDescent="0.3">
      <c r="A2454" s="4"/>
      <c r="B2454" s="303"/>
      <c r="C2454" s="304"/>
      <c r="D2454" s="18"/>
    </row>
    <row r="2455" spans="1:4" ht="15.75" customHeight="1" thickBot="1" x14ac:dyDescent="0.3">
      <c r="A2455" s="2"/>
      <c r="B2455" s="3"/>
      <c r="C2455" s="2"/>
      <c r="D2455" s="1"/>
    </row>
    <row r="2456" spans="1:4" ht="15.75" customHeight="1" thickBot="1" x14ac:dyDescent="0.3">
      <c r="A2456" s="300"/>
      <c r="B2456" s="301"/>
      <c r="C2456" s="301"/>
      <c r="D2456" s="302"/>
    </row>
    <row r="2457" spans="1:4" ht="15.75" customHeight="1" x14ac:dyDescent="0.25">
      <c r="A2457" s="5"/>
      <c r="B2457" s="6"/>
      <c r="C2457" s="7"/>
      <c r="D2457" s="8"/>
    </row>
    <row r="2458" spans="1:4" ht="15.75" customHeight="1" thickBot="1" x14ac:dyDescent="0.3">
      <c r="A2458" s="9"/>
      <c r="B2458" s="10"/>
      <c r="C2458" s="10"/>
      <c r="D2458" s="11"/>
    </row>
    <row r="2459" spans="1:4" ht="15.75" customHeight="1" thickBot="1" x14ac:dyDescent="0.3">
      <c r="A2459" s="15"/>
      <c r="B2459" s="16"/>
      <c r="C2459" s="21"/>
      <c r="D2459" s="16"/>
    </row>
    <row r="2460" spans="1:4" ht="15.75" customHeight="1" thickBot="1" x14ac:dyDescent="0.3">
      <c r="A2460" s="12"/>
      <c r="B2460" s="305"/>
      <c r="C2460" s="306"/>
      <c r="D2460" s="54"/>
    </row>
    <row r="2461" spans="1:4" ht="15.75" customHeight="1" thickBot="1" x14ac:dyDescent="0.3">
      <c r="A2461" s="38"/>
      <c r="B2461" s="45"/>
      <c r="C2461" s="45"/>
      <c r="D2461" s="45"/>
    </row>
    <row r="2462" spans="1:4" ht="15.75" customHeight="1" thickBot="1" x14ac:dyDescent="0.3">
      <c r="A2462" s="19"/>
      <c r="B2462" s="20"/>
      <c r="C2462" s="50"/>
      <c r="D2462" s="51"/>
    </row>
    <row r="2463" spans="1:4" ht="15.75" customHeight="1" thickBot="1" x14ac:dyDescent="0.3">
      <c r="A2463" s="19"/>
      <c r="B2463" s="20"/>
      <c r="C2463" s="52"/>
      <c r="D2463" s="53"/>
    </row>
    <row r="2464" spans="1:4" ht="15.75" customHeight="1" thickBot="1" x14ac:dyDescent="0.3">
      <c r="A2464" s="19"/>
      <c r="B2464" s="20"/>
      <c r="C2464" s="13"/>
      <c r="D2464" s="14"/>
    </row>
    <row r="2465" spans="1:4" ht="15.75" customHeight="1" thickBot="1" x14ac:dyDescent="0.3">
      <c r="A2465" s="2"/>
      <c r="B2465" s="3"/>
      <c r="C2465" s="2"/>
      <c r="D2465" s="1"/>
    </row>
    <row r="2466" spans="1:4" ht="15.75" customHeight="1" thickBot="1" x14ac:dyDescent="0.3">
      <c r="A2466" s="4"/>
      <c r="B2466" s="303"/>
      <c r="C2466" s="304"/>
      <c r="D2466" s="4"/>
    </row>
    <row r="2467" spans="1:4" ht="15.75" customHeight="1" thickBot="1" x14ac:dyDescent="0.3">
      <c r="A2467" s="4"/>
      <c r="B2467" s="303"/>
      <c r="C2467" s="304"/>
      <c r="D2467" s="18"/>
    </row>
    <row r="2468" spans="1:4" ht="15.75" customHeight="1" thickBot="1" x14ac:dyDescent="0.3">
      <c r="A2468" s="4"/>
      <c r="B2468" s="303"/>
      <c r="C2468" s="304"/>
      <c r="D2468" s="18"/>
    </row>
    <row r="2469" spans="1:4" ht="15.75" customHeight="1" thickBot="1" x14ac:dyDescent="0.3">
      <c r="A2469" s="4"/>
      <c r="B2469" s="303"/>
      <c r="C2469" s="304"/>
      <c r="D2469" s="18"/>
    </row>
    <row r="2470" spans="1:4" ht="15.75" customHeight="1" thickBot="1" x14ac:dyDescent="0.3">
      <c r="A2470" s="4"/>
      <c r="B2470" s="303"/>
      <c r="C2470" s="304"/>
      <c r="D2470" s="18"/>
    </row>
    <row r="2471" spans="1:4" ht="15.75" customHeight="1" thickBot="1" x14ac:dyDescent="0.3">
      <c r="A2471" s="4"/>
      <c r="B2471" s="303"/>
      <c r="C2471" s="304"/>
      <c r="D2471" s="18"/>
    </row>
    <row r="2472" spans="1:4" ht="15.75" customHeight="1" thickBot="1" x14ac:dyDescent="0.3">
      <c r="A2472" s="4"/>
      <c r="B2472" s="303"/>
      <c r="C2472" s="304"/>
      <c r="D2472" s="18"/>
    </row>
    <row r="2473" spans="1:4" ht="15.75" customHeight="1" thickBot="1" x14ac:dyDescent="0.3">
      <c r="A2473" s="4"/>
      <c r="B2473" s="303"/>
      <c r="C2473" s="304"/>
      <c r="D2473" s="18"/>
    </row>
    <row r="2474" spans="1:4" ht="15.75" customHeight="1" thickBot="1" x14ac:dyDescent="0.3">
      <c r="A2474" s="4"/>
      <c r="B2474" s="303"/>
      <c r="C2474" s="304"/>
      <c r="D2474" s="18"/>
    </row>
    <row r="2475" spans="1:4" ht="15.75" customHeight="1" thickBot="1" x14ac:dyDescent="0.3">
      <c r="A2475" s="2"/>
      <c r="B2475" s="3"/>
      <c r="C2475" s="2"/>
      <c r="D2475" s="1"/>
    </row>
    <row r="2476" spans="1:4" ht="15.75" customHeight="1" thickBot="1" x14ac:dyDescent="0.3">
      <c r="A2476" s="300"/>
      <c r="B2476" s="301"/>
      <c r="C2476" s="301"/>
      <c r="D2476" s="302"/>
    </row>
    <row r="2477" spans="1:4" ht="15.75" customHeight="1" x14ac:dyDescent="0.25">
      <c r="A2477" s="5"/>
      <c r="B2477" s="6"/>
      <c r="C2477" s="7"/>
      <c r="D2477" s="8"/>
    </row>
    <row r="2478" spans="1:4" ht="15.75" customHeight="1" thickBot="1" x14ac:dyDescent="0.3">
      <c r="A2478" s="9"/>
      <c r="B2478" s="10"/>
      <c r="C2478" s="10"/>
      <c r="D2478" s="11"/>
    </row>
    <row r="2479" spans="1:4" ht="15.75" customHeight="1" thickBot="1" x14ac:dyDescent="0.3">
      <c r="A2479" s="15"/>
      <c r="B2479" s="16"/>
      <c r="C2479" s="21"/>
      <c r="D2479" s="16"/>
    </row>
    <row r="2480" spans="1:4" ht="15.75" customHeight="1" thickBot="1" x14ac:dyDescent="0.3">
      <c r="A2480" s="12"/>
      <c r="B2480" s="305"/>
      <c r="C2480" s="306"/>
      <c r="D2480" s="54"/>
    </row>
    <row r="2481" spans="1:4" ht="15.75" customHeight="1" thickBot="1" x14ac:dyDescent="0.3">
      <c r="A2481" s="38"/>
      <c r="B2481" s="45"/>
      <c r="C2481" s="45"/>
      <c r="D2481" s="45"/>
    </row>
    <row r="2482" spans="1:4" ht="15.75" customHeight="1" thickBot="1" x14ac:dyDescent="0.3">
      <c r="A2482" s="19"/>
      <c r="B2482" s="20"/>
      <c r="C2482" s="50"/>
      <c r="D2482" s="51"/>
    </row>
    <row r="2483" spans="1:4" ht="15.75" customHeight="1" thickBot="1" x14ac:dyDescent="0.3">
      <c r="A2483" s="19"/>
      <c r="B2483" s="20"/>
      <c r="C2483" s="52"/>
      <c r="D2483" s="53"/>
    </row>
    <row r="2484" spans="1:4" ht="15.75" customHeight="1" thickBot="1" x14ac:dyDescent="0.3">
      <c r="A2484" s="19"/>
      <c r="B2484" s="20"/>
      <c r="C2484" s="13"/>
      <c r="D2484" s="14"/>
    </row>
    <row r="2485" spans="1:4" ht="15.75" customHeight="1" thickBot="1" x14ac:dyDescent="0.3">
      <c r="A2485" s="2"/>
      <c r="B2485" s="3"/>
      <c r="C2485" s="2"/>
      <c r="D2485" s="1"/>
    </row>
    <row r="2486" spans="1:4" ht="15.75" customHeight="1" thickBot="1" x14ac:dyDescent="0.3">
      <c r="A2486" s="4"/>
      <c r="B2486" s="303"/>
      <c r="C2486" s="304"/>
      <c r="D2486" s="4"/>
    </row>
    <row r="2487" spans="1:4" ht="15.75" customHeight="1" thickBot="1" x14ac:dyDescent="0.3">
      <c r="A2487" s="4"/>
      <c r="B2487" s="303"/>
      <c r="C2487" s="304"/>
      <c r="D2487" s="18"/>
    </row>
    <row r="2488" spans="1:4" ht="15.75" customHeight="1" thickBot="1" x14ac:dyDescent="0.3">
      <c r="A2488" s="4"/>
      <c r="B2488" s="303"/>
      <c r="C2488" s="304"/>
      <c r="D2488" s="18"/>
    </row>
    <row r="2489" spans="1:4" ht="15.75" customHeight="1" thickBot="1" x14ac:dyDescent="0.3">
      <c r="A2489" s="4"/>
      <c r="B2489" s="303"/>
      <c r="C2489" s="304"/>
      <c r="D2489" s="18"/>
    </row>
    <row r="2490" spans="1:4" ht="15.75" customHeight="1" thickBot="1" x14ac:dyDescent="0.3">
      <c r="A2490" s="4"/>
      <c r="B2490" s="303"/>
      <c r="C2490" s="304"/>
      <c r="D2490" s="18"/>
    </row>
    <row r="2491" spans="1:4" ht="15.75" customHeight="1" thickBot="1" x14ac:dyDescent="0.3">
      <c r="A2491" s="4"/>
      <c r="B2491" s="303"/>
      <c r="C2491" s="304"/>
      <c r="D2491" s="18"/>
    </row>
    <row r="2492" spans="1:4" ht="15.75" customHeight="1" thickBot="1" x14ac:dyDescent="0.3">
      <c r="A2492" s="4"/>
      <c r="B2492" s="303"/>
      <c r="C2492" s="304"/>
      <c r="D2492" s="18"/>
    </row>
    <row r="2493" spans="1:4" ht="15.75" customHeight="1" thickBot="1" x14ac:dyDescent="0.3">
      <c r="A2493" s="4"/>
      <c r="B2493" s="303"/>
      <c r="C2493" s="304"/>
      <c r="D2493" s="18"/>
    </row>
    <row r="2494" spans="1:4" ht="15.75" customHeight="1" thickBot="1" x14ac:dyDescent="0.3">
      <c r="A2494" s="4"/>
      <c r="B2494" s="303"/>
      <c r="C2494" s="304"/>
      <c r="D2494" s="18"/>
    </row>
    <row r="2495" spans="1:4" ht="15.75" customHeight="1" thickBot="1" x14ac:dyDescent="0.3">
      <c r="A2495" s="2"/>
      <c r="B2495" s="3"/>
      <c r="C2495" s="2"/>
      <c r="D2495" s="1"/>
    </row>
    <row r="2496" spans="1:4" ht="15.75" customHeight="1" thickBot="1" x14ac:dyDescent="0.3">
      <c r="A2496" s="300"/>
      <c r="B2496" s="301"/>
      <c r="C2496" s="301"/>
      <c r="D2496" s="302"/>
    </row>
    <row r="2497" spans="1:4" ht="15.75" customHeight="1" x14ac:dyDescent="0.25">
      <c r="A2497" s="5"/>
      <c r="B2497" s="6"/>
      <c r="C2497" s="7"/>
      <c r="D2497" s="8"/>
    </row>
    <row r="2498" spans="1:4" ht="15.75" customHeight="1" thickBot="1" x14ac:dyDescent="0.3">
      <c r="A2498" s="9"/>
      <c r="B2498" s="10"/>
      <c r="C2498" s="10"/>
      <c r="D2498" s="11"/>
    </row>
    <row r="2499" spans="1:4" ht="15.75" customHeight="1" thickBot="1" x14ac:dyDescent="0.3">
      <c r="A2499" s="15"/>
      <c r="B2499" s="16"/>
      <c r="C2499" s="21"/>
      <c r="D2499" s="16"/>
    </row>
    <row r="2500" spans="1:4" ht="15.75" customHeight="1" thickBot="1" x14ac:dyDescent="0.3">
      <c r="A2500" s="12"/>
      <c r="B2500" s="305"/>
      <c r="C2500" s="306"/>
      <c r="D2500" s="54"/>
    </row>
    <row r="2501" spans="1:4" ht="15.75" customHeight="1" thickBot="1" x14ac:dyDescent="0.3">
      <c r="A2501" s="38"/>
      <c r="B2501" s="45"/>
      <c r="C2501" s="45"/>
      <c r="D2501" s="45"/>
    </row>
    <row r="2502" spans="1:4" ht="15.75" customHeight="1" thickBot="1" x14ac:dyDescent="0.3">
      <c r="A2502" s="19"/>
      <c r="B2502" s="20"/>
      <c r="C2502" s="50"/>
      <c r="D2502" s="51"/>
    </row>
    <row r="2503" spans="1:4" ht="15.75" customHeight="1" thickBot="1" x14ac:dyDescent="0.3">
      <c r="A2503" s="19"/>
      <c r="B2503" s="20"/>
      <c r="C2503" s="52"/>
      <c r="D2503" s="53"/>
    </row>
    <row r="2504" spans="1:4" ht="15.75" customHeight="1" thickBot="1" x14ac:dyDescent="0.3">
      <c r="A2504" s="19"/>
      <c r="B2504" s="20"/>
      <c r="C2504" s="13"/>
      <c r="D2504" s="14"/>
    </row>
    <row r="2505" spans="1:4" ht="15.75" customHeight="1" thickBot="1" x14ac:dyDescent="0.3">
      <c r="A2505" s="2"/>
      <c r="B2505" s="3"/>
      <c r="C2505" s="2"/>
      <c r="D2505" s="1"/>
    </row>
    <row r="2506" spans="1:4" ht="15.75" customHeight="1" thickBot="1" x14ac:dyDescent="0.3">
      <c r="A2506" s="4"/>
      <c r="B2506" s="303"/>
      <c r="C2506" s="304"/>
      <c r="D2506" s="4"/>
    </row>
    <row r="2507" spans="1:4" ht="15.75" customHeight="1" thickBot="1" x14ac:dyDescent="0.3">
      <c r="A2507" s="4"/>
      <c r="B2507" s="303"/>
      <c r="C2507" s="304"/>
      <c r="D2507" s="18"/>
    </row>
    <row r="2508" spans="1:4" ht="15.75" customHeight="1" thickBot="1" x14ac:dyDescent="0.3">
      <c r="A2508" s="4"/>
      <c r="B2508" s="303"/>
      <c r="C2508" s="304"/>
      <c r="D2508" s="18"/>
    </row>
    <row r="2509" spans="1:4" ht="15.75" customHeight="1" thickBot="1" x14ac:dyDescent="0.3">
      <c r="A2509" s="4"/>
      <c r="B2509" s="303"/>
      <c r="C2509" s="304"/>
      <c r="D2509" s="18"/>
    </row>
    <row r="2510" spans="1:4" ht="15.75" customHeight="1" thickBot="1" x14ac:dyDescent="0.3">
      <c r="A2510" s="4"/>
      <c r="B2510" s="303"/>
      <c r="C2510" s="304"/>
      <c r="D2510" s="18"/>
    </row>
    <row r="2511" spans="1:4" ht="15.75" customHeight="1" thickBot="1" x14ac:dyDescent="0.3">
      <c r="A2511" s="4"/>
      <c r="B2511" s="303"/>
      <c r="C2511" s="304"/>
      <c r="D2511" s="18"/>
    </row>
    <row r="2512" spans="1:4" ht="15.75" customHeight="1" thickBot="1" x14ac:dyDescent="0.3">
      <c r="A2512" s="4"/>
      <c r="B2512" s="303"/>
      <c r="C2512" s="304"/>
      <c r="D2512" s="18"/>
    </row>
    <row r="2513" spans="1:4" ht="15.75" customHeight="1" thickBot="1" x14ac:dyDescent="0.3">
      <c r="A2513" s="4"/>
      <c r="B2513" s="303"/>
      <c r="C2513" s="304"/>
      <c r="D2513" s="18"/>
    </row>
    <row r="2514" spans="1:4" ht="15.75" customHeight="1" thickBot="1" x14ac:dyDescent="0.3">
      <c r="A2514" s="4"/>
      <c r="B2514" s="303"/>
      <c r="C2514" s="304"/>
      <c r="D2514" s="18"/>
    </row>
    <row r="2515" spans="1:4" ht="15.75" customHeight="1" thickBot="1" x14ac:dyDescent="0.3">
      <c r="A2515" s="2"/>
      <c r="B2515" s="3"/>
      <c r="C2515" s="2"/>
      <c r="D2515" s="1"/>
    </row>
    <row r="2516" spans="1:4" ht="15.75" customHeight="1" thickBot="1" x14ac:dyDescent="0.3">
      <c r="A2516" s="300"/>
      <c r="B2516" s="301"/>
      <c r="C2516" s="301"/>
      <c r="D2516" s="302"/>
    </row>
    <row r="2517" spans="1:4" ht="15.75" customHeight="1" x14ac:dyDescent="0.25">
      <c r="A2517" s="5"/>
      <c r="B2517" s="6"/>
      <c r="C2517" s="7"/>
      <c r="D2517" s="8"/>
    </row>
    <row r="2518" spans="1:4" ht="15.75" customHeight="1" thickBot="1" x14ac:dyDescent="0.3">
      <c r="A2518" s="9"/>
      <c r="B2518" s="10"/>
      <c r="C2518" s="10"/>
      <c r="D2518" s="11"/>
    </row>
    <row r="2519" spans="1:4" ht="15.75" customHeight="1" thickBot="1" x14ac:dyDescent="0.3">
      <c r="A2519" s="15"/>
      <c r="B2519" s="16"/>
      <c r="C2519" s="21"/>
      <c r="D2519" s="16"/>
    </row>
    <row r="2520" spans="1:4" ht="15.75" customHeight="1" thickBot="1" x14ac:dyDescent="0.3">
      <c r="A2520" s="12"/>
      <c r="B2520" s="305"/>
      <c r="C2520" s="306"/>
      <c r="D2520" s="54"/>
    </row>
    <row r="2521" spans="1:4" ht="15.75" customHeight="1" thickBot="1" x14ac:dyDescent="0.3">
      <c r="A2521" s="38"/>
      <c r="B2521" s="45"/>
      <c r="C2521" s="45"/>
      <c r="D2521" s="45"/>
    </row>
    <row r="2522" spans="1:4" ht="15.75" customHeight="1" thickBot="1" x14ac:dyDescent="0.3">
      <c r="A2522" s="19"/>
      <c r="B2522" s="20"/>
      <c r="C2522" s="50"/>
      <c r="D2522" s="51"/>
    </row>
    <row r="2523" spans="1:4" ht="15.75" customHeight="1" thickBot="1" x14ac:dyDescent="0.3">
      <c r="A2523" s="19"/>
      <c r="B2523" s="20"/>
      <c r="C2523" s="52"/>
      <c r="D2523" s="53"/>
    </row>
    <row r="2524" spans="1:4" ht="15.75" customHeight="1" thickBot="1" x14ac:dyDescent="0.3">
      <c r="A2524" s="19"/>
      <c r="B2524" s="20"/>
      <c r="C2524" s="13"/>
      <c r="D2524" s="14"/>
    </row>
    <row r="2525" spans="1:4" ht="15.75" customHeight="1" thickBot="1" x14ac:dyDescent="0.3">
      <c r="A2525" s="2"/>
      <c r="B2525" s="3"/>
      <c r="C2525" s="2"/>
      <c r="D2525" s="1"/>
    </row>
    <row r="2526" spans="1:4" ht="15.75" customHeight="1" thickBot="1" x14ac:dyDescent="0.3">
      <c r="A2526" s="4"/>
      <c r="B2526" s="303"/>
      <c r="C2526" s="304"/>
      <c r="D2526" s="4"/>
    </row>
    <row r="2527" spans="1:4" ht="15.75" customHeight="1" thickBot="1" x14ac:dyDescent="0.3">
      <c r="A2527" s="4"/>
      <c r="B2527" s="303"/>
      <c r="C2527" s="304"/>
      <c r="D2527" s="18"/>
    </row>
    <row r="2528" spans="1:4" ht="15.75" customHeight="1" thickBot="1" x14ac:dyDescent="0.3">
      <c r="A2528" s="4"/>
      <c r="B2528" s="303"/>
      <c r="C2528" s="304"/>
      <c r="D2528" s="18"/>
    </row>
    <row r="2529" spans="1:4" ht="15.75" customHeight="1" thickBot="1" x14ac:dyDescent="0.3">
      <c r="A2529" s="4"/>
      <c r="B2529" s="303"/>
      <c r="C2529" s="304"/>
      <c r="D2529" s="18"/>
    </row>
    <row r="2530" spans="1:4" ht="15.75" customHeight="1" thickBot="1" x14ac:dyDescent="0.3">
      <c r="A2530" s="4"/>
      <c r="B2530" s="303"/>
      <c r="C2530" s="304"/>
      <c r="D2530" s="18"/>
    </row>
    <row r="2531" spans="1:4" ht="15.75" customHeight="1" thickBot="1" x14ac:dyDescent="0.3">
      <c r="A2531" s="4"/>
      <c r="B2531" s="303"/>
      <c r="C2531" s="304"/>
      <c r="D2531" s="18"/>
    </row>
    <row r="2532" spans="1:4" ht="15.75" customHeight="1" thickBot="1" x14ac:dyDescent="0.3">
      <c r="A2532" s="4"/>
      <c r="B2532" s="303"/>
      <c r="C2532" s="304"/>
      <c r="D2532" s="18"/>
    </row>
    <row r="2533" spans="1:4" ht="15.75" customHeight="1" thickBot="1" x14ac:dyDescent="0.3">
      <c r="A2533" s="4"/>
      <c r="B2533" s="303"/>
      <c r="C2533" s="304"/>
      <c r="D2533" s="18"/>
    </row>
    <row r="2534" spans="1:4" ht="15.75" customHeight="1" thickBot="1" x14ac:dyDescent="0.3">
      <c r="A2534" s="4"/>
      <c r="B2534" s="303"/>
      <c r="C2534" s="304"/>
      <c r="D2534" s="18"/>
    </row>
    <row r="2535" spans="1:4" ht="15.75" customHeight="1" thickBot="1" x14ac:dyDescent="0.3">
      <c r="A2535" s="2"/>
      <c r="B2535" s="3"/>
      <c r="C2535" s="2"/>
      <c r="D2535" s="1"/>
    </row>
    <row r="2536" spans="1:4" ht="15.75" customHeight="1" thickBot="1" x14ac:dyDescent="0.3">
      <c r="A2536" s="300"/>
      <c r="B2536" s="301"/>
      <c r="C2536" s="301"/>
      <c r="D2536" s="302"/>
    </row>
    <row r="2537" spans="1:4" ht="15.75" customHeight="1" x14ac:dyDescent="0.25">
      <c r="A2537" s="5"/>
      <c r="B2537" s="6"/>
      <c r="C2537" s="7"/>
      <c r="D2537" s="8"/>
    </row>
    <row r="2538" spans="1:4" ht="15.75" customHeight="1" thickBot="1" x14ac:dyDescent="0.3">
      <c r="A2538" s="9"/>
      <c r="B2538" s="10"/>
      <c r="C2538" s="10"/>
      <c r="D2538" s="11"/>
    </row>
    <row r="2539" spans="1:4" ht="15.75" customHeight="1" thickBot="1" x14ac:dyDescent="0.3">
      <c r="A2539" s="15"/>
      <c r="B2539" s="16"/>
      <c r="C2539" s="21"/>
      <c r="D2539" s="16"/>
    </row>
    <row r="2540" spans="1:4" ht="15.75" customHeight="1" thickBot="1" x14ac:dyDescent="0.3">
      <c r="A2540" s="12"/>
      <c r="B2540" s="305"/>
      <c r="C2540" s="306"/>
      <c r="D2540" s="54"/>
    </row>
    <row r="2541" spans="1:4" ht="15.75" customHeight="1" thickBot="1" x14ac:dyDescent="0.3">
      <c r="A2541" s="38"/>
      <c r="B2541" s="45"/>
      <c r="C2541" s="45"/>
      <c r="D2541" s="45"/>
    </row>
    <row r="2542" spans="1:4" ht="15.75" customHeight="1" thickBot="1" x14ac:dyDescent="0.3">
      <c r="A2542" s="19"/>
      <c r="B2542" s="20"/>
      <c r="C2542" s="50"/>
      <c r="D2542" s="51"/>
    </row>
    <row r="2543" spans="1:4" ht="15.75" customHeight="1" thickBot="1" x14ac:dyDescent="0.3">
      <c r="A2543" s="19"/>
      <c r="B2543" s="20"/>
      <c r="C2543" s="52"/>
      <c r="D2543" s="53"/>
    </row>
    <row r="2544" spans="1:4" ht="15.75" customHeight="1" thickBot="1" x14ac:dyDescent="0.3">
      <c r="A2544" s="19"/>
      <c r="B2544" s="20"/>
      <c r="C2544" s="13"/>
      <c r="D2544" s="14"/>
    </row>
    <row r="2545" spans="1:4" ht="15.75" customHeight="1" thickBot="1" x14ac:dyDescent="0.3">
      <c r="A2545" s="2"/>
      <c r="B2545" s="3"/>
      <c r="C2545" s="2"/>
      <c r="D2545" s="1"/>
    </row>
    <row r="2546" spans="1:4" ht="15.75" customHeight="1" thickBot="1" x14ac:dyDescent="0.3">
      <c r="A2546" s="4"/>
      <c r="B2546" s="303"/>
      <c r="C2546" s="304"/>
      <c r="D2546" s="4"/>
    </row>
    <row r="2547" spans="1:4" ht="15.75" customHeight="1" thickBot="1" x14ac:dyDescent="0.3">
      <c r="A2547" s="4"/>
      <c r="B2547" s="303"/>
      <c r="C2547" s="304"/>
      <c r="D2547" s="18"/>
    </row>
    <row r="2548" spans="1:4" ht="15.75" customHeight="1" thickBot="1" x14ac:dyDescent="0.3">
      <c r="A2548" s="4"/>
      <c r="B2548" s="303"/>
      <c r="C2548" s="304"/>
      <c r="D2548" s="18"/>
    </row>
    <row r="2549" spans="1:4" ht="15.75" customHeight="1" thickBot="1" x14ac:dyDescent="0.3">
      <c r="A2549" s="4"/>
      <c r="B2549" s="303"/>
      <c r="C2549" s="304"/>
      <c r="D2549" s="18"/>
    </row>
    <row r="2550" spans="1:4" ht="15.75" customHeight="1" thickBot="1" x14ac:dyDescent="0.3">
      <c r="A2550" s="4"/>
      <c r="B2550" s="303"/>
      <c r="C2550" s="304"/>
      <c r="D2550" s="18"/>
    </row>
    <row r="2551" spans="1:4" ht="15.75" customHeight="1" thickBot="1" x14ac:dyDescent="0.3">
      <c r="A2551" s="4"/>
      <c r="B2551" s="303"/>
      <c r="C2551" s="304"/>
      <c r="D2551" s="18"/>
    </row>
    <row r="2552" spans="1:4" ht="15.75" customHeight="1" thickBot="1" x14ac:dyDescent="0.3">
      <c r="A2552" s="4"/>
      <c r="B2552" s="303"/>
      <c r="C2552" s="304"/>
      <c r="D2552" s="18"/>
    </row>
    <row r="2553" spans="1:4" ht="15.75" customHeight="1" thickBot="1" x14ac:dyDescent="0.3">
      <c r="A2553" s="4"/>
      <c r="B2553" s="303"/>
      <c r="C2553" s="304"/>
      <c r="D2553" s="18"/>
    </row>
    <row r="2554" spans="1:4" ht="15.75" customHeight="1" thickBot="1" x14ac:dyDescent="0.3">
      <c r="A2554" s="4"/>
      <c r="B2554" s="303"/>
      <c r="C2554" s="304"/>
      <c r="D2554" s="18"/>
    </row>
    <row r="2555" spans="1:4" ht="15.75" customHeight="1" thickBot="1" x14ac:dyDescent="0.3">
      <c r="A2555" s="2"/>
      <c r="B2555" s="3"/>
      <c r="C2555" s="2"/>
      <c r="D2555" s="1"/>
    </row>
    <row r="2556" spans="1:4" ht="15.75" customHeight="1" thickBot="1" x14ac:dyDescent="0.3">
      <c r="A2556" s="300"/>
      <c r="B2556" s="301"/>
      <c r="C2556" s="301"/>
      <c r="D2556" s="302"/>
    </row>
    <row r="2557" spans="1:4" ht="15.75" customHeight="1" x14ac:dyDescent="0.25">
      <c r="A2557" s="5"/>
      <c r="B2557" s="6"/>
      <c r="C2557" s="7"/>
      <c r="D2557" s="8"/>
    </row>
    <row r="2558" spans="1:4" ht="15.75" customHeight="1" thickBot="1" x14ac:dyDescent="0.3">
      <c r="A2558" s="9"/>
      <c r="B2558" s="10"/>
      <c r="C2558" s="10"/>
      <c r="D2558" s="11"/>
    </row>
    <row r="2559" spans="1:4" ht="15.75" customHeight="1" thickBot="1" x14ac:dyDescent="0.3">
      <c r="A2559" s="15"/>
      <c r="B2559" s="16"/>
      <c r="C2559" s="21"/>
      <c r="D2559" s="16"/>
    </row>
    <row r="2560" spans="1:4" ht="15.75" customHeight="1" thickBot="1" x14ac:dyDescent="0.3">
      <c r="A2560" s="12"/>
      <c r="B2560" s="305"/>
      <c r="C2560" s="306"/>
      <c r="D2560" s="54"/>
    </row>
    <row r="2561" spans="1:4" ht="15.75" customHeight="1" thickBot="1" x14ac:dyDescent="0.3">
      <c r="A2561" s="38"/>
      <c r="B2561" s="45"/>
      <c r="C2561" s="45"/>
      <c r="D2561" s="45"/>
    </row>
    <row r="2562" spans="1:4" ht="15.75" customHeight="1" thickBot="1" x14ac:dyDescent="0.3">
      <c r="A2562" s="19"/>
      <c r="B2562" s="20"/>
      <c r="C2562" s="50"/>
      <c r="D2562" s="51"/>
    </row>
    <row r="2563" spans="1:4" ht="15.75" customHeight="1" thickBot="1" x14ac:dyDescent="0.3">
      <c r="A2563" s="19"/>
      <c r="B2563" s="20"/>
      <c r="C2563" s="52"/>
      <c r="D2563" s="53"/>
    </row>
    <row r="2564" spans="1:4" ht="15.75" customHeight="1" thickBot="1" x14ac:dyDescent="0.3">
      <c r="A2564" s="19"/>
      <c r="B2564" s="20"/>
      <c r="C2564" s="13"/>
      <c r="D2564" s="14"/>
    </row>
    <row r="2565" spans="1:4" ht="15.75" customHeight="1" thickBot="1" x14ac:dyDescent="0.3">
      <c r="A2565" s="2"/>
      <c r="B2565" s="3"/>
      <c r="C2565" s="2"/>
      <c r="D2565" s="1"/>
    </row>
    <row r="2566" spans="1:4" ht="15.75" customHeight="1" thickBot="1" x14ac:dyDescent="0.3">
      <c r="A2566" s="4"/>
      <c r="B2566" s="303"/>
      <c r="C2566" s="304"/>
      <c r="D2566" s="4"/>
    </row>
    <row r="2567" spans="1:4" ht="15.75" customHeight="1" thickBot="1" x14ac:dyDescent="0.3">
      <c r="A2567" s="4"/>
      <c r="B2567" s="303"/>
      <c r="C2567" s="304"/>
      <c r="D2567" s="18"/>
    </row>
    <row r="2568" spans="1:4" ht="15.75" customHeight="1" thickBot="1" x14ac:dyDescent="0.3">
      <c r="A2568" s="4"/>
      <c r="B2568" s="303"/>
      <c r="C2568" s="304"/>
      <c r="D2568" s="18"/>
    </row>
    <row r="2569" spans="1:4" ht="15.75" customHeight="1" thickBot="1" x14ac:dyDescent="0.3">
      <c r="A2569" s="4"/>
      <c r="B2569" s="303"/>
      <c r="C2569" s="304"/>
      <c r="D2569" s="18"/>
    </row>
    <row r="2570" spans="1:4" ht="15.75" customHeight="1" thickBot="1" x14ac:dyDescent="0.3">
      <c r="A2570" s="4"/>
      <c r="B2570" s="303"/>
      <c r="C2570" s="304"/>
      <c r="D2570" s="18"/>
    </row>
    <row r="2571" spans="1:4" ht="15.75" customHeight="1" thickBot="1" x14ac:dyDescent="0.3">
      <c r="A2571" s="4"/>
      <c r="B2571" s="303"/>
      <c r="C2571" s="304"/>
      <c r="D2571" s="18"/>
    </row>
    <row r="2572" spans="1:4" ht="15.75" customHeight="1" thickBot="1" x14ac:dyDescent="0.3">
      <c r="A2572" s="4"/>
      <c r="B2572" s="303"/>
      <c r="C2572" s="304"/>
      <c r="D2572" s="18"/>
    </row>
    <row r="2573" spans="1:4" ht="15.75" customHeight="1" thickBot="1" x14ac:dyDescent="0.3">
      <c r="A2573" s="4"/>
      <c r="B2573" s="303"/>
      <c r="C2573" s="304"/>
      <c r="D2573" s="18"/>
    </row>
    <row r="2574" spans="1:4" ht="15.75" customHeight="1" thickBot="1" x14ac:dyDescent="0.3">
      <c r="A2574" s="4"/>
      <c r="B2574" s="303"/>
      <c r="C2574" s="304"/>
      <c r="D2574" s="18"/>
    </row>
    <row r="2575" spans="1:4" ht="15.75" customHeight="1" thickBot="1" x14ac:dyDescent="0.3">
      <c r="A2575" s="2"/>
      <c r="B2575" s="3"/>
      <c r="C2575" s="2"/>
      <c r="D2575" s="1"/>
    </row>
    <row r="2576" spans="1:4" ht="15.75" customHeight="1" thickBot="1" x14ac:dyDescent="0.3">
      <c r="A2576" s="300"/>
      <c r="B2576" s="301"/>
      <c r="C2576" s="301"/>
      <c r="D2576" s="302"/>
    </row>
    <row r="2577" spans="1:4" ht="15.75" customHeight="1" x14ac:dyDescent="0.25">
      <c r="A2577" s="5"/>
      <c r="B2577" s="6"/>
      <c r="C2577" s="7"/>
      <c r="D2577" s="8"/>
    </row>
    <row r="2578" spans="1:4" ht="15.75" customHeight="1" thickBot="1" x14ac:dyDescent="0.3">
      <c r="A2578" s="9"/>
      <c r="B2578" s="10"/>
      <c r="C2578" s="10"/>
      <c r="D2578" s="11"/>
    </row>
    <row r="2579" spans="1:4" ht="15.75" customHeight="1" thickBot="1" x14ac:dyDescent="0.3">
      <c r="A2579" s="15"/>
      <c r="B2579" s="16"/>
      <c r="C2579" s="21"/>
      <c r="D2579" s="16"/>
    </row>
    <row r="2580" spans="1:4" ht="15.75" customHeight="1" thickBot="1" x14ac:dyDescent="0.3">
      <c r="A2580" s="12"/>
      <c r="B2580" s="305"/>
      <c r="C2580" s="306"/>
      <c r="D2580" s="54"/>
    </row>
    <row r="2581" spans="1:4" ht="15.75" customHeight="1" thickBot="1" x14ac:dyDescent="0.3">
      <c r="A2581" s="38"/>
      <c r="B2581" s="45"/>
      <c r="C2581" s="45"/>
      <c r="D2581" s="45"/>
    </row>
    <row r="2582" spans="1:4" ht="15.75" customHeight="1" thickBot="1" x14ac:dyDescent="0.3">
      <c r="A2582" s="19"/>
      <c r="B2582" s="20"/>
      <c r="C2582" s="50"/>
      <c r="D2582" s="51"/>
    </row>
    <row r="2583" spans="1:4" ht="15.75" customHeight="1" thickBot="1" x14ac:dyDescent="0.3">
      <c r="A2583" s="19"/>
      <c r="B2583" s="20"/>
      <c r="C2583" s="52"/>
      <c r="D2583" s="53"/>
    </row>
    <row r="2584" spans="1:4" ht="15.75" customHeight="1" thickBot="1" x14ac:dyDescent="0.3">
      <c r="A2584" s="19"/>
      <c r="B2584" s="20"/>
      <c r="C2584" s="13"/>
      <c r="D2584" s="14"/>
    </row>
    <row r="2585" spans="1:4" ht="15.75" customHeight="1" thickBot="1" x14ac:dyDescent="0.3">
      <c r="A2585" s="2"/>
      <c r="B2585" s="3"/>
      <c r="C2585" s="2"/>
      <c r="D2585" s="1"/>
    </row>
    <row r="2586" spans="1:4" ht="15.75" customHeight="1" thickBot="1" x14ac:dyDescent="0.3">
      <c r="A2586" s="4"/>
      <c r="B2586" s="303"/>
      <c r="C2586" s="304"/>
      <c r="D2586" s="4"/>
    </row>
    <row r="2587" spans="1:4" ht="15.75" customHeight="1" thickBot="1" x14ac:dyDescent="0.3">
      <c r="A2587" s="4"/>
      <c r="B2587" s="303"/>
      <c r="C2587" s="304"/>
      <c r="D2587" s="18"/>
    </row>
    <row r="2588" spans="1:4" ht="15.75" customHeight="1" thickBot="1" x14ac:dyDescent="0.3">
      <c r="A2588" s="4"/>
      <c r="B2588" s="303"/>
      <c r="C2588" s="304"/>
      <c r="D2588" s="18"/>
    </row>
    <row r="2589" spans="1:4" ht="15.75" customHeight="1" thickBot="1" x14ac:dyDescent="0.3">
      <c r="A2589" s="4"/>
      <c r="B2589" s="303"/>
      <c r="C2589" s="304"/>
      <c r="D2589" s="18"/>
    </row>
    <row r="2590" spans="1:4" ht="15.75" customHeight="1" thickBot="1" x14ac:dyDescent="0.3">
      <c r="A2590" s="4"/>
      <c r="B2590" s="303"/>
      <c r="C2590" s="304"/>
      <c r="D2590" s="18"/>
    </row>
    <row r="2591" spans="1:4" ht="15.75" customHeight="1" thickBot="1" x14ac:dyDescent="0.3">
      <c r="A2591" s="4"/>
      <c r="B2591" s="303"/>
      <c r="C2591" s="304"/>
      <c r="D2591" s="18"/>
    </row>
    <row r="2592" spans="1:4" ht="15.75" customHeight="1" thickBot="1" x14ac:dyDescent="0.3">
      <c r="A2592" s="4"/>
      <c r="B2592" s="303"/>
      <c r="C2592" s="304"/>
      <c r="D2592" s="18"/>
    </row>
    <row r="2593" spans="1:4" ht="15.75" customHeight="1" thickBot="1" x14ac:dyDescent="0.3">
      <c r="A2593" s="4"/>
      <c r="B2593" s="303"/>
      <c r="C2593" s="304"/>
      <c r="D2593" s="18"/>
    </row>
    <row r="2594" spans="1:4" ht="15.75" customHeight="1" thickBot="1" x14ac:dyDescent="0.3">
      <c r="A2594" s="4"/>
      <c r="B2594" s="303"/>
      <c r="C2594" s="304"/>
      <c r="D2594" s="18"/>
    </row>
    <row r="2595" spans="1:4" ht="15.75" customHeight="1" thickBot="1" x14ac:dyDescent="0.3">
      <c r="A2595" s="2"/>
      <c r="B2595" s="3"/>
      <c r="C2595" s="2"/>
      <c r="D2595" s="1"/>
    </row>
    <row r="2596" spans="1:4" ht="15.75" customHeight="1" thickBot="1" x14ac:dyDescent="0.3">
      <c r="A2596" s="300"/>
      <c r="B2596" s="301"/>
      <c r="C2596" s="301"/>
      <c r="D2596" s="302"/>
    </row>
    <row r="2597" spans="1:4" ht="15.75" customHeight="1" x14ac:dyDescent="0.25">
      <c r="A2597" s="5"/>
      <c r="B2597" s="6"/>
      <c r="C2597" s="7"/>
      <c r="D2597" s="8"/>
    </row>
    <row r="2598" spans="1:4" ht="15.75" customHeight="1" thickBot="1" x14ac:dyDescent="0.3">
      <c r="A2598" s="9"/>
      <c r="B2598" s="10"/>
      <c r="C2598" s="10"/>
      <c r="D2598" s="11"/>
    </row>
    <row r="2599" spans="1:4" ht="15.75" customHeight="1" thickBot="1" x14ac:dyDescent="0.3">
      <c r="A2599" s="15"/>
      <c r="B2599" s="16"/>
      <c r="C2599" s="21"/>
      <c r="D2599" s="16"/>
    </row>
    <row r="2600" spans="1:4" ht="15.75" customHeight="1" thickBot="1" x14ac:dyDescent="0.3">
      <c r="A2600" s="12"/>
      <c r="B2600" s="305"/>
      <c r="C2600" s="306"/>
      <c r="D2600" s="54"/>
    </row>
    <row r="2601" spans="1:4" ht="15.75" customHeight="1" thickBot="1" x14ac:dyDescent="0.3">
      <c r="A2601" s="38"/>
      <c r="B2601" s="45"/>
      <c r="C2601" s="45"/>
      <c r="D2601" s="45"/>
    </row>
    <row r="2602" spans="1:4" ht="15.75" customHeight="1" thickBot="1" x14ac:dyDescent="0.3">
      <c r="A2602" s="19"/>
      <c r="B2602" s="20"/>
      <c r="C2602" s="50"/>
      <c r="D2602" s="51"/>
    </row>
    <row r="2603" spans="1:4" ht="15.75" customHeight="1" thickBot="1" x14ac:dyDescent="0.3">
      <c r="A2603" s="19"/>
      <c r="B2603" s="20"/>
      <c r="C2603" s="52"/>
      <c r="D2603" s="53"/>
    </row>
    <row r="2604" spans="1:4" ht="15.75" customHeight="1" thickBot="1" x14ac:dyDescent="0.3">
      <c r="A2604" s="19"/>
      <c r="B2604" s="20"/>
      <c r="C2604" s="13"/>
      <c r="D2604" s="14"/>
    </row>
    <row r="2605" spans="1:4" ht="15.75" customHeight="1" thickBot="1" x14ac:dyDescent="0.3">
      <c r="A2605" s="2"/>
      <c r="B2605" s="3"/>
      <c r="C2605" s="2"/>
      <c r="D2605" s="1"/>
    </row>
    <row r="2606" spans="1:4" ht="15.75" customHeight="1" thickBot="1" x14ac:dyDescent="0.3">
      <c r="A2606" s="4"/>
      <c r="B2606" s="303"/>
      <c r="C2606" s="304"/>
      <c r="D2606" s="4"/>
    </row>
    <row r="2607" spans="1:4" ht="15.75" customHeight="1" thickBot="1" x14ac:dyDescent="0.3">
      <c r="A2607" s="4"/>
      <c r="B2607" s="303"/>
      <c r="C2607" s="304"/>
      <c r="D2607" s="18"/>
    </row>
    <row r="2608" spans="1:4" ht="15.75" customHeight="1" thickBot="1" x14ac:dyDescent="0.3">
      <c r="A2608" s="4"/>
      <c r="B2608" s="303"/>
      <c r="C2608" s="304"/>
      <c r="D2608" s="18"/>
    </row>
    <row r="2609" spans="1:4" ht="15.75" customHeight="1" thickBot="1" x14ac:dyDescent="0.3">
      <c r="A2609" s="4"/>
      <c r="B2609" s="303"/>
      <c r="C2609" s="304"/>
      <c r="D2609" s="18"/>
    </row>
    <row r="2610" spans="1:4" ht="15.75" customHeight="1" thickBot="1" x14ac:dyDescent="0.3">
      <c r="A2610" s="4"/>
      <c r="B2610" s="303"/>
      <c r="C2610" s="304"/>
      <c r="D2610" s="18"/>
    </row>
    <row r="2611" spans="1:4" ht="15.75" customHeight="1" thickBot="1" x14ac:dyDescent="0.3">
      <c r="A2611" s="4"/>
      <c r="B2611" s="303"/>
      <c r="C2611" s="304"/>
      <c r="D2611" s="18"/>
    </row>
    <row r="2612" spans="1:4" ht="15.75" customHeight="1" thickBot="1" x14ac:dyDescent="0.3">
      <c r="A2612" s="4"/>
      <c r="B2612" s="303"/>
      <c r="C2612" s="304"/>
      <c r="D2612" s="18"/>
    </row>
    <row r="2613" spans="1:4" ht="15.75" customHeight="1" thickBot="1" x14ac:dyDescent="0.3">
      <c r="A2613" s="4"/>
      <c r="B2613" s="303"/>
      <c r="C2613" s="304"/>
      <c r="D2613" s="18"/>
    </row>
    <row r="2614" spans="1:4" ht="15.75" customHeight="1" thickBot="1" x14ac:dyDescent="0.3">
      <c r="A2614" s="4"/>
      <c r="B2614" s="303"/>
      <c r="C2614" s="304"/>
      <c r="D2614" s="18"/>
    </row>
    <row r="2615" spans="1:4" ht="15.75" customHeight="1" thickBot="1" x14ac:dyDescent="0.3">
      <c r="A2615" s="2"/>
      <c r="B2615" s="3"/>
      <c r="C2615" s="2"/>
      <c r="D2615" s="1"/>
    </row>
    <row r="2616" spans="1:4" ht="15.75" customHeight="1" thickBot="1" x14ac:dyDescent="0.3">
      <c r="A2616" s="300"/>
      <c r="B2616" s="301"/>
      <c r="C2616" s="301"/>
      <c r="D2616" s="302"/>
    </row>
    <row r="2617" spans="1:4" ht="15.75" customHeight="1" x14ac:dyDescent="0.25">
      <c r="A2617" s="5"/>
      <c r="B2617" s="6"/>
      <c r="C2617" s="7"/>
      <c r="D2617" s="8"/>
    </row>
    <row r="2618" spans="1:4" ht="15.75" customHeight="1" thickBot="1" x14ac:dyDescent="0.3">
      <c r="A2618" s="9"/>
      <c r="B2618" s="10"/>
      <c r="C2618" s="10"/>
      <c r="D2618" s="11"/>
    </row>
    <row r="2619" spans="1:4" ht="15.75" customHeight="1" thickBot="1" x14ac:dyDescent="0.3">
      <c r="A2619" s="15"/>
      <c r="B2619" s="16"/>
      <c r="C2619" s="21"/>
      <c r="D2619" s="16"/>
    </row>
    <row r="2620" spans="1:4" ht="15.75" customHeight="1" thickBot="1" x14ac:dyDescent="0.3">
      <c r="A2620" s="12"/>
      <c r="B2620" s="305"/>
      <c r="C2620" s="306"/>
      <c r="D2620" s="54"/>
    </row>
    <row r="2621" spans="1:4" ht="15.75" customHeight="1" thickBot="1" x14ac:dyDescent="0.3">
      <c r="A2621" s="38"/>
      <c r="B2621" s="45"/>
      <c r="C2621" s="45"/>
      <c r="D2621" s="45"/>
    </row>
    <row r="2622" spans="1:4" ht="15.75" customHeight="1" thickBot="1" x14ac:dyDescent="0.3">
      <c r="A2622" s="19"/>
      <c r="B2622" s="20"/>
      <c r="C2622" s="50"/>
      <c r="D2622" s="51"/>
    </row>
    <row r="2623" spans="1:4" ht="15.75" customHeight="1" thickBot="1" x14ac:dyDescent="0.3">
      <c r="A2623" s="19"/>
      <c r="B2623" s="20"/>
      <c r="C2623" s="52"/>
      <c r="D2623" s="53"/>
    </row>
    <row r="2624" spans="1:4" ht="15.75" customHeight="1" thickBot="1" x14ac:dyDescent="0.3">
      <c r="A2624" s="19"/>
      <c r="B2624" s="20"/>
      <c r="C2624" s="13"/>
      <c r="D2624" s="14"/>
    </row>
    <row r="2625" spans="1:4" ht="15.75" customHeight="1" thickBot="1" x14ac:dyDescent="0.3">
      <c r="A2625" s="2"/>
      <c r="B2625" s="3"/>
      <c r="C2625" s="2"/>
      <c r="D2625" s="1"/>
    </row>
    <row r="2626" spans="1:4" ht="15.75" customHeight="1" thickBot="1" x14ac:dyDescent="0.3">
      <c r="A2626" s="4"/>
      <c r="B2626" s="303"/>
      <c r="C2626" s="304"/>
      <c r="D2626" s="4"/>
    </row>
    <row r="2627" spans="1:4" ht="15.75" customHeight="1" thickBot="1" x14ac:dyDescent="0.3">
      <c r="A2627" s="4"/>
      <c r="B2627" s="303"/>
      <c r="C2627" s="304"/>
      <c r="D2627" s="18"/>
    </row>
    <row r="2628" spans="1:4" ht="15.75" customHeight="1" thickBot="1" x14ac:dyDescent="0.3">
      <c r="A2628" s="4"/>
      <c r="B2628" s="303"/>
      <c r="C2628" s="304"/>
      <c r="D2628" s="18"/>
    </row>
    <row r="2629" spans="1:4" ht="15.75" customHeight="1" thickBot="1" x14ac:dyDescent="0.3">
      <c r="A2629" s="4"/>
      <c r="B2629" s="303"/>
      <c r="C2629" s="304"/>
      <c r="D2629" s="18"/>
    </row>
    <row r="2630" spans="1:4" ht="15.75" customHeight="1" thickBot="1" x14ac:dyDescent="0.3">
      <c r="A2630" s="4"/>
      <c r="B2630" s="303"/>
      <c r="C2630" s="304"/>
      <c r="D2630" s="18"/>
    </row>
    <row r="2631" spans="1:4" ht="15.75" customHeight="1" thickBot="1" x14ac:dyDescent="0.3">
      <c r="A2631" s="4"/>
      <c r="B2631" s="303"/>
      <c r="C2631" s="304"/>
      <c r="D2631" s="18"/>
    </row>
    <row r="2632" spans="1:4" ht="15.75" customHeight="1" thickBot="1" x14ac:dyDescent="0.3">
      <c r="A2632" s="4"/>
      <c r="B2632" s="303"/>
      <c r="C2632" s="304"/>
      <c r="D2632" s="18"/>
    </row>
    <row r="2633" spans="1:4" ht="15.75" customHeight="1" thickBot="1" x14ac:dyDescent="0.3">
      <c r="A2633" s="4"/>
      <c r="B2633" s="303"/>
      <c r="C2633" s="304"/>
      <c r="D2633" s="18"/>
    </row>
    <row r="2634" spans="1:4" ht="15.75" customHeight="1" thickBot="1" x14ac:dyDescent="0.3">
      <c r="A2634" s="4"/>
      <c r="B2634" s="303"/>
      <c r="C2634" s="304"/>
      <c r="D2634" s="18"/>
    </row>
    <row r="2635" spans="1:4" ht="15.75" customHeight="1" thickBot="1" x14ac:dyDescent="0.3">
      <c r="A2635" s="2"/>
      <c r="B2635" s="3"/>
      <c r="C2635" s="2"/>
      <c r="D2635" s="1"/>
    </row>
    <row r="2636" spans="1:4" ht="15.75" customHeight="1" thickBot="1" x14ac:dyDescent="0.3">
      <c r="A2636" s="300"/>
      <c r="B2636" s="301"/>
      <c r="C2636" s="301"/>
      <c r="D2636" s="302"/>
    </row>
    <row r="2637" spans="1:4" ht="15.75" customHeight="1" x14ac:dyDescent="0.25">
      <c r="A2637" s="5"/>
      <c r="B2637" s="6"/>
      <c r="C2637" s="7"/>
      <c r="D2637" s="8"/>
    </row>
    <row r="2638" spans="1:4" ht="15.75" customHeight="1" thickBot="1" x14ac:dyDescent="0.3">
      <c r="A2638" s="9"/>
      <c r="B2638" s="10"/>
      <c r="C2638" s="10"/>
      <c r="D2638" s="11"/>
    </row>
    <row r="2639" spans="1:4" ht="15.75" customHeight="1" thickBot="1" x14ac:dyDescent="0.3">
      <c r="A2639" s="15"/>
      <c r="B2639" s="16"/>
      <c r="C2639" s="21"/>
      <c r="D2639" s="16"/>
    </row>
    <row r="2640" spans="1:4" ht="15.75" customHeight="1" thickBot="1" x14ac:dyDescent="0.3">
      <c r="A2640" s="12"/>
      <c r="B2640" s="305"/>
      <c r="C2640" s="306"/>
      <c r="D2640" s="54"/>
    </row>
    <row r="2641" spans="1:4" ht="15.75" customHeight="1" thickBot="1" x14ac:dyDescent="0.3">
      <c r="A2641" s="38"/>
      <c r="B2641" s="45"/>
      <c r="C2641" s="45"/>
      <c r="D2641" s="45"/>
    </row>
    <row r="2642" spans="1:4" ht="15.75" customHeight="1" thickBot="1" x14ac:dyDescent="0.3">
      <c r="A2642" s="19"/>
      <c r="B2642" s="20"/>
      <c r="C2642" s="50"/>
      <c r="D2642" s="51"/>
    </row>
    <row r="2643" spans="1:4" ht="15.75" customHeight="1" thickBot="1" x14ac:dyDescent="0.3">
      <c r="A2643" s="19"/>
      <c r="B2643" s="20"/>
      <c r="C2643" s="52"/>
      <c r="D2643" s="53"/>
    </row>
    <row r="2644" spans="1:4" ht="15.75" customHeight="1" thickBot="1" x14ac:dyDescent="0.3">
      <c r="A2644" s="19"/>
      <c r="B2644" s="20"/>
      <c r="C2644" s="13"/>
      <c r="D2644" s="14"/>
    </row>
    <row r="2645" spans="1:4" ht="15.75" customHeight="1" thickBot="1" x14ac:dyDescent="0.3">
      <c r="A2645" s="2"/>
      <c r="B2645" s="3"/>
      <c r="C2645" s="2"/>
      <c r="D2645" s="1"/>
    </row>
    <row r="2646" spans="1:4" ht="15.75" customHeight="1" thickBot="1" x14ac:dyDescent="0.3">
      <c r="A2646" s="4"/>
      <c r="B2646" s="303"/>
      <c r="C2646" s="304"/>
      <c r="D2646" s="4"/>
    </row>
    <row r="2647" spans="1:4" ht="15.75" customHeight="1" thickBot="1" x14ac:dyDescent="0.3">
      <c r="A2647" s="4"/>
      <c r="B2647" s="303"/>
      <c r="C2647" s="304"/>
      <c r="D2647" s="18"/>
    </row>
    <row r="2648" spans="1:4" ht="15.75" customHeight="1" thickBot="1" x14ac:dyDescent="0.3">
      <c r="A2648" s="4"/>
      <c r="B2648" s="303"/>
      <c r="C2648" s="304"/>
      <c r="D2648" s="18"/>
    </row>
    <row r="2649" spans="1:4" ht="15.75" customHeight="1" thickBot="1" x14ac:dyDescent="0.3">
      <c r="A2649" s="4"/>
      <c r="B2649" s="303"/>
      <c r="C2649" s="304"/>
      <c r="D2649" s="18"/>
    </row>
    <row r="2650" spans="1:4" ht="15.75" customHeight="1" thickBot="1" x14ac:dyDescent="0.3">
      <c r="A2650" s="4"/>
      <c r="B2650" s="303"/>
      <c r="C2650" s="304"/>
      <c r="D2650" s="18"/>
    </row>
    <row r="2651" spans="1:4" ht="15.75" customHeight="1" thickBot="1" x14ac:dyDescent="0.3">
      <c r="A2651" s="4"/>
      <c r="B2651" s="303"/>
      <c r="C2651" s="304"/>
      <c r="D2651" s="18"/>
    </row>
    <row r="2652" spans="1:4" ht="15.75" customHeight="1" thickBot="1" x14ac:dyDescent="0.3">
      <c r="A2652" s="4"/>
      <c r="B2652" s="303"/>
      <c r="C2652" s="304"/>
      <c r="D2652" s="18"/>
    </row>
    <row r="2653" spans="1:4" ht="15.75" customHeight="1" thickBot="1" x14ac:dyDescent="0.3">
      <c r="A2653" s="4"/>
      <c r="B2653" s="303"/>
      <c r="C2653" s="304"/>
      <c r="D2653" s="18"/>
    </row>
    <row r="2654" spans="1:4" ht="15.75" customHeight="1" thickBot="1" x14ac:dyDescent="0.3">
      <c r="A2654" s="4"/>
      <c r="B2654" s="303"/>
      <c r="C2654" s="304"/>
      <c r="D2654" s="18"/>
    </row>
    <row r="2655" spans="1:4" ht="15.75" customHeight="1" thickBot="1" x14ac:dyDescent="0.3">
      <c r="A2655" s="2"/>
      <c r="B2655" s="3"/>
      <c r="C2655" s="2"/>
      <c r="D2655" s="1"/>
    </row>
    <row r="2656" spans="1:4" ht="15.75" customHeight="1" thickBot="1" x14ac:dyDescent="0.3">
      <c r="A2656" s="300"/>
      <c r="B2656" s="301"/>
      <c r="C2656" s="301"/>
      <c r="D2656" s="302"/>
    </row>
    <row r="2657" spans="1:4" ht="15.75" customHeight="1" x14ac:dyDescent="0.25">
      <c r="A2657" s="5"/>
      <c r="B2657" s="6"/>
      <c r="C2657" s="7"/>
      <c r="D2657" s="8"/>
    </row>
    <row r="2658" spans="1:4" ht="15.75" customHeight="1" thickBot="1" x14ac:dyDescent="0.3">
      <c r="A2658" s="9"/>
      <c r="B2658" s="10"/>
      <c r="C2658" s="10"/>
      <c r="D2658" s="11"/>
    </row>
    <row r="2659" spans="1:4" ht="15.75" customHeight="1" thickBot="1" x14ac:dyDescent="0.3">
      <c r="A2659" s="15"/>
      <c r="B2659" s="16"/>
      <c r="C2659" s="21"/>
      <c r="D2659" s="16"/>
    </row>
    <row r="2660" spans="1:4" ht="15.75" customHeight="1" thickBot="1" x14ac:dyDescent="0.3">
      <c r="A2660" s="12"/>
      <c r="B2660" s="305"/>
      <c r="C2660" s="306"/>
      <c r="D2660" s="54"/>
    </row>
    <row r="2661" spans="1:4" ht="15.75" customHeight="1" thickBot="1" x14ac:dyDescent="0.3">
      <c r="A2661" s="38"/>
      <c r="B2661" s="45"/>
      <c r="C2661" s="45"/>
      <c r="D2661" s="45"/>
    </row>
    <row r="2662" spans="1:4" ht="15.75" customHeight="1" thickBot="1" x14ac:dyDescent="0.3">
      <c r="A2662" s="19"/>
      <c r="B2662" s="20"/>
      <c r="C2662" s="50"/>
      <c r="D2662" s="51"/>
    </row>
    <row r="2663" spans="1:4" ht="15.75" customHeight="1" thickBot="1" x14ac:dyDescent="0.3">
      <c r="A2663" s="19"/>
      <c r="B2663" s="20"/>
      <c r="C2663" s="52"/>
      <c r="D2663" s="53"/>
    </row>
    <row r="2664" spans="1:4" ht="15.75" customHeight="1" thickBot="1" x14ac:dyDescent="0.3">
      <c r="A2664" s="19"/>
      <c r="B2664" s="20"/>
      <c r="C2664" s="13"/>
      <c r="D2664" s="14"/>
    </row>
    <row r="2665" spans="1:4" ht="15.75" customHeight="1" thickBot="1" x14ac:dyDescent="0.3">
      <c r="A2665" s="2"/>
      <c r="B2665" s="3"/>
      <c r="C2665" s="2"/>
      <c r="D2665" s="1"/>
    </row>
    <row r="2666" spans="1:4" ht="15.75" customHeight="1" thickBot="1" x14ac:dyDescent="0.3">
      <c r="A2666" s="4"/>
      <c r="B2666" s="303"/>
      <c r="C2666" s="304"/>
      <c r="D2666" s="4"/>
    </row>
    <row r="2667" spans="1:4" ht="15.75" customHeight="1" thickBot="1" x14ac:dyDescent="0.3">
      <c r="A2667" s="4"/>
      <c r="B2667" s="303"/>
      <c r="C2667" s="304"/>
      <c r="D2667" s="18"/>
    </row>
    <row r="2668" spans="1:4" ht="15.75" customHeight="1" thickBot="1" x14ac:dyDescent="0.3">
      <c r="A2668" s="4"/>
      <c r="B2668" s="303"/>
      <c r="C2668" s="304"/>
      <c r="D2668" s="18"/>
    </row>
    <row r="2669" spans="1:4" ht="15.75" customHeight="1" thickBot="1" x14ac:dyDescent="0.3">
      <c r="A2669" s="4"/>
      <c r="B2669" s="303"/>
      <c r="C2669" s="304"/>
      <c r="D2669" s="18"/>
    </row>
    <row r="2670" spans="1:4" ht="15.75" customHeight="1" thickBot="1" x14ac:dyDescent="0.3">
      <c r="A2670" s="4"/>
      <c r="B2670" s="303"/>
      <c r="C2670" s="304"/>
      <c r="D2670" s="18"/>
    </row>
    <row r="2671" spans="1:4" ht="15.75" customHeight="1" thickBot="1" x14ac:dyDescent="0.3">
      <c r="A2671" s="4"/>
      <c r="B2671" s="303"/>
      <c r="C2671" s="304"/>
      <c r="D2671" s="18"/>
    </row>
    <row r="2672" spans="1:4" ht="15.75" customHeight="1" thickBot="1" x14ac:dyDescent="0.3">
      <c r="A2672" s="4"/>
      <c r="B2672" s="303"/>
      <c r="C2672" s="304"/>
      <c r="D2672" s="18"/>
    </row>
    <row r="2673" spans="1:4" ht="15.75" customHeight="1" thickBot="1" x14ac:dyDescent="0.3">
      <c r="A2673" s="4"/>
      <c r="B2673" s="303"/>
      <c r="C2673" s="304"/>
      <c r="D2673" s="18"/>
    </row>
    <row r="2674" spans="1:4" ht="15.75" customHeight="1" thickBot="1" x14ac:dyDescent="0.3">
      <c r="A2674" s="4"/>
      <c r="B2674" s="303"/>
      <c r="C2674" s="304"/>
      <c r="D2674" s="18"/>
    </row>
    <row r="2675" spans="1:4" ht="15.75" customHeight="1" thickBot="1" x14ac:dyDescent="0.3">
      <c r="A2675" s="2"/>
      <c r="B2675" s="3"/>
      <c r="C2675" s="2"/>
      <c r="D2675" s="1"/>
    </row>
    <row r="2676" spans="1:4" ht="15.75" customHeight="1" thickBot="1" x14ac:dyDescent="0.3">
      <c r="A2676" s="300"/>
      <c r="B2676" s="301"/>
      <c r="C2676" s="301"/>
      <c r="D2676" s="302"/>
    </row>
    <row r="2677" spans="1:4" ht="15.75" customHeight="1" x14ac:dyDescent="0.25">
      <c r="A2677" s="5"/>
      <c r="B2677" s="6"/>
      <c r="C2677" s="7"/>
      <c r="D2677" s="8"/>
    </row>
    <row r="2678" spans="1:4" ht="15.75" customHeight="1" thickBot="1" x14ac:dyDescent="0.3">
      <c r="A2678" s="9"/>
      <c r="B2678" s="10"/>
      <c r="C2678" s="10"/>
      <c r="D2678" s="11"/>
    </row>
    <row r="2679" spans="1:4" ht="15.75" customHeight="1" thickBot="1" x14ac:dyDescent="0.3">
      <c r="A2679" s="15"/>
      <c r="B2679" s="16"/>
      <c r="C2679" s="21"/>
      <c r="D2679" s="16"/>
    </row>
    <row r="2680" spans="1:4" ht="15.75" customHeight="1" thickBot="1" x14ac:dyDescent="0.3">
      <c r="A2680" s="12"/>
      <c r="B2680" s="305"/>
      <c r="C2680" s="306"/>
      <c r="D2680" s="54"/>
    </row>
    <row r="2681" spans="1:4" ht="15.75" customHeight="1" thickBot="1" x14ac:dyDescent="0.3">
      <c r="A2681" s="38"/>
      <c r="B2681" s="45"/>
      <c r="C2681" s="45"/>
      <c r="D2681" s="45"/>
    </row>
    <row r="2682" spans="1:4" ht="15.75" customHeight="1" thickBot="1" x14ac:dyDescent="0.3">
      <c r="A2682" s="19"/>
      <c r="B2682" s="20"/>
      <c r="C2682" s="50"/>
      <c r="D2682" s="51"/>
    </row>
    <row r="2683" spans="1:4" ht="15.75" customHeight="1" thickBot="1" x14ac:dyDescent="0.3">
      <c r="A2683" s="19"/>
      <c r="B2683" s="20"/>
      <c r="C2683" s="52"/>
      <c r="D2683" s="53"/>
    </row>
    <row r="2684" spans="1:4" ht="15.75" customHeight="1" thickBot="1" x14ac:dyDescent="0.3">
      <c r="A2684" s="19"/>
      <c r="B2684" s="20"/>
      <c r="C2684" s="13"/>
      <c r="D2684" s="14"/>
    </row>
    <row r="2685" spans="1:4" ht="15.75" customHeight="1" thickBot="1" x14ac:dyDescent="0.3">
      <c r="A2685" s="2"/>
      <c r="B2685" s="3"/>
      <c r="C2685" s="2"/>
      <c r="D2685" s="1"/>
    </row>
    <row r="2686" spans="1:4" ht="15.75" customHeight="1" thickBot="1" x14ac:dyDescent="0.3">
      <c r="A2686" s="4"/>
      <c r="B2686" s="303"/>
      <c r="C2686" s="304"/>
      <c r="D2686" s="4"/>
    </row>
    <row r="2687" spans="1:4" ht="15.75" customHeight="1" thickBot="1" x14ac:dyDescent="0.3">
      <c r="A2687" s="4"/>
      <c r="B2687" s="303"/>
      <c r="C2687" s="304"/>
      <c r="D2687" s="18"/>
    </row>
    <row r="2688" spans="1:4" ht="15.75" customHeight="1" thickBot="1" x14ac:dyDescent="0.3">
      <c r="A2688" s="4"/>
      <c r="B2688" s="303"/>
      <c r="C2688" s="304"/>
      <c r="D2688" s="18"/>
    </row>
    <row r="2689" spans="1:4" ht="15.75" customHeight="1" thickBot="1" x14ac:dyDescent="0.3">
      <c r="A2689" s="4"/>
      <c r="B2689" s="303"/>
      <c r="C2689" s="304"/>
      <c r="D2689" s="18"/>
    </row>
    <row r="2690" spans="1:4" ht="15.75" customHeight="1" thickBot="1" x14ac:dyDescent="0.3">
      <c r="A2690" s="4"/>
      <c r="B2690" s="303"/>
      <c r="C2690" s="304"/>
      <c r="D2690" s="18"/>
    </row>
    <row r="2691" spans="1:4" ht="15.75" customHeight="1" thickBot="1" x14ac:dyDescent="0.3">
      <c r="A2691" s="4"/>
      <c r="B2691" s="303"/>
      <c r="C2691" s="304"/>
      <c r="D2691" s="18"/>
    </row>
    <row r="2692" spans="1:4" ht="15.75" customHeight="1" thickBot="1" x14ac:dyDescent="0.3">
      <c r="A2692" s="4"/>
      <c r="B2692" s="303"/>
      <c r="C2692" s="304"/>
      <c r="D2692" s="18"/>
    </row>
    <row r="2693" spans="1:4" ht="15.75" customHeight="1" thickBot="1" x14ac:dyDescent="0.3">
      <c r="A2693" s="4"/>
      <c r="B2693" s="303"/>
      <c r="C2693" s="304"/>
      <c r="D2693" s="18"/>
    </row>
    <row r="2694" spans="1:4" ht="15.75" customHeight="1" thickBot="1" x14ac:dyDescent="0.3">
      <c r="A2694" s="4"/>
      <c r="B2694" s="303"/>
      <c r="C2694" s="304"/>
      <c r="D2694" s="18"/>
    </row>
    <row r="2695" spans="1:4" ht="15.75" customHeight="1" thickBot="1" x14ac:dyDescent="0.3">
      <c r="A2695" s="2"/>
      <c r="B2695" s="3"/>
      <c r="C2695" s="2"/>
      <c r="D2695" s="1"/>
    </row>
    <row r="2696" spans="1:4" ht="15.75" customHeight="1" thickBot="1" x14ac:dyDescent="0.3">
      <c r="A2696" s="300"/>
      <c r="B2696" s="301"/>
      <c r="C2696" s="301"/>
      <c r="D2696" s="302"/>
    </row>
    <row r="2697" spans="1:4" ht="15.75" customHeight="1" x14ac:dyDescent="0.25">
      <c r="A2697" s="5"/>
      <c r="B2697" s="6"/>
      <c r="C2697" s="7"/>
      <c r="D2697" s="8"/>
    </row>
    <row r="2698" spans="1:4" ht="15.75" customHeight="1" thickBot="1" x14ac:dyDescent="0.3">
      <c r="A2698" s="9"/>
      <c r="B2698" s="10"/>
      <c r="C2698" s="10"/>
      <c r="D2698" s="11"/>
    </row>
    <row r="2699" spans="1:4" ht="15.75" customHeight="1" thickBot="1" x14ac:dyDescent="0.3">
      <c r="A2699" s="15"/>
      <c r="B2699" s="16"/>
      <c r="C2699" s="21"/>
      <c r="D2699" s="16"/>
    </row>
    <row r="2700" spans="1:4" ht="15.75" customHeight="1" thickBot="1" x14ac:dyDescent="0.3">
      <c r="A2700" s="12"/>
      <c r="B2700" s="305"/>
      <c r="C2700" s="306"/>
      <c r="D2700" s="54"/>
    </row>
    <row r="2701" spans="1:4" ht="15.75" customHeight="1" thickBot="1" x14ac:dyDescent="0.3">
      <c r="A2701" s="38"/>
      <c r="B2701" s="45"/>
      <c r="C2701" s="45"/>
      <c r="D2701" s="45"/>
    </row>
    <row r="2702" spans="1:4" ht="15.75" customHeight="1" thickBot="1" x14ac:dyDescent="0.3">
      <c r="A2702" s="19"/>
      <c r="B2702" s="20"/>
      <c r="C2702" s="50"/>
      <c r="D2702" s="51"/>
    </row>
    <row r="2703" spans="1:4" ht="15.75" customHeight="1" thickBot="1" x14ac:dyDescent="0.3">
      <c r="A2703" s="19"/>
      <c r="B2703" s="20"/>
      <c r="C2703" s="52"/>
      <c r="D2703" s="53"/>
    </row>
    <row r="2704" spans="1:4" ht="15.75" customHeight="1" thickBot="1" x14ac:dyDescent="0.3">
      <c r="A2704" s="19"/>
      <c r="B2704" s="20"/>
      <c r="C2704" s="13"/>
      <c r="D2704" s="14"/>
    </row>
    <row r="2705" spans="1:4" ht="15.75" customHeight="1" thickBot="1" x14ac:dyDescent="0.3">
      <c r="A2705" s="2"/>
      <c r="B2705" s="3"/>
      <c r="C2705" s="2"/>
      <c r="D2705" s="1"/>
    </row>
    <row r="2706" spans="1:4" ht="15.75" customHeight="1" thickBot="1" x14ac:dyDescent="0.3">
      <c r="A2706" s="4"/>
      <c r="B2706" s="303"/>
      <c r="C2706" s="304"/>
      <c r="D2706" s="4"/>
    </row>
    <row r="2707" spans="1:4" ht="15.75" customHeight="1" thickBot="1" x14ac:dyDescent="0.3">
      <c r="A2707" s="4"/>
      <c r="B2707" s="303"/>
      <c r="C2707" s="304"/>
      <c r="D2707" s="18"/>
    </row>
    <row r="2708" spans="1:4" ht="15.75" customHeight="1" thickBot="1" x14ac:dyDescent="0.3">
      <c r="A2708" s="4"/>
      <c r="B2708" s="303"/>
      <c r="C2708" s="304"/>
      <c r="D2708" s="18"/>
    </row>
    <row r="2709" spans="1:4" ht="15.75" customHeight="1" thickBot="1" x14ac:dyDescent="0.3">
      <c r="A2709" s="4"/>
      <c r="B2709" s="303"/>
      <c r="C2709" s="304"/>
      <c r="D2709" s="18"/>
    </row>
    <row r="2710" spans="1:4" ht="15.75" customHeight="1" thickBot="1" x14ac:dyDescent="0.3">
      <c r="A2710" s="4"/>
      <c r="B2710" s="303"/>
      <c r="C2710" s="304"/>
      <c r="D2710" s="18"/>
    </row>
    <row r="2711" spans="1:4" ht="15.75" customHeight="1" thickBot="1" x14ac:dyDescent="0.3">
      <c r="A2711" s="4"/>
      <c r="B2711" s="303"/>
      <c r="C2711" s="304"/>
      <c r="D2711" s="18"/>
    </row>
    <row r="2712" spans="1:4" ht="15.75" customHeight="1" thickBot="1" x14ac:dyDescent="0.3">
      <c r="A2712" s="4"/>
      <c r="B2712" s="303"/>
      <c r="C2712" s="304"/>
      <c r="D2712" s="18"/>
    </row>
    <row r="2713" spans="1:4" ht="15.75" customHeight="1" thickBot="1" x14ac:dyDescent="0.3">
      <c r="A2713" s="4"/>
      <c r="B2713" s="303"/>
      <c r="C2713" s="304"/>
      <c r="D2713" s="18"/>
    </row>
    <row r="2714" spans="1:4" ht="15.75" customHeight="1" thickBot="1" x14ac:dyDescent="0.3">
      <c r="A2714" s="4"/>
      <c r="B2714" s="303"/>
      <c r="C2714" s="304"/>
      <c r="D2714" s="18"/>
    </row>
    <row r="2715" spans="1:4" ht="15.75" customHeight="1" thickBot="1" x14ac:dyDescent="0.3">
      <c r="A2715" s="2"/>
      <c r="B2715" s="3"/>
      <c r="C2715" s="2"/>
      <c r="D2715" s="1"/>
    </row>
    <row r="2716" spans="1:4" ht="15.75" customHeight="1" thickBot="1" x14ac:dyDescent="0.3">
      <c r="A2716" s="300"/>
      <c r="B2716" s="301"/>
      <c r="C2716" s="301"/>
      <c r="D2716" s="302"/>
    </row>
    <row r="2717" spans="1:4" ht="15.75" customHeight="1" x14ac:dyDescent="0.25">
      <c r="A2717" s="5"/>
      <c r="B2717" s="6"/>
      <c r="C2717" s="7"/>
      <c r="D2717" s="8"/>
    </row>
    <row r="2718" spans="1:4" ht="15.75" customHeight="1" thickBot="1" x14ac:dyDescent="0.3">
      <c r="A2718" s="9"/>
      <c r="B2718" s="10"/>
      <c r="C2718" s="10"/>
      <c r="D2718" s="11"/>
    </row>
    <row r="2719" spans="1:4" ht="15.75" customHeight="1" thickBot="1" x14ac:dyDescent="0.3">
      <c r="A2719" s="15"/>
      <c r="B2719" s="16"/>
      <c r="C2719" s="21"/>
      <c r="D2719" s="16"/>
    </row>
    <row r="2720" spans="1:4" ht="15.75" customHeight="1" thickBot="1" x14ac:dyDescent="0.3">
      <c r="A2720" s="12"/>
      <c r="B2720" s="305"/>
      <c r="C2720" s="306"/>
      <c r="D2720" s="54"/>
    </row>
    <row r="2721" spans="1:4" ht="15.75" customHeight="1" thickBot="1" x14ac:dyDescent="0.3">
      <c r="A2721" s="38"/>
      <c r="B2721" s="45"/>
      <c r="C2721" s="45"/>
      <c r="D2721" s="45"/>
    </row>
    <row r="2722" spans="1:4" ht="15.75" customHeight="1" thickBot="1" x14ac:dyDescent="0.3">
      <c r="A2722" s="19"/>
      <c r="B2722" s="20"/>
      <c r="C2722" s="50"/>
      <c r="D2722" s="51"/>
    </row>
    <row r="2723" spans="1:4" ht="15.75" customHeight="1" thickBot="1" x14ac:dyDescent="0.3">
      <c r="A2723" s="19"/>
      <c r="B2723" s="20"/>
      <c r="C2723" s="52"/>
      <c r="D2723" s="53"/>
    </row>
    <row r="2724" spans="1:4" ht="15.75" customHeight="1" thickBot="1" x14ac:dyDescent="0.3">
      <c r="A2724" s="19"/>
      <c r="B2724" s="20"/>
      <c r="C2724" s="13"/>
      <c r="D2724" s="14"/>
    </row>
    <row r="2725" spans="1:4" ht="15.75" customHeight="1" thickBot="1" x14ac:dyDescent="0.3">
      <c r="A2725" s="2"/>
      <c r="B2725" s="3"/>
      <c r="C2725" s="2"/>
      <c r="D2725" s="1"/>
    </row>
    <row r="2726" spans="1:4" ht="15.75" customHeight="1" thickBot="1" x14ac:dyDescent="0.3">
      <c r="A2726" s="4"/>
      <c r="B2726" s="303"/>
      <c r="C2726" s="304"/>
      <c r="D2726" s="4"/>
    </row>
    <row r="2727" spans="1:4" ht="15.75" customHeight="1" thickBot="1" x14ac:dyDescent="0.3">
      <c r="A2727" s="4"/>
      <c r="B2727" s="303"/>
      <c r="C2727" s="304"/>
      <c r="D2727" s="18"/>
    </row>
    <row r="2728" spans="1:4" ht="15.75" customHeight="1" thickBot="1" x14ac:dyDescent="0.3">
      <c r="A2728" s="4"/>
      <c r="B2728" s="303"/>
      <c r="C2728" s="304"/>
      <c r="D2728" s="18"/>
    </row>
    <row r="2729" spans="1:4" ht="15.75" customHeight="1" thickBot="1" x14ac:dyDescent="0.3">
      <c r="A2729" s="4"/>
      <c r="B2729" s="303"/>
      <c r="C2729" s="304"/>
      <c r="D2729" s="18"/>
    </row>
    <row r="2730" spans="1:4" ht="15.75" customHeight="1" thickBot="1" x14ac:dyDescent="0.3">
      <c r="A2730" s="4"/>
      <c r="B2730" s="303"/>
      <c r="C2730" s="304"/>
      <c r="D2730" s="18"/>
    </row>
    <row r="2731" spans="1:4" ht="15.75" customHeight="1" thickBot="1" x14ac:dyDescent="0.3">
      <c r="A2731" s="4"/>
      <c r="B2731" s="303"/>
      <c r="C2731" s="304"/>
      <c r="D2731" s="18"/>
    </row>
    <row r="2732" spans="1:4" ht="15.75" customHeight="1" thickBot="1" x14ac:dyDescent="0.3">
      <c r="A2732" s="4"/>
      <c r="B2732" s="303"/>
      <c r="C2732" s="304"/>
      <c r="D2732" s="18"/>
    </row>
    <row r="2733" spans="1:4" ht="15.75" customHeight="1" thickBot="1" x14ac:dyDescent="0.3">
      <c r="A2733" s="4"/>
      <c r="B2733" s="303"/>
      <c r="C2733" s="304"/>
      <c r="D2733" s="18"/>
    </row>
    <row r="2734" spans="1:4" ht="15.75" customHeight="1" thickBot="1" x14ac:dyDescent="0.3">
      <c r="A2734" s="4"/>
      <c r="B2734" s="303"/>
      <c r="C2734" s="304"/>
      <c r="D2734" s="18"/>
    </row>
    <row r="2735" spans="1:4" ht="15.75" customHeight="1" thickBot="1" x14ac:dyDescent="0.3">
      <c r="A2735" s="2"/>
      <c r="B2735" s="3"/>
      <c r="C2735" s="2"/>
      <c r="D2735" s="1"/>
    </row>
    <row r="2736" spans="1:4" ht="15.75" customHeight="1" thickBot="1" x14ac:dyDescent="0.3">
      <c r="A2736" s="300"/>
      <c r="B2736" s="301"/>
      <c r="C2736" s="301"/>
      <c r="D2736" s="302"/>
    </row>
    <row r="2737" spans="1:4" ht="15.75" customHeight="1" x14ac:dyDescent="0.25">
      <c r="A2737" s="5"/>
      <c r="B2737" s="6"/>
      <c r="C2737" s="7"/>
      <c r="D2737" s="8"/>
    </row>
    <row r="2738" spans="1:4" ht="15.75" customHeight="1" thickBot="1" x14ac:dyDescent="0.3">
      <c r="A2738" s="9"/>
      <c r="B2738" s="10"/>
      <c r="C2738" s="10"/>
      <c r="D2738" s="11"/>
    </row>
    <row r="2739" spans="1:4" ht="15.75" customHeight="1" thickBot="1" x14ac:dyDescent="0.3">
      <c r="A2739" s="15"/>
      <c r="B2739" s="16"/>
      <c r="C2739" s="21"/>
      <c r="D2739" s="16"/>
    </row>
    <row r="2740" spans="1:4" ht="15.75" customHeight="1" thickBot="1" x14ac:dyDescent="0.3">
      <c r="A2740" s="12"/>
      <c r="B2740" s="305"/>
      <c r="C2740" s="306"/>
      <c r="D2740" s="54"/>
    </row>
    <row r="2741" spans="1:4" ht="15.75" customHeight="1" thickBot="1" x14ac:dyDescent="0.3">
      <c r="A2741" s="38"/>
      <c r="B2741" s="45"/>
      <c r="C2741" s="45"/>
      <c r="D2741" s="45"/>
    </row>
    <row r="2742" spans="1:4" ht="15.75" customHeight="1" thickBot="1" x14ac:dyDescent="0.3">
      <c r="A2742" s="19"/>
      <c r="B2742" s="20"/>
      <c r="C2742" s="50"/>
      <c r="D2742" s="51"/>
    </row>
    <row r="2743" spans="1:4" ht="15.75" customHeight="1" thickBot="1" x14ac:dyDescent="0.3">
      <c r="A2743" s="19"/>
      <c r="B2743" s="20"/>
      <c r="C2743" s="52"/>
      <c r="D2743" s="53"/>
    </row>
    <row r="2744" spans="1:4" ht="15.75" customHeight="1" thickBot="1" x14ac:dyDescent="0.3">
      <c r="A2744" s="19"/>
      <c r="B2744" s="20"/>
      <c r="C2744" s="13"/>
      <c r="D2744" s="14"/>
    </row>
    <row r="2745" spans="1:4" ht="15.75" customHeight="1" thickBot="1" x14ac:dyDescent="0.3">
      <c r="A2745" s="2"/>
      <c r="B2745" s="3"/>
      <c r="C2745" s="2"/>
      <c r="D2745" s="1"/>
    </row>
    <row r="2746" spans="1:4" ht="15.75" customHeight="1" thickBot="1" x14ac:dyDescent="0.3">
      <c r="A2746" s="4"/>
      <c r="B2746" s="303"/>
      <c r="C2746" s="304"/>
      <c r="D2746" s="4"/>
    </row>
    <row r="2747" spans="1:4" ht="15.75" customHeight="1" thickBot="1" x14ac:dyDescent="0.3">
      <c r="A2747" s="4"/>
      <c r="B2747" s="303"/>
      <c r="C2747" s="304"/>
      <c r="D2747" s="18"/>
    </row>
    <row r="2748" spans="1:4" ht="15.75" customHeight="1" thickBot="1" x14ac:dyDescent="0.3">
      <c r="A2748" s="4"/>
      <c r="B2748" s="303"/>
      <c r="C2748" s="304"/>
      <c r="D2748" s="18"/>
    </row>
    <row r="2749" spans="1:4" ht="15.75" customHeight="1" thickBot="1" x14ac:dyDescent="0.3">
      <c r="A2749" s="4"/>
      <c r="B2749" s="303"/>
      <c r="C2749" s="304"/>
      <c r="D2749" s="18"/>
    </row>
    <row r="2750" spans="1:4" ht="15.75" customHeight="1" thickBot="1" x14ac:dyDescent="0.3">
      <c r="A2750" s="4"/>
      <c r="B2750" s="303"/>
      <c r="C2750" s="304"/>
      <c r="D2750" s="18"/>
    </row>
    <row r="2751" spans="1:4" ht="15.75" customHeight="1" thickBot="1" x14ac:dyDescent="0.3">
      <c r="A2751" s="4"/>
      <c r="B2751" s="303"/>
      <c r="C2751" s="304"/>
      <c r="D2751" s="18"/>
    </row>
    <row r="2752" spans="1:4" ht="15.75" customHeight="1" thickBot="1" x14ac:dyDescent="0.3">
      <c r="A2752" s="4"/>
      <c r="B2752" s="303"/>
      <c r="C2752" s="304"/>
      <c r="D2752" s="18"/>
    </row>
    <row r="2753" spans="1:4" ht="15.75" customHeight="1" thickBot="1" x14ac:dyDescent="0.3">
      <c r="A2753" s="4"/>
      <c r="B2753" s="303"/>
      <c r="C2753" s="304"/>
      <c r="D2753" s="18"/>
    </row>
    <row r="2754" spans="1:4" ht="15.75" customHeight="1" thickBot="1" x14ac:dyDescent="0.3">
      <c r="A2754" s="4"/>
      <c r="B2754" s="303"/>
      <c r="C2754" s="304"/>
      <c r="D2754" s="18"/>
    </row>
    <row r="2755" spans="1:4" ht="15.75" customHeight="1" thickBot="1" x14ac:dyDescent="0.3">
      <c r="A2755" s="2"/>
      <c r="B2755" s="3"/>
      <c r="C2755" s="2"/>
      <c r="D2755" s="1"/>
    </row>
    <row r="2756" spans="1:4" ht="15.75" customHeight="1" thickBot="1" x14ac:dyDescent="0.3">
      <c r="A2756" s="300"/>
      <c r="B2756" s="301"/>
      <c r="C2756" s="301"/>
      <c r="D2756" s="302"/>
    </row>
    <row r="2757" spans="1:4" ht="15.75" customHeight="1" x14ac:dyDescent="0.25">
      <c r="A2757" s="5"/>
      <c r="B2757" s="6"/>
      <c r="C2757" s="7"/>
      <c r="D2757" s="8"/>
    </row>
    <row r="2758" spans="1:4" ht="15.75" customHeight="1" thickBot="1" x14ac:dyDescent="0.3">
      <c r="A2758" s="9"/>
      <c r="B2758" s="10"/>
      <c r="C2758" s="10"/>
      <c r="D2758" s="11"/>
    </row>
    <row r="2759" spans="1:4" ht="15.75" customHeight="1" thickBot="1" x14ac:dyDescent="0.3">
      <c r="A2759" s="15"/>
      <c r="B2759" s="16"/>
      <c r="C2759" s="21"/>
      <c r="D2759" s="16"/>
    </row>
    <row r="2760" spans="1:4" ht="15.75" customHeight="1" thickBot="1" x14ac:dyDescent="0.3">
      <c r="A2760" s="12"/>
      <c r="B2760" s="305"/>
      <c r="C2760" s="306"/>
      <c r="D2760" s="54"/>
    </row>
    <row r="2761" spans="1:4" ht="15.75" customHeight="1" thickBot="1" x14ac:dyDescent="0.3">
      <c r="A2761" s="38"/>
      <c r="B2761" s="45"/>
      <c r="C2761" s="45"/>
      <c r="D2761" s="45"/>
    </row>
    <row r="2762" spans="1:4" ht="15.75" customHeight="1" thickBot="1" x14ac:dyDescent="0.3">
      <c r="A2762" s="19"/>
      <c r="B2762" s="20"/>
      <c r="C2762" s="50"/>
      <c r="D2762" s="51"/>
    </row>
    <row r="2763" spans="1:4" ht="15.75" customHeight="1" thickBot="1" x14ac:dyDescent="0.3">
      <c r="A2763" s="19"/>
      <c r="B2763" s="20"/>
      <c r="C2763" s="52"/>
      <c r="D2763" s="53"/>
    </row>
    <row r="2764" spans="1:4" ht="15.75" customHeight="1" thickBot="1" x14ac:dyDescent="0.3">
      <c r="A2764" s="19"/>
      <c r="B2764" s="20"/>
      <c r="C2764" s="13"/>
      <c r="D2764" s="14"/>
    </row>
    <row r="2765" spans="1:4" ht="15.75" customHeight="1" thickBot="1" x14ac:dyDescent="0.3">
      <c r="A2765" s="2"/>
      <c r="B2765" s="3"/>
      <c r="C2765" s="2"/>
      <c r="D2765" s="1"/>
    </row>
    <row r="2766" spans="1:4" ht="15.75" customHeight="1" thickBot="1" x14ac:dyDescent="0.3">
      <c r="A2766" s="4"/>
      <c r="B2766" s="303"/>
      <c r="C2766" s="304"/>
      <c r="D2766" s="4"/>
    </row>
    <row r="2767" spans="1:4" ht="15.75" customHeight="1" thickBot="1" x14ac:dyDescent="0.3">
      <c r="A2767" s="4"/>
      <c r="B2767" s="303"/>
      <c r="C2767" s="304"/>
      <c r="D2767" s="18"/>
    </row>
    <row r="2768" spans="1:4" ht="15.75" customHeight="1" thickBot="1" x14ac:dyDescent="0.3">
      <c r="A2768" s="4"/>
      <c r="B2768" s="303"/>
      <c r="C2768" s="304"/>
      <c r="D2768" s="18"/>
    </row>
    <row r="2769" spans="1:4" ht="15.75" customHeight="1" thickBot="1" x14ac:dyDescent="0.3">
      <c r="A2769" s="4"/>
      <c r="B2769" s="303"/>
      <c r="C2769" s="304"/>
      <c r="D2769" s="18"/>
    </row>
    <row r="2770" spans="1:4" ht="15.75" customHeight="1" thickBot="1" x14ac:dyDescent="0.3">
      <c r="A2770" s="4"/>
      <c r="B2770" s="303"/>
      <c r="C2770" s="304"/>
      <c r="D2770" s="18"/>
    </row>
    <row r="2771" spans="1:4" ht="15.75" customHeight="1" thickBot="1" x14ac:dyDescent="0.3">
      <c r="A2771" s="4"/>
      <c r="B2771" s="303"/>
      <c r="C2771" s="304"/>
      <c r="D2771" s="18"/>
    </row>
    <row r="2772" spans="1:4" ht="15.75" customHeight="1" thickBot="1" x14ac:dyDescent="0.3">
      <c r="A2772" s="4"/>
      <c r="B2772" s="303"/>
      <c r="C2772" s="304"/>
      <c r="D2772" s="18"/>
    </row>
    <row r="2773" spans="1:4" ht="15.75" customHeight="1" thickBot="1" x14ac:dyDescent="0.3">
      <c r="A2773" s="4"/>
      <c r="B2773" s="303"/>
      <c r="C2773" s="304"/>
      <c r="D2773" s="18"/>
    </row>
    <row r="2774" spans="1:4" ht="15.75" customHeight="1" thickBot="1" x14ac:dyDescent="0.3">
      <c r="A2774" s="4"/>
      <c r="B2774" s="303"/>
      <c r="C2774" s="304"/>
      <c r="D2774" s="18"/>
    </row>
    <row r="2775" spans="1:4" ht="15.75" customHeight="1" thickBot="1" x14ac:dyDescent="0.3">
      <c r="A2775" s="2"/>
      <c r="B2775" s="3"/>
      <c r="C2775" s="2"/>
      <c r="D2775" s="1"/>
    </row>
    <row r="2776" spans="1:4" ht="15.75" customHeight="1" thickBot="1" x14ac:dyDescent="0.3">
      <c r="A2776" s="300"/>
      <c r="B2776" s="301"/>
      <c r="C2776" s="301"/>
      <c r="D2776" s="302"/>
    </row>
    <row r="2777" spans="1:4" ht="15.75" customHeight="1" x14ac:dyDescent="0.25">
      <c r="A2777" s="5"/>
      <c r="B2777" s="6"/>
      <c r="C2777" s="7"/>
      <c r="D2777" s="8"/>
    </row>
    <row r="2778" spans="1:4" ht="15.75" customHeight="1" thickBot="1" x14ac:dyDescent="0.3">
      <c r="A2778" s="9"/>
      <c r="B2778" s="10"/>
      <c r="C2778" s="10"/>
      <c r="D2778" s="11"/>
    </row>
    <row r="2779" spans="1:4" ht="15.75" customHeight="1" thickBot="1" x14ac:dyDescent="0.3">
      <c r="A2779" s="15"/>
      <c r="B2779" s="16"/>
      <c r="C2779" s="21"/>
      <c r="D2779" s="16"/>
    </row>
    <row r="2780" spans="1:4" ht="15.75" customHeight="1" thickBot="1" x14ac:dyDescent="0.3">
      <c r="A2780" s="12"/>
      <c r="B2780" s="305"/>
      <c r="C2780" s="306"/>
      <c r="D2780" s="54"/>
    </row>
    <row r="2781" spans="1:4" ht="15.75" customHeight="1" thickBot="1" x14ac:dyDescent="0.3">
      <c r="A2781" s="38"/>
      <c r="B2781" s="45"/>
      <c r="C2781" s="45"/>
      <c r="D2781" s="45"/>
    </row>
    <row r="2782" spans="1:4" ht="15.75" customHeight="1" thickBot="1" x14ac:dyDescent="0.3">
      <c r="A2782" s="19"/>
      <c r="B2782" s="20"/>
      <c r="C2782" s="50"/>
      <c r="D2782" s="51"/>
    </row>
    <row r="2783" spans="1:4" ht="15.75" customHeight="1" thickBot="1" x14ac:dyDescent="0.3">
      <c r="A2783" s="19"/>
      <c r="B2783" s="20"/>
      <c r="C2783" s="52"/>
      <c r="D2783" s="53"/>
    </row>
    <row r="2784" spans="1:4" ht="15.75" customHeight="1" thickBot="1" x14ac:dyDescent="0.3">
      <c r="A2784" s="19"/>
      <c r="B2784" s="20"/>
      <c r="C2784" s="13"/>
      <c r="D2784" s="14"/>
    </row>
    <row r="2785" spans="1:4" ht="15.75" customHeight="1" thickBot="1" x14ac:dyDescent="0.3">
      <c r="A2785" s="2"/>
      <c r="B2785" s="3"/>
      <c r="C2785" s="2"/>
      <c r="D2785" s="1"/>
    </row>
    <row r="2786" spans="1:4" ht="15.75" customHeight="1" thickBot="1" x14ac:dyDescent="0.3">
      <c r="A2786" s="4"/>
      <c r="B2786" s="303"/>
      <c r="C2786" s="304"/>
      <c r="D2786" s="4"/>
    </row>
    <row r="2787" spans="1:4" ht="15.75" customHeight="1" thickBot="1" x14ac:dyDescent="0.3">
      <c r="A2787" s="4"/>
      <c r="B2787" s="303"/>
      <c r="C2787" s="304"/>
      <c r="D2787" s="18"/>
    </row>
    <row r="2788" spans="1:4" ht="15.75" customHeight="1" thickBot="1" x14ac:dyDescent="0.3">
      <c r="A2788" s="4"/>
      <c r="B2788" s="303"/>
      <c r="C2788" s="304"/>
      <c r="D2788" s="18"/>
    </row>
    <row r="2789" spans="1:4" ht="15.75" customHeight="1" thickBot="1" x14ac:dyDescent="0.3">
      <c r="A2789" s="4"/>
      <c r="B2789" s="303"/>
      <c r="C2789" s="304"/>
      <c r="D2789" s="18"/>
    </row>
    <row r="2790" spans="1:4" ht="15.75" customHeight="1" thickBot="1" x14ac:dyDescent="0.3">
      <c r="A2790" s="4"/>
      <c r="B2790" s="303"/>
      <c r="C2790" s="304"/>
      <c r="D2790" s="18"/>
    </row>
    <row r="2791" spans="1:4" ht="15.75" customHeight="1" thickBot="1" x14ac:dyDescent="0.3">
      <c r="A2791" s="4"/>
      <c r="B2791" s="303"/>
      <c r="C2791" s="304"/>
      <c r="D2791" s="18"/>
    </row>
    <row r="2792" spans="1:4" ht="15.75" customHeight="1" thickBot="1" x14ac:dyDescent="0.3">
      <c r="A2792" s="4"/>
      <c r="B2792" s="303"/>
      <c r="C2792" s="304"/>
      <c r="D2792" s="18"/>
    </row>
    <row r="2793" spans="1:4" ht="15.75" customHeight="1" thickBot="1" x14ac:dyDescent="0.3">
      <c r="A2793" s="4"/>
      <c r="B2793" s="303"/>
      <c r="C2793" s="304"/>
      <c r="D2793" s="18"/>
    </row>
    <row r="2794" spans="1:4" ht="15.75" customHeight="1" thickBot="1" x14ac:dyDescent="0.3">
      <c r="A2794" s="4"/>
      <c r="B2794" s="303"/>
      <c r="C2794" s="304"/>
      <c r="D2794" s="18"/>
    </row>
    <row r="2795" spans="1:4" ht="15.75" customHeight="1" thickBot="1" x14ac:dyDescent="0.3">
      <c r="A2795" s="2"/>
      <c r="B2795" s="3"/>
      <c r="C2795" s="2"/>
      <c r="D2795" s="1"/>
    </row>
    <row r="2796" spans="1:4" ht="15.75" customHeight="1" thickBot="1" x14ac:dyDescent="0.3">
      <c r="A2796" s="300"/>
      <c r="B2796" s="301"/>
      <c r="C2796" s="301"/>
      <c r="D2796" s="302"/>
    </row>
    <row r="2797" spans="1:4" ht="15.75" customHeight="1" x14ac:dyDescent="0.25">
      <c r="A2797" s="5"/>
      <c r="B2797" s="6"/>
      <c r="C2797" s="7"/>
      <c r="D2797" s="8"/>
    </row>
    <row r="2798" spans="1:4" ht="15.75" customHeight="1" thickBot="1" x14ac:dyDescent="0.3">
      <c r="A2798" s="9"/>
      <c r="B2798" s="10"/>
      <c r="C2798" s="10"/>
      <c r="D2798" s="11"/>
    </row>
    <row r="2799" spans="1:4" ht="15.75" customHeight="1" thickBot="1" x14ac:dyDescent="0.3">
      <c r="A2799" s="15"/>
      <c r="B2799" s="16"/>
      <c r="C2799" s="21"/>
      <c r="D2799" s="16"/>
    </row>
    <row r="2800" spans="1:4" ht="15.75" customHeight="1" thickBot="1" x14ac:dyDescent="0.3">
      <c r="A2800" s="12"/>
      <c r="B2800" s="305"/>
      <c r="C2800" s="306"/>
      <c r="D2800" s="54"/>
    </row>
    <row r="2801" spans="1:4" ht="15.75" customHeight="1" thickBot="1" x14ac:dyDescent="0.3">
      <c r="A2801" s="38"/>
      <c r="B2801" s="45"/>
      <c r="C2801" s="45"/>
      <c r="D2801" s="45"/>
    </row>
    <row r="2802" spans="1:4" ht="15.75" customHeight="1" thickBot="1" x14ac:dyDescent="0.3">
      <c r="A2802" s="19"/>
      <c r="B2802" s="20"/>
      <c r="C2802" s="50"/>
      <c r="D2802" s="51"/>
    </row>
    <row r="2803" spans="1:4" ht="15.75" customHeight="1" thickBot="1" x14ac:dyDescent="0.3">
      <c r="A2803" s="19"/>
      <c r="B2803" s="20"/>
      <c r="C2803" s="52"/>
      <c r="D2803" s="53"/>
    </row>
    <row r="2804" spans="1:4" ht="15.75" customHeight="1" thickBot="1" x14ac:dyDescent="0.3">
      <c r="A2804" s="19"/>
      <c r="B2804" s="20"/>
      <c r="C2804" s="13"/>
      <c r="D2804" s="14"/>
    </row>
    <row r="2805" spans="1:4" ht="15.75" customHeight="1" thickBot="1" x14ac:dyDescent="0.3">
      <c r="A2805" s="2"/>
      <c r="B2805" s="3"/>
      <c r="C2805" s="2"/>
      <c r="D2805" s="1"/>
    </row>
    <row r="2806" spans="1:4" ht="15.75" customHeight="1" thickBot="1" x14ac:dyDescent="0.3">
      <c r="A2806" s="4"/>
      <c r="B2806" s="303"/>
      <c r="C2806" s="304"/>
      <c r="D2806" s="4"/>
    </row>
    <row r="2807" spans="1:4" ht="15.75" customHeight="1" thickBot="1" x14ac:dyDescent="0.3">
      <c r="A2807" s="4"/>
      <c r="B2807" s="303"/>
      <c r="C2807" s="304"/>
      <c r="D2807" s="18"/>
    </row>
    <row r="2808" spans="1:4" ht="15.75" customHeight="1" thickBot="1" x14ac:dyDescent="0.3">
      <c r="A2808" s="4"/>
      <c r="B2808" s="303"/>
      <c r="C2808" s="304"/>
      <c r="D2808" s="18"/>
    </row>
    <row r="2809" spans="1:4" ht="15.75" customHeight="1" thickBot="1" x14ac:dyDescent="0.3">
      <c r="A2809" s="4"/>
      <c r="B2809" s="303"/>
      <c r="C2809" s="304"/>
      <c r="D2809" s="18"/>
    </row>
    <row r="2810" spans="1:4" ht="15.75" customHeight="1" thickBot="1" x14ac:dyDescent="0.3">
      <c r="A2810" s="4"/>
      <c r="B2810" s="303"/>
      <c r="C2810" s="304"/>
      <c r="D2810" s="18"/>
    </row>
    <row r="2811" spans="1:4" ht="15.75" customHeight="1" thickBot="1" x14ac:dyDescent="0.3">
      <c r="A2811" s="4"/>
      <c r="B2811" s="303"/>
      <c r="C2811" s="304"/>
      <c r="D2811" s="18"/>
    </row>
    <row r="2812" spans="1:4" ht="15.75" customHeight="1" thickBot="1" x14ac:dyDescent="0.3">
      <c r="A2812" s="4"/>
      <c r="B2812" s="303"/>
      <c r="C2812" s="304"/>
      <c r="D2812" s="18"/>
    </row>
    <row r="2813" spans="1:4" ht="15.75" customHeight="1" thickBot="1" x14ac:dyDescent="0.3">
      <c r="A2813" s="4"/>
      <c r="B2813" s="303"/>
      <c r="C2813" s="304"/>
      <c r="D2813" s="18"/>
    </row>
    <row r="2814" spans="1:4" ht="15.75" customHeight="1" thickBot="1" x14ac:dyDescent="0.3">
      <c r="A2814" s="4"/>
      <c r="B2814" s="303"/>
      <c r="C2814" s="304"/>
      <c r="D2814" s="18"/>
    </row>
    <row r="2815" spans="1:4" ht="15.75" customHeight="1" thickBot="1" x14ac:dyDescent="0.3">
      <c r="A2815" s="2"/>
      <c r="B2815" s="3"/>
      <c r="C2815" s="2"/>
      <c r="D2815" s="1"/>
    </row>
    <row r="2816" spans="1:4" ht="15.75" customHeight="1" thickBot="1" x14ac:dyDescent="0.3">
      <c r="A2816" s="300"/>
      <c r="B2816" s="301"/>
      <c r="C2816" s="301"/>
      <c r="D2816" s="302"/>
    </row>
    <row r="2817" spans="1:4" ht="15.75" customHeight="1" x14ac:dyDescent="0.25">
      <c r="A2817" s="5"/>
      <c r="B2817" s="6"/>
      <c r="C2817" s="7"/>
      <c r="D2817" s="8"/>
    </row>
    <row r="2818" spans="1:4" ht="15.75" customHeight="1" thickBot="1" x14ac:dyDescent="0.3">
      <c r="A2818" s="9"/>
      <c r="B2818" s="10"/>
      <c r="C2818" s="10"/>
      <c r="D2818" s="11"/>
    </row>
    <row r="2819" spans="1:4" ht="15.75" customHeight="1" thickBot="1" x14ac:dyDescent="0.3">
      <c r="A2819" s="15"/>
      <c r="B2819" s="16"/>
      <c r="C2819" s="21"/>
      <c r="D2819" s="16"/>
    </row>
    <row r="2820" spans="1:4" ht="15.75" customHeight="1" thickBot="1" x14ac:dyDescent="0.3">
      <c r="A2820" s="12"/>
      <c r="B2820" s="305"/>
      <c r="C2820" s="306"/>
      <c r="D2820" s="54"/>
    </row>
    <row r="2821" spans="1:4" ht="15.75" customHeight="1" thickBot="1" x14ac:dyDescent="0.3">
      <c r="A2821" s="38"/>
      <c r="B2821" s="45"/>
      <c r="C2821" s="45"/>
      <c r="D2821" s="45"/>
    </row>
    <row r="2822" spans="1:4" ht="15.75" customHeight="1" thickBot="1" x14ac:dyDescent="0.3">
      <c r="A2822" s="19"/>
      <c r="B2822" s="20"/>
      <c r="C2822" s="50"/>
      <c r="D2822" s="51"/>
    </row>
    <row r="2823" spans="1:4" ht="15.75" customHeight="1" thickBot="1" x14ac:dyDescent="0.3">
      <c r="A2823" s="19"/>
      <c r="B2823" s="20"/>
      <c r="C2823" s="52"/>
      <c r="D2823" s="53"/>
    </row>
    <row r="2824" spans="1:4" ht="15.75" customHeight="1" thickBot="1" x14ac:dyDescent="0.3">
      <c r="A2824" s="19"/>
      <c r="B2824" s="20"/>
      <c r="C2824" s="13"/>
      <c r="D2824" s="14"/>
    </row>
    <row r="2825" spans="1:4" ht="15.75" customHeight="1" thickBot="1" x14ac:dyDescent="0.3">
      <c r="A2825" s="2"/>
      <c r="B2825" s="3"/>
      <c r="C2825" s="2"/>
      <c r="D2825" s="1"/>
    </row>
    <row r="2826" spans="1:4" ht="15.75" customHeight="1" thickBot="1" x14ac:dyDescent="0.3">
      <c r="A2826" s="4"/>
      <c r="B2826" s="303"/>
      <c r="C2826" s="304"/>
      <c r="D2826" s="4"/>
    </row>
    <row r="2827" spans="1:4" ht="15.75" customHeight="1" thickBot="1" x14ac:dyDescent="0.3">
      <c r="A2827" s="4"/>
      <c r="B2827" s="303"/>
      <c r="C2827" s="304"/>
      <c r="D2827" s="18"/>
    </row>
    <row r="2828" spans="1:4" ht="15.75" customHeight="1" thickBot="1" x14ac:dyDescent="0.3">
      <c r="A2828" s="4"/>
      <c r="B2828" s="303"/>
      <c r="C2828" s="304"/>
      <c r="D2828" s="18"/>
    </row>
    <row r="2829" spans="1:4" ht="15.75" customHeight="1" thickBot="1" x14ac:dyDescent="0.3">
      <c r="A2829" s="4"/>
      <c r="B2829" s="303"/>
      <c r="C2829" s="304"/>
      <c r="D2829" s="18"/>
    </row>
    <row r="2830" spans="1:4" ht="15.75" customHeight="1" thickBot="1" x14ac:dyDescent="0.3">
      <c r="A2830" s="4"/>
      <c r="B2830" s="303"/>
      <c r="C2830" s="304"/>
      <c r="D2830" s="18"/>
    </row>
    <row r="2831" spans="1:4" ht="15.75" customHeight="1" thickBot="1" x14ac:dyDescent="0.3">
      <c r="A2831" s="4"/>
      <c r="B2831" s="303"/>
      <c r="C2831" s="304"/>
      <c r="D2831" s="18"/>
    </row>
    <row r="2832" spans="1:4" ht="15.75" customHeight="1" thickBot="1" x14ac:dyDescent="0.3">
      <c r="A2832" s="4"/>
      <c r="B2832" s="303"/>
      <c r="C2832" s="304"/>
      <c r="D2832" s="18"/>
    </row>
    <row r="2833" spans="1:4" ht="15.75" customHeight="1" thickBot="1" x14ac:dyDescent="0.3">
      <c r="A2833" s="4"/>
      <c r="B2833" s="303"/>
      <c r="C2833" s="304"/>
      <c r="D2833" s="18"/>
    </row>
    <row r="2834" spans="1:4" ht="15.75" customHeight="1" thickBot="1" x14ac:dyDescent="0.3">
      <c r="A2834" s="4"/>
      <c r="B2834" s="303"/>
      <c r="C2834" s="304"/>
      <c r="D2834" s="18"/>
    </row>
    <row r="2835" spans="1:4" ht="15.75" customHeight="1" thickBot="1" x14ac:dyDescent="0.3">
      <c r="A2835" s="2"/>
      <c r="B2835" s="3"/>
      <c r="C2835" s="2"/>
      <c r="D2835" s="1"/>
    </row>
    <row r="2836" spans="1:4" ht="15.75" customHeight="1" thickBot="1" x14ac:dyDescent="0.3">
      <c r="A2836" s="300"/>
      <c r="B2836" s="301"/>
      <c r="C2836" s="301"/>
      <c r="D2836" s="302"/>
    </row>
    <row r="2837" spans="1:4" ht="15.75" customHeight="1" x14ac:dyDescent="0.25">
      <c r="A2837" s="5"/>
      <c r="B2837" s="6"/>
      <c r="C2837" s="7"/>
      <c r="D2837" s="8"/>
    </row>
    <row r="2838" spans="1:4" ht="15.75" customHeight="1" thickBot="1" x14ac:dyDescent="0.3">
      <c r="A2838" s="9"/>
      <c r="B2838" s="10"/>
      <c r="C2838" s="10"/>
      <c r="D2838" s="11"/>
    </row>
    <row r="2839" spans="1:4" ht="15.75" customHeight="1" thickBot="1" x14ac:dyDescent="0.3">
      <c r="A2839" s="15"/>
      <c r="B2839" s="16"/>
      <c r="C2839" s="21"/>
      <c r="D2839" s="16"/>
    </row>
    <row r="2840" spans="1:4" ht="15.75" customHeight="1" thickBot="1" x14ac:dyDescent="0.3">
      <c r="A2840" s="12"/>
      <c r="B2840" s="305"/>
      <c r="C2840" s="306"/>
      <c r="D2840" s="54"/>
    </row>
    <row r="2841" spans="1:4" ht="15.75" customHeight="1" thickBot="1" x14ac:dyDescent="0.3">
      <c r="A2841" s="38"/>
      <c r="B2841" s="45"/>
      <c r="C2841" s="45"/>
      <c r="D2841" s="45"/>
    </row>
    <row r="2842" spans="1:4" ht="15.75" customHeight="1" thickBot="1" x14ac:dyDescent="0.3">
      <c r="A2842" s="19"/>
      <c r="B2842" s="20"/>
      <c r="C2842" s="50"/>
      <c r="D2842" s="51"/>
    </row>
    <row r="2843" spans="1:4" ht="15.75" customHeight="1" thickBot="1" x14ac:dyDescent="0.3">
      <c r="A2843" s="19"/>
      <c r="B2843" s="20"/>
      <c r="C2843" s="52"/>
      <c r="D2843" s="53"/>
    </row>
    <row r="2844" spans="1:4" ht="15.75" customHeight="1" thickBot="1" x14ac:dyDescent="0.3">
      <c r="A2844" s="19"/>
      <c r="B2844" s="20"/>
      <c r="C2844" s="13"/>
      <c r="D2844" s="14"/>
    </row>
    <row r="2845" spans="1:4" ht="15.75" customHeight="1" thickBot="1" x14ac:dyDescent="0.3">
      <c r="A2845" s="2"/>
      <c r="B2845" s="3"/>
      <c r="C2845" s="2"/>
      <c r="D2845" s="1"/>
    </row>
    <row r="2846" spans="1:4" ht="15.75" customHeight="1" thickBot="1" x14ac:dyDescent="0.3">
      <c r="A2846" s="4"/>
      <c r="B2846" s="303"/>
      <c r="C2846" s="304"/>
      <c r="D2846" s="4"/>
    </row>
    <row r="2847" spans="1:4" ht="15.75" customHeight="1" thickBot="1" x14ac:dyDescent="0.3">
      <c r="A2847" s="4"/>
      <c r="B2847" s="303"/>
      <c r="C2847" s="304"/>
      <c r="D2847" s="18"/>
    </row>
    <row r="2848" spans="1:4" ht="15.75" customHeight="1" thickBot="1" x14ac:dyDescent="0.3">
      <c r="A2848" s="4"/>
      <c r="B2848" s="303"/>
      <c r="C2848" s="304"/>
      <c r="D2848" s="18"/>
    </row>
    <row r="2849" spans="1:4" ht="15.75" customHeight="1" thickBot="1" x14ac:dyDescent="0.3">
      <c r="A2849" s="4"/>
      <c r="B2849" s="303"/>
      <c r="C2849" s="304"/>
      <c r="D2849" s="18"/>
    </row>
    <row r="2850" spans="1:4" ht="15.75" customHeight="1" thickBot="1" x14ac:dyDescent="0.3">
      <c r="A2850" s="4"/>
      <c r="B2850" s="303"/>
      <c r="C2850" s="304"/>
      <c r="D2850" s="18"/>
    </row>
    <row r="2851" spans="1:4" ht="15.75" customHeight="1" thickBot="1" x14ac:dyDescent="0.3">
      <c r="A2851" s="4"/>
      <c r="B2851" s="303"/>
      <c r="C2851" s="304"/>
      <c r="D2851" s="18"/>
    </row>
    <row r="2852" spans="1:4" ht="15.75" customHeight="1" thickBot="1" x14ac:dyDescent="0.3">
      <c r="A2852" s="4"/>
      <c r="B2852" s="303"/>
      <c r="C2852" s="304"/>
      <c r="D2852" s="18"/>
    </row>
    <row r="2853" spans="1:4" ht="15.75" customHeight="1" thickBot="1" x14ac:dyDescent="0.3">
      <c r="A2853" s="4"/>
      <c r="B2853" s="303"/>
      <c r="C2853" s="304"/>
      <c r="D2853" s="18"/>
    </row>
    <row r="2854" spans="1:4" ht="15.75" customHeight="1" thickBot="1" x14ac:dyDescent="0.3">
      <c r="A2854" s="4"/>
      <c r="B2854" s="303"/>
      <c r="C2854" s="304"/>
      <c r="D2854" s="18"/>
    </row>
    <row r="2855" spans="1:4" ht="15.75" customHeight="1" thickBot="1" x14ac:dyDescent="0.3">
      <c r="A2855" s="2"/>
      <c r="B2855" s="3"/>
      <c r="C2855" s="2"/>
      <c r="D2855" s="1"/>
    </row>
    <row r="2856" spans="1:4" ht="15.75" customHeight="1" thickBot="1" x14ac:dyDescent="0.3">
      <c r="A2856" s="300"/>
      <c r="B2856" s="301"/>
      <c r="C2856" s="301"/>
      <c r="D2856" s="302"/>
    </row>
    <row r="2857" spans="1:4" ht="15.75" customHeight="1" x14ac:dyDescent="0.25">
      <c r="A2857" s="5"/>
      <c r="B2857" s="6"/>
      <c r="C2857" s="7"/>
      <c r="D2857" s="8"/>
    </row>
    <row r="2858" spans="1:4" ht="15.75" customHeight="1" thickBot="1" x14ac:dyDescent="0.3">
      <c r="A2858" s="9"/>
      <c r="B2858" s="10"/>
      <c r="C2858" s="10"/>
      <c r="D2858" s="11"/>
    </row>
    <row r="2859" spans="1:4" ht="15.75" customHeight="1" thickBot="1" x14ac:dyDescent="0.3">
      <c r="A2859" s="15"/>
      <c r="B2859" s="16"/>
      <c r="C2859" s="21"/>
      <c r="D2859" s="16"/>
    </row>
    <row r="2860" spans="1:4" ht="15.75" customHeight="1" thickBot="1" x14ac:dyDescent="0.3">
      <c r="A2860" s="12"/>
      <c r="B2860" s="305"/>
      <c r="C2860" s="306"/>
      <c r="D2860" s="54"/>
    </row>
    <row r="2861" spans="1:4" ht="15.75" customHeight="1" thickBot="1" x14ac:dyDescent="0.3">
      <c r="A2861" s="38"/>
      <c r="B2861" s="45"/>
      <c r="C2861" s="45"/>
      <c r="D2861" s="45"/>
    </row>
    <row r="2862" spans="1:4" ht="15.75" customHeight="1" thickBot="1" x14ac:dyDescent="0.3">
      <c r="A2862" s="19"/>
      <c r="B2862" s="20"/>
      <c r="C2862" s="50"/>
      <c r="D2862" s="51"/>
    </row>
    <row r="2863" spans="1:4" ht="15.75" customHeight="1" thickBot="1" x14ac:dyDescent="0.3">
      <c r="A2863" s="19"/>
      <c r="B2863" s="20"/>
      <c r="C2863" s="52"/>
      <c r="D2863" s="53"/>
    </row>
    <row r="2864" spans="1:4" ht="15.75" customHeight="1" thickBot="1" x14ac:dyDescent="0.3">
      <c r="A2864" s="19"/>
      <c r="B2864" s="20"/>
      <c r="C2864" s="13"/>
      <c r="D2864" s="14"/>
    </row>
    <row r="2865" spans="1:4" ht="15.75" customHeight="1" thickBot="1" x14ac:dyDescent="0.3">
      <c r="A2865" s="2"/>
      <c r="B2865" s="3"/>
      <c r="C2865" s="2"/>
      <c r="D2865" s="1"/>
    </row>
    <row r="2866" spans="1:4" ht="15.75" customHeight="1" thickBot="1" x14ac:dyDescent="0.3">
      <c r="A2866" s="4"/>
      <c r="B2866" s="303"/>
      <c r="C2866" s="304"/>
      <c r="D2866" s="4"/>
    </row>
    <row r="2867" spans="1:4" ht="15.75" customHeight="1" thickBot="1" x14ac:dyDescent="0.3">
      <c r="A2867" s="4"/>
      <c r="B2867" s="303"/>
      <c r="C2867" s="304"/>
      <c r="D2867" s="18"/>
    </row>
    <row r="2868" spans="1:4" ht="15.75" customHeight="1" thickBot="1" x14ac:dyDescent="0.3">
      <c r="A2868" s="4"/>
      <c r="B2868" s="303"/>
      <c r="C2868" s="304"/>
      <c r="D2868" s="18"/>
    </row>
    <row r="2869" spans="1:4" ht="15.75" customHeight="1" thickBot="1" x14ac:dyDescent="0.3">
      <c r="A2869" s="4"/>
      <c r="B2869" s="303"/>
      <c r="C2869" s="304"/>
      <c r="D2869" s="18"/>
    </row>
    <row r="2870" spans="1:4" ht="15.75" customHeight="1" thickBot="1" x14ac:dyDescent="0.3">
      <c r="A2870" s="4"/>
      <c r="B2870" s="303"/>
      <c r="C2870" s="304"/>
      <c r="D2870" s="18"/>
    </row>
    <row r="2871" spans="1:4" ht="15.75" customHeight="1" thickBot="1" x14ac:dyDescent="0.3">
      <c r="A2871" s="4"/>
      <c r="B2871" s="303"/>
      <c r="C2871" s="304"/>
      <c r="D2871" s="18"/>
    </row>
    <row r="2872" spans="1:4" ht="15.75" customHeight="1" thickBot="1" x14ac:dyDescent="0.3">
      <c r="A2872" s="4"/>
      <c r="B2872" s="303"/>
      <c r="C2872" s="304"/>
      <c r="D2872" s="18"/>
    </row>
    <row r="2873" spans="1:4" ht="15.75" customHeight="1" thickBot="1" x14ac:dyDescent="0.3">
      <c r="A2873" s="4"/>
      <c r="B2873" s="303"/>
      <c r="C2873" s="304"/>
      <c r="D2873" s="18"/>
    </row>
    <row r="2874" spans="1:4" ht="15.75" customHeight="1" thickBot="1" x14ac:dyDescent="0.3">
      <c r="A2874" s="4"/>
      <c r="B2874" s="303"/>
      <c r="C2874" s="304"/>
      <c r="D2874" s="18"/>
    </row>
    <row r="2875" spans="1:4" ht="15.75" customHeight="1" thickBot="1" x14ac:dyDescent="0.3">
      <c r="A2875" s="2"/>
      <c r="B2875" s="3"/>
      <c r="C2875" s="2"/>
      <c r="D2875" s="1"/>
    </row>
    <row r="2876" spans="1:4" ht="15.75" customHeight="1" thickBot="1" x14ac:dyDescent="0.3">
      <c r="A2876" s="300"/>
      <c r="B2876" s="301"/>
      <c r="C2876" s="301"/>
      <c r="D2876" s="302"/>
    </row>
    <row r="2877" spans="1:4" ht="15.75" customHeight="1" x14ac:dyDescent="0.25">
      <c r="A2877" s="5"/>
      <c r="B2877" s="6"/>
      <c r="C2877" s="7"/>
      <c r="D2877" s="8"/>
    </row>
    <row r="2878" spans="1:4" ht="15.75" customHeight="1" thickBot="1" x14ac:dyDescent="0.3">
      <c r="A2878" s="9"/>
      <c r="B2878" s="10"/>
      <c r="C2878" s="10"/>
      <c r="D2878" s="11"/>
    </row>
    <row r="2879" spans="1:4" ht="15.75" customHeight="1" thickBot="1" x14ac:dyDescent="0.3">
      <c r="A2879" s="15"/>
      <c r="B2879" s="16"/>
      <c r="C2879" s="21"/>
      <c r="D2879" s="16"/>
    </row>
    <row r="2880" spans="1:4" ht="15.75" customHeight="1" thickBot="1" x14ac:dyDescent="0.3">
      <c r="A2880" s="12"/>
      <c r="B2880" s="305"/>
      <c r="C2880" s="306"/>
      <c r="D2880" s="54"/>
    </row>
    <row r="2881" spans="1:4" ht="15.75" customHeight="1" thickBot="1" x14ac:dyDescent="0.3">
      <c r="A2881" s="38"/>
      <c r="B2881" s="45"/>
      <c r="C2881" s="45"/>
      <c r="D2881" s="45"/>
    </row>
    <row r="2882" spans="1:4" ht="15.75" customHeight="1" thickBot="1" x14ac:dyDescent="0.3">
      <c r="A2882" s="19"/>
      <c r="B2882" s="20"/>
      <c r="C2882" s="50"/>
      <c r="D2882" s="51"/>
    </row>
    <row r="2883" spans="1:4" ht="15.75" customHeight="1" thickBot="1" x14ac:dyDescent="0.3">
      <c r="A2883" s="19"/>
      <c r="B2883" s="20"/>
      <c r="C2883" s="52"/>
      <c r="D2883" s="53"/>
    </row>
    <row r="2884" spans="1:4" ht="15.75" customHeight="1" thickBot="1" x14ac:dyDescent="0.3">
      <c r="A2884" s="19"/>
      <c r="B2884" s="20"/>
      <c r="C2884" s="13"/>
      <c r="D2884" s="14"/>
    </row>
    <row r="2885" spans="1:4" ht="15.75" customHeight="1" thickBot="1" x14ac:dyDescent="0.3">
      <c r="A2885" s="2"/>
      <c r="B2885" s="3"/>
      <c r="C2885" s="2"/>
      <c r="D2885" s="1"/>
    </row>
    <row r="2886" spans="1:4" ht="15.75" customHeight="1" thickBot="1" x14ac:dyDescent="0.3">
      <c r="A2886" s="4"/>
      <c r="B2886" s="303"/>
      <c r="C2886" s="304"/>
      <c r="D2886" s="4"/>
    </row>
    <row r="2887" spans="1:4" ht="15.75" customHeight="1" thickBot="1" x14ac:dyDescent="0.3">
      <c r="A2887" s="4"/>
      <c r="B2887" s="303"/>
      <c r="C2887" s="304"/>
      <c r="D2887" s="18"/>
    </row>
    <row r="2888" spans="1:4" ht="15.75" customHeight="1" thickBot="1" x14ac:dyDescent="0.3">
      <c r="A2888" s="4"/>
      <c r="B2888" s="303"/>
      <c r="C2888" s="304"/>
      <c r="D2888" s="18"/>
    </row>
    <row r="2889" spans="1:4" ht="15.75" customHeight="1" thickBot="1" x14ac:dyDescent="0.3">
      <c r="A2889" s="4"/>
      <c r="B2889" s="303"/>
      <c r="C2889" s="304"/>
      <c r="D2889" s="18"/>
    </row>
    <row r="2890" spans="1:4" ht="15.75" customHeight="1" thickBot="1" x14ac:dyDescent="0.3">
      <c r="A2890" s="4"/>
      <c r="B2890" s="303"/>
      <c r="C2890" s="304"/>
      <c r="D2890" s="18"/>
    </row>
    <row r="2891" spans="1:4" ht="15.75" customHeight="1" thickBot="1" x14ac:dyDescent="0.3">
      <c r="A2891" s="4"/>
      <c r="B2891" s="303"/>
      <c r="C2891" s="304"/>
      <c r="D2891" s="18"/>
    </row>
    <row r="2892" spans="1:4" ht="15.75" customHeight="1" thickBot="1" x14ac:dyDescent="0.3">
      <c r="A2892" s="4"/>
      <c r="B2892" s="303"/>
      <c r="C2892" s="304"/>
      <c r="D2892" s="18"/>
    </row>
    <row r="2893" spans="1:4" ht="15.75" customHeight="1" thickBot="1" x14ac:dyDescent="0.3">
      <c r="A2893" s="4"/>
      <c r="B2893" s="303"/>
      <c r="C2893" s="304"/>
      <c r="D2893" s="18"/>
    </row>
    <row r="2894" spans="1:4" ht="15.75" customHeight="1" thickBot="1" x14ac:dyDescent="0.3">
      <c r="A2894" s="4"/>
      <c r="B2894" s="303"/>
      <c r="C2894" s="304"/>
      <c r="D2894" s="18"/>
    </row>
    <row r="2895" spans="1:4" ht="15.75" customHeight="1" thickBot="1" x14ac:dyDescent="0.3">
      <c r="A2895" s="2"/>
      <c r="B2895" s="3"/>
      <c r="C2895" s="2"/>
      <c r="D2895" s="1"/>
    </row>
    <row r="2896" spans="1:4" ht="15.75" customHeight="1" thickBot="1" x14ac:dyDescent="0.3">
      <c r="A2896" s="300"/>
      <c r="B2896" s="301"/>
      <c r="C2896" s="301"/>
      <c r="D2896" s="302"/>
    </row>
    <row r="2897" spans="1:4" ht="15.75" customHeight="1" x14ac:dyDescent="0.25">
      <c r="A2897" s="5"/>
      <c r="B2897" s="6"/>
      <c r="C2897" s="7"/>
      <c r="D2897" s="8"/>
    </row>
    <row r="2898" spans="1:4" ht="15.75" customHeight="1" thickBot="1" x14ac:dyDescent="0.3">
      <c r="A2898" s="9"/>
      <c r="B2898" s="10"/>
      <c r="C2898" s="10"/>
      <c r="D2898" s="11"/>
    </row>
    <row r="2899" spans="1:4" ht="15.75" customHeight="1" thickBot="1" x14ac:dyDescent="0.3">
      <c r="A2899" s="15"/>
      <c r="B2899" s="16"/>
      <c r="C2899" s="21"/>
      <c r="D2899" s="16"/>
    </row>
    <row r="2900" spans="1:4" ht="15.75" customHeight="1" thickBot="1" x14ac:dyDescent="0.3">
      <c r="A2900" s="12"/>
      <c r="B2900" s="305"/>
      <c r="C2900" s="306"/>
      <c r="D2900" s="54"/>
    </row>
    <row r="2901" spans="1:4" ht="15.75" customHeight="1" thickBot="1" x14ac:dyDescent="0.3">
      <c r="A2901" s="38"/>
      <c r="B2901" s="45"/>
      <c r="C2901" s="45"/>
      <c r="D2901" s="45"/>
    </row>
    <row r="2902" spans="1:4" ht="15.75" customHeight="1" thickBot="1" x14ac:dyDescent="0.3">
      <c r="A2902" s="19"/>
      <c r="B2902" s="20"/>
      <c r="C2902" s="50"/>
      <c r="D2902" s="51"/>
    </row>
    <row r="2903" spans="1:4" ht="15.75" customHeight="1" thickBot="1" x14ac:dyDescent="0.3">
      <c r="A2903" s="19"/>
      <c r="B2903" s="20"/>
      <c r="C2903" s="52"/>
      <c r="D2903" s="53"/>
    </row>
    <row r="2904" spans="1:4" ht="15.75" customHeight="1" thickBot="1" x14ac:dyDescent="0.3">
      <c r="A2904" s="19"/>
      <c r="B2904" s="20"/>
      <c r="C2904" s="13"/>
      <c r="D2904" s="14"/>
    </row>
    <row r="2905" spans="1:4" ht="15.75" customHeight="1" thickBot="1" x14ac:dyDescent="0.3">
      <c r="A2905" s="2"/>
      <c r="B2905" s="3"/>
      <c r="C2905" s="2"/>
      <c r="D2905" s="1"/>
    </row>
    <row r="2906" spans="1:4" ht="15.75" customHeight="1" thickBot="1" x14ac:dyDescent="0.3">
      <c r="A2906" s="4"/>
      <c r="B2906" s="303"/>
      <c r="C2906" s="304"/>
      <c r="D2906" s="4"/>
    </row>
    <row r="2907" spans="1:4" ht="15.75" customHeight="1" thickBot="1" x14ac:dyDescent="0.3">
      <c r="A2907" s="4"/>
      <c r="B2907" s="303"/>
      <c r="C2907" s="304"/>
      <c r="D2907" s="18"/>
    </row>
    <row r="2908" spans="1:4" ht="15.75" customHeight="1" thickBot="1" x14ac:dyDescent="0.3">
      <c r="A2908" s="4"/>
      <c r="B2908" s="303"/>
      <c r="C2908" s="304"/>
      <c r="D2908" s="18"/>
    </row>
    <row r="2909" spans="1:4" ht="15.75" customHeight="1" thickBot="1" x14ac:dyDescent="0.3">
      <c r="A2909" s="4"/>
      <c r="B2909" s="303"/>
      <c r="C2909" s="304"/>
      <c r="D2909" s="18"/>
    </row>
    <row r="2910" spans="1:4" ht="15.75" customHeight="1" thickBot="1" x14ac:dyDescent="0.3">
      <c r="A2910" s="4"/>
      <c r="B2910" s="303"/>
      <c r="C2910" s="304"/>
      <c r="D2910" s="18"/>
    </row>
    <row r="2911" spans="1:4" ht="15.75" customHeight="1" thickBot="1" x14ac:dyDescent="0.3">
      <c r="A2911" s="4"/>
      <c r="B2911" s="303"/>
      <c r="C2911" s="304"/>
      <c r="D2911" s="18"/>
    </row>
    <row r="2912" spans="1:4" ht="15.75" customHeight="1" thickBot="1" x14ac:dyDescent="0.3">
      <c r="A2912" s="4"/>
      <c r="B2912" s="303"/>
      <c r="C2912" s="304"/>
      <c r="D2912" s="18"/>
    </row>
    <row r="2913" spans="1:4" ht="15.75" customHeight="1" thickBot="1" x14ac:dyDescent="0.3">
      <c r="A2913" s="4"/>
      <c r="B2913" s="303"/>
      <c r="C2913" s="304"/>
      <c r="D2913" s="18"/>
    </row>
    <row r="2914" spans="1:4" ht="15.75" customHeight="1" thickBot="1" x14ac:dyDescent="0.3">
      <c r="A2914" s="4"/>
      <c r="B2914" s="303"/>
      <c r="C2914" s="304"/>
      <c r="D2914" s="18"/>
    </row>
    <row r="2915" spans="1:4" ht="15.75" customHeight="1" thickBot="1" x14ac:dyDescent="0.3">
      <c r="A2915" s="2"/>
      <c r="B2915" s="3"/>
      <c r="C2915" s="2"/>
      <c r="D2915" s="1"/>
    </row>
    <row r="2916" spans="1:4" ht="15.75" customHeight="1" thickBot="1" x14ac:dyDescent="0.3">
      <c r="A2916" s="300"/>
      <c r="B2916" s="301"/>
      <c r="C2916" s="301"/>
      <c r="D2916" s="302"/>
    </row>
    <row r="2917" spans="1:4" ht="15.75" customHeight="1" x14ac:dyDescent="0.25">
      <c r="A2917" s="5"/>
      <c r="B2917" s="6"/>
      <c r="C2917" s="7"/>
      <c r="D2917" s="8"/>
    </row>
    <row r="2918" spans="1:4" ht="15.75" customHeight="1" thickBot="1" x14ac:dyDescent="0.3">
      <c r="A2918" s="9"/>
      <c r="B2918" s="10"/>
      <c r="C2918" s="10"/>
      <c r="D2918" s="11"/>
    </row>
    <row r="2919" spans="1:4" ht="15.75" customHeight="1" thickBot="1" x14ac:dyDescent="0.3">
      <c r="A2919" s="15"/>
      <c r="B2919" s="16"/>
      <c r="C2919" s="21"/>
      <c r="D2919" s="16"/>
    </row>
    <row r="2920" spans="1:4" ht="15.75" customHeight="1" thickBot="1" x14ac:dyDescent="0.3">
      <c r="A2920" s="12"/>
      <c r="B2920" s="305"/>
      <c r="C2920" s="306"/>
      <c r="D2920" s="54"/>
    </row>
    <row r="2921" spans="1:4" ht="15.75" customHeight="1" thickBot="1" x14ac:dyDescent="0.3">
      <c r="A2921" s="38"/>
      <c r="B2921" s="45"/>
      <c r="C2921" s="45"/>
      <c r="D2921" s="45"/>
    </row>
    <row r="2922" spans="1:4" ht="15.75" customHeight="1" thickBot="1" x14ac:dyDescent="0.3">
      <c r="A2922" s="19"/>
      <c r="B2922" s="20"/>
      <c r="C2922" s="50"/>
      <c r="D2922" s="51"/>
    </row>
    <row r="2923" spans="1:4" ht="15.75" customHeight="1" thickBot="1" x14ac:dyDescent="0.3">
      <c r="A2923" s="19"/>
      <c r="B2923" s="20"/>
      <c r="C2923" s="52"/>
      <c r="D2923" s="53"/>
    </row>
    <row r="2924" spans="1:4" ht="15.75" customHeight="1" thickBot="1" x14ac:dyDescent="0.3">
      <c r="A2924" s="19"/>
      <c r="B2924" s="20"/>
      <c r="C2924" s="13"/>
      <c r="D2924" s="14"/>
    </row>
    <row r="2925" spans="1:4" ht="15.75" customHeight="1" thickBot="1" x14ac:dyDescent="0.3">
      <c r="A2925" s="2"/>
      <c r="B2925" s="3"/>
      <c r="C2925" s="2"/>
      <c r="D2925" s="1"/>
    </row>
    <row r="2926" spans="1:4" ht="15.75" customHeight="1" thickBot="1" x14ac:dyDescent="0.3">
      <c r="A2926" s="4"/>
      <c r="B2926" s="303"/>
      <c r="C2926" s="304"/>
      <c r="D2926" s="4"/>
    </row>
    <row r="2927" spans="1:4" ht="15.75" customHeight="1" thickBot="1" x14ac:dyDescent="0.3">
      <c r="A2927" s="4"/>
      <c r="B2927" s="303"/>
      <c r="C2927" s="304"/>
      <c r="D2927" s="18"/>
    </row>
    <row r="2928" spans="1:4" ht="15.75" customHeight="1" thickBot="1" x14ac:dyDescent="0.3">
      <c r="A2928" s="4"/>
      <c r="B2928" s="303"/>
      <c r="C2928" s="304"/>
      <c r="D2928" s="18"/>
    </row>
    <row r="2929" spans="1:4" ht="15.75" customHeight="1" thickBot="1" x14ac:dyDescent="0.3">
      <c r="A2929" s="4"/>
      <c r="B2929" s="303"/>
      <c r="C2929" s="304"/>
      <c r="D2929" s="18"/>
    </row>
    <row r="2930" spans="1:4" ht="15.75" customHeight="1" thickBot="1" x14ac:dyDescent="0.3">
      <c r="A2930" s="4"/>
      <c r="B2930" s="303"/>
      <c r="C2930" s="304"/>
      <c r="D2930" s="18"/>
    </row>
    <row r="2931" spans="1:4" ht="15.75" customHeight="1" thickBot="1" x14ac:dyDescent="0.3">
      <c r="A2931" s="4"/>
      <c r="B2931" s="303"/>
      <c r="C2931" s="304"/>
      <c r="D2931" s="18"/>
    </row>
    <row r="2932" spans="1:4" ht="15.75" customHeight="1" thickBot="1" x14ac:dyDescent="0.3">
      <c r="A2932" s="4"/>
      <c r="B2932" s="303"/>
      <c r="C2932" s="304"/>
      <c r="D2932" s="18"/>
    </row>
    <row r="2933" spans="1:4" ht="15.75" customHeight="1" thickBot="1" x14ac:dyDescent="0.3">
      <c r="A2933" s="4"/>
      <c r="B2933" s="303"/>
      <c r="C2933" s="304"/>
      <c r="D2933" s="18"/>
    </row>
    <row r="2934" spans="1:4" ht="15.75" customHeight="1" thickBot="1" x14ac:dyDescent="0.3">
      <c r="A2934" s="4"/>
      <c r="B2934" s="303"/>
      <c r="C2934" s="304"/>
      <c r="D2934" s="18"/>
    </row>
    <row r="2935" spans="1:4" ht="15.75" customHeight="1" thickBot="1" x14ac:dyDescent="0.3">
      <c r="A2935" s="2"/>
      <c r="B2935" s="3"/>
      <c r="C2935" s="2"/>
      <c r="D2935" s="1"/>
    </row>
    <row r="2936" spans="1:4" ht="15.75" customHeight="1" thickBot="1" x14ac:dyDescent="0.3">
      <c r="A2936" s="300"/>
      <c r="B2936" s="301"/>
      <c r="C2936" s="301"/>
      <c r="D2936" s="302"/>
    </row>
    <row r="2937" spans="1:4" ht="15.75" customHeight="1" x14ac:dyDescent="0.25">
      <c r="A2937" s="5"/>
      <c r="B2937" s="6"/>
      <c r="C2937" s="7"/>
      <c r="D2937" s="8"/>
    </row>
    <row r="2938" spans="1:4" ht="15.75" customHeight="1" thickBot="1" x14ac:dyDescent="0.3">
      <c r="A2938" s="9"/>
      <c r="B2938" s="10"/>
      <c r="C2938" s="10"/>
      <c r="D2938" s="11"/>
    </row>
    <row r="2939" spans="1:4" ht="15.75" customHeight="1" thickBot="1" x14ac:dyDescent="0.3">
      <c r="A2939" s="15"/>
      <c r="B2939" s="16"/>
      <c r="C2939" s="21"/>
      <c r="D2939" s="16"/>
    </row>
    <row r="2940" spans="1:4" ht="15.75" customHeight="1" thickBot="1" x14ac:dyDescent="0.3">
      <c r="A2940" s="12"/>
      <c r="B2940" s="305"/>
      <c r="C2940" s="306"/>
      <c r="D2940" s="54"/>
    </row>
    <row r="2941" spans="1:4" ht="15.75" customHeight="1" thickBot="1" x14ac:dyDescent="0.3">
      <c r="A2941" s="38"/>
      <c r="B2941" s="45"/>
      <c r="C2941" s="45"/>
      <c r="D2941" s="45"/>
    </row>
    <row r="2942" spans="1:4" ht="15.75" customHeight="1" thickBot="1" x14ac:dyDescent="0.3">
      <c r="A2942" s="19"/>
      <c r="B2942" s="20"/>
      <c r="C2942" s="50"/>
      <c r="D2942" s="51"/>
    </row>
    <row r="2943" spans="1:4" ht="15.75" customHeight="1" thickBot="1" x14ac:dyDescent="0.3">
      <c r="A2943" s="19"/>
      <c r="B2943" s="20"/>
      <c r="C2943" s="52"/>
      <c r="D2943" s="53"/>
    </row>
    <row r="2944" spans="1:4" ht="15.75" customHeight="1" thickBot="1" x14ac:dyDescent="0.3">
      <c r="A2944" s="19"/>
      <c r="B2944" s="20"/>
      <c r="C2944" s="13"/>
      <c r="D2944" s="14"/>
    </row>
    <row r="2945" spans="1:4" ht="15.75" customHeight="1" thickBot="1" x14ac:dyDescent="0.3">
      <c r="A2945" s="2"/>
      <c r="B2945" s="3"/>
      <c r="C2945" s="2"/>
      <c r="D2945" s="1"/>
    </row>
    <row r="2946" spans="1:4" ht="15.75" customHeight="1" thickBot="1" x14ac:dyDescent="0.3">
      <c r="A2946" s="4"/>
      <c r="B2946" s="303"/>
      <c r="C2946" s="304"/>
      <c r="D2946" s="4"/>
    </row>
    <row r="2947" spans="1:4" ht="15.75" customHeight="1" thickBot="1" x14ac:dyDescent="0.3">
      <c r="A2947" s="4"/>
      <c r="B2947" s="303"/>
      <c r="C2947" s="304"/>
      <c r="D2947" s="18"/>
    </row>
    <row r="2948" spans="1:4" ht="15.75" customHeight="1" thickBot="1" x14ac:dyDescent="0.3">
      <c r="A2948" s="4"/>
      <c r="B2948" s="303"/>
      <c r="C2948" s="304"/>
      <c r="D2948" s="18"/>
    </row>
    <row r="2949" spans="1:4" ht="15.75" customHeight="1" thickBot="1" x14ac:dyDescent="0.3">
      <c r="A2949" s="4"/>
      <c r="B2949" s="303"/>
      <c r="C2949" s="304"/>
      <c r="D2949" s="18"/>
    </row>
    <row r="2950" spans="1:4" ht="15.75" customHeight="1" thickBot="1" x14ac:dyDescent="0.3">
      <c r="A2950" s="4"/>
      <c r="B2950" s="303"/>
      <c r="C2950" s="304"/>
      <c r="D2950" s="18"/>
    </row>
    <row r="2951" spans="1:4" ht="15.75" customHeight="1" thickBot="1" x14ac:dyDescent="0.3">
      <c r="A2951" s="4"/>
      <c r="B2951" s="303"/>
      <c r="C2951" s="304"/>
      <c r="D2951" s="18"/>
    </row>
    <row r="2952" spans="1:4" ht="15.75" customHeight="1" thickBot="1" x14ac:dyDescent="0.3">
      <c r="A2952" s="4"/>
      <c r="B2952" s="303"/>
      <c r="C2952" s="304"/>
      <c r="D2952" s="18"/>
    </row>
    <row r="2953" spans="1:4" ht="15.75" customHeight="1" thickBot="1" x14ac:dyDescent="0.3">
      <c r="A2953" s="4"/>
      <c r="B2953" s="303"/>
      <c r="C2953" s="304"/>
      <c r="D2953" s="18"/>
    </row>
    <row r="2954" spans="1:4" ht="15.75" customHeight="1" thickBot="1" x14ac:dyDescent="0.3">
      <c r="A2954" s="4"/>
      <c r="B2954" s="303"/>
      <c r="C2954" s="304"/>
      <c r="D2954" s="18"/>
    </row>
    <row r="2955" spans="1:4" ht="15.75" customHeight="1" thickBot="1" x14ac:dyDescent="0.3">
      <c r="A2955" s="2"/>
      <c r="B2955" s="3"/>
      <c r="C2955" s="2"/>
      <c r="D2955" s="1"/>
    </row>
    <row r="2956" spans="1:4" ht="15.75" customHeight="1" thickBot="1" x14ac:dyDescent="0.3">
      <c r="A2956" s="300"/>
      <c r="B2956" s="301"/>
      <c r="C2956" s="301"/>
      <c r="D2956" s="302"/>
    </row>
    <row r="2957" spans="1:4" ht="15.75" customHeight="1" x14ac:dyDescent="0.25">
      <c r="A2957" s="5"/>
      <c r="B2957" s="6"/>
      <c r="C2957" s="7"/>
      <c r="D2957" s="8"/>
    </row>
    <row r="2958" spans="1:4" ht="15.75" customHeight="1" thickBot="1" x14ac:dyDescent="0.3">
      <c r="A2958" s="9"/>
      <c r="B2958" s="10"/>
      <c r="C2958" s="10"/>
      <c r="D2958" s="11"/>
    </row>
    <row r="2959" spans="1:4" ht="15.75" customHeight="1" thickBot="1" x14ac:dyDescent="0.3">
      <c r="A2959" s="15"/>
      <c r="B2959" s="16"/>
      <c r="C2959" s="21"/>
      <c r="D2959" s="16"/>
    </row>
    <row r="2960" spans="1:4" ht="15.75" customHeight="1" thickBot="1" x14ac:dyDescent="0.3">
      <c r="A2960" s="12"/>
      <c r="B2960" s="305"/>
      <c r="C2960" s="306"/>
      <c r="D2960" s="54"/>
    </row>
    <row r="2961" spans="1:4" ht="15.75" customHeight="1" thickBot="1" x14ac:dyDescent="0.3">
      <c r="A2961" s="38"/>
      <c r="B2961" s="45"/>
      <c r="C2961" s="45"/>
      <c r="D2961" s="45"/>
    </row>
    <row r="2962" spans="1:4" ht="15.75" customHeight="1" thickBot="1" x14ac:dyDescent="0.3">
      <c r="A2962" s="19"/>
      <c r="B2962" s="20"/>
      <c r="C2962" s="50"/>
      <c r="D2962" s="51"/>
    </row>
    <row r="2963" spans="1:4" ht="15.75" customHeight="1" thickBot="1" x14ac:dyDescent="0.3">
      <c r="A2963" s="19"/>
      <c r="B2963" s="20"/>
      <c r="C2963" s="52"/>
      <c r="D2963" s="53"/>
    </row>
    <row r="2964" spans="1:4" ht="15.75" customHeight="1" thickBot="1" x14ac:dyDescent="0.3">
      <c r="A2964" s="19"/>
      <c r="B2964" s="20"/>
      <c r="C2964" s="13"/>
      <c r="D2964" s="14"/>
    </row>
    <row r="2965" spans="1:4" ht="15.75" customHeight="1" thickBot="1" x14ac:dyDescent="0.3">
      <c r="A2965" s="2"/>
      <c r="B2965" s="3"/>
      <c r="C2965" s="2"/>
      <c r="D2965" s="1"/>
    </row>
    <row r="2966" spans="1:4" ht="15.75" customHeight="1" thickBot="1" x14ac:dyDescent="0.3">
      <c r="A2966" s="4"/>
      <c r="B2966" s="303"/>
      <c r="C2966" s="304"/>
      <c r="D2966" s="4"/>
    </row>
    <row r="2967" spans="1:4" ht="15.75" customHeight="1" thickBot="1" x14ac:dyDescent="0.3">
      <c r="A2967" s="4"/>
      <c r="B2967" s="303"/>
      <c r="C2967" s="304"/>
      <c r="D2967" s="18"/>
    </row>
    <row r="2968" spans="1:4" ht="15.75" customHeight="1" thickBot="1" x14ac:dyDescent="0.3">
      <c r="A2968" s="4"/>
      <c r="B2968" s="303"/>
      <c r="C2968" s="304"/>
      <c r="D2968" s="18"/>
    </row>
    <row r="2969" spans="1:4" ht="15.75" customHeight="1" thickBot="1" x14ac:dyDescent="0.3">
      <c r="A2969" s="4"/>
      <c r="B2969" s="303"/>
      <c r="C2969" s="304"/>
      <c r="D2969" s="18"/>
    </row>
    <row r="2970" spans="1:4" ht="15.75" customHeight="1" thickBot="1" x14ac:dyDescent="0.3">
      <c r="A2970" s="4"/>
      <c r="B2970" s="303"/>
      <c r="C2970" s="304"/>
      <c r="D2970" s="18"/>
    </row>
    <row r="2971" spans="1:4" ht="15.75" customHeight="1" thickBot="1" x14ac:dyDescent="0.3">
      <c r="A2971" s="4"/>
      <c r="B2971" s="303"/>
      <c r="C2971" s="304"/>
      <c r="D2971" s="18"/>
    </row>
    <row r="2972" spans="1:4" ht="15.75" customHeight="1" thickBot="1" x14ac:dyDescent="0.3">
      <c r="A2972" s="4"/>
      <c r="B2972" s="303"/>
      <c r="C2972" s="304"/>
      <c r="D2972" s="18"/>
    </row>
    <row r="2973" spans="1:4" ht="15.75" customHeight="1" thickBot="1" x14ac:dyDescent="0.3">
      <c r="A2973" s="4"/>
      <c r="B2973" s="303"/>
      <c r="C2973" s="304"/>
      <c r="D2973" s="18"/>
    </row>
    <row r="2974" spans="1:4" ht="15.75" customHeight="1" thickBot="1" x14ac:dyDescent="0.3">
      <c r="A2974" s="4"/>
      <c r="B2974" s="303"/>
      <c r="C2974" s="304"/>
      <c r="D2974" s="18"/>
    </row>
    <row r="2975" spans="1:4" ht="15.75" customHeight="1" thickBot="1" x14ac:dyDescent="0.3">
      <c r="A2975" s="2"/>
      <c r="B2975" s="3"/>
      <c r="C2975" s="2"/>
      <c r="D2975" s="1"/>
    </row>
    <row r="2976" spans="1:4" ht="15.75" customHeight="1" thickBot="1" x14ac:dyDescent="0.3">
      <c r="A2976" s="300"/>
      <c r="B2976" s="301"/>
      <c r="C2976" s="301"/>
      <c r="D2976" s="302"/>
    </row>
    <row r="2977" spans="1:4" ht="15.75" customHeight="1" x14ac:dyDescent="0.25">
      <c r="A2977" s="5"/>
      <c r="B2977" s="6"/>
      <c r="C2977" s="7"/>
      <c r="D2977" s="8"/>
    </row>
    <row r="2978" spans="1:4" ht="15.75" customHeight="1" thickBot="1" x14ac:dyDescent="0.3">
      <c r="A2978" s="9"/>
      <c r="B2978" s="10"/>
      <c r="C2978" s="10"/>
      <c r="D2978" s="11"/>
    </row>
    <row r="2979" spans="1:4" ht="15.75" customHeight="1" thickBot="1" x14ac:dyDescent="0.3">
      <c r="A2979" s="15"/>
      <c r="B2979" s="16"/>
      <c r="C2979" s="21"/>
      <c r="D2979" s="16"/>
    </row>
    <row r="2980" spans="1:4" ht="15.75" customHeight="1" thickBot="1" x14ac:dyDescent="0.3">
      <c r="A2980" s="12"/>
      <c r="B2980" s="305"/>
      <c r="C2980" s="306"/>
      <c r="D2980" s="54"/>
    </row>
    <row r="2981" spans="1:4" ht="15.75" customHeight="1" thickBot="1" x14ac:dyDescent="0.3">
      <c r="A2981" s="38"/>
      <c r="B2981" s="45"/>
      <c r="C2981" s="45"/>
      <c r="D2981" s="45"/>
    </row>
    <row r="2982" spans="1:4" ht="15.75" customHeight="1" thickBot="1" x14ac:dyDescent="0.3">
      <c r="A2982" s="19"/>
      <c r="B2982" s="20"/>
      <c r="C2982" s="50"/>
      <c r="D2982" s="51"/>
    </row>
    <row r="2983" spans="1:4" ht="15.75" customHeight="1" thickBot="1" x14ac:dyDescent="0.3">
      <c r="A2983" s="19"/>
      <c r="B2983" s="20"/>
      <c r="C2983" s="52"/>
      <c r="D2983" s="53"/>
    </row>
    <row r="2984" spans="1:4" ht="15.75" customHeight="1" thickBot="1" x14ac:dyDescent="0.3">
      <c r="A2984" s="19"/>
      <c r="B2984" s="20"/>
      <c r="C2984" s="13"/>
      <c r="D2984" s="14"/>
    </row>
    <row r="2985" spans="1:4" ht="15.75" customHeight="1" thickBot="1" x14ac:dyDescent="0.3">
      <c r="A2985" s="2"/>
      <c r="B2985" s="3"/>
      <c r="C2985" s="2"/>
      <c r="D2985" s="1"/>
    </row>
    <row r="2986" spans="1:4" ht="15.75" customHeight="1" thickBot="1" x14ac:dyDescent="0.3">
      <c r="A2986" s="4"/>
      <c r="B2986" s="303"/>
      <c r="C2986" s="304"/>
      <c r="D2986" s="4"/>
    </row>
    <row r="2987" spans="1:4" ht="15.75" customHeight="1" thickBot="1" x14ac:dyDescent="0.3">
      <c r="A2987" s="4"/>
      <c r="B2987" s="303"/>
      <c r="C2987" s="304"/>
      <c r="D2987" s="18"/>
    </row>
    <row r="2988" spans="1:4" ht="15.75" customHeight="1" thickBot="1" x14ac:dyDescent="0.3">
      <c r="A2988" s="4"/>
      <c r="B2988" s="303"/>
      <c r="C2988" s="304"/>
      <c r="D2988" s="18"/>
    </row>
    <row r="2989" spans="1:4" ht="15.75" customHeight="1" thickBot="1" x14ac:dyDescent="0.3">
      <c r="A2989" s="4"/>
      <c r="B2989" s="303"/>
      <c r="C2989" s="304"/>
      <c r="D2989" s="18"/>
    </row>
    <row r="2990" spans="1:4" ht="15.75" customHeight="1" thickBot="1" x14ac:dyDescent="0.3">
      <c r="A2990" s="4"/>
      <c r="B2990" s="303"/>
      <c r="C2990" s="304"/>
      <c r="D2990" s="18"/>
    </row>
    <row r="2991" spans="1:4" ht="15.75" customHeight="1" thickBot="1" x14ac:dyDescent="0.3">
      <c r="A2991" s="4"/>
      <c r="B2991" s="303"/>
      <c r="C2991" s="304"/>
      <c r="D2991" s="18"/>
    </row>
    <row r="2992" spans="1:4" ht="15.75" customHeight="1" thickBot="1" x14ac:dyDescent="0.3">
      <c r="A2992" s="4"/>
      <c r="B2992" s="303"/>
      <c r="C2992" s="304"/>
      <c r="D2992" s="18"/>
    </row>
    <row r="2993" spans="1:4" ht="15.75" customHeight="1" thickBot="1" x14ac:dyDescent="0.3">
      <c r="A2993" s="4"/>
      <c r="B2993" s="303"/>
      <c r="C2993" s="304"/>
      <c r="D2993" s="18"/>
    </row>
    <row r="2994" spans="1:4" ht="15.75" customHeight="1" thickBot="1" x14ac:dyDescent="0.3">
      <c r="A2994" s="4"/>
      <c r="B2994" s="303"/>
      <c r="C2994" s="304"/>
      <c r="D2994" s="18"/>
    </row>
    <row r="2995" spans="1:4" ht="15.75" customHeight="1" thickBot="1" x14ac:dyDescent="0.3">
      <c r="A2995" s="2"/>
      <c r="B2995" s="3"/>
      <c r="C2995" s="2"/>
      <c r="D2995" s="1"/>
    </row>
    <row r="2996" spans="1:4" ht="15.75" customHeight="1" thickBot="1" x14ac:dyDescent="0.3">
      <c r="A2996" s="300"/>
      <c r="B2996" s="301"/>
      <c r="C2996" s="301"/>
      <c r="D2996" s="302"/>
    </row>
    <row r="2997" spans="1:4" ht="15.75" customHeight="1" x14ac:dyDescent="0.25">
      <c r="A2997" s="5"/>
      <c r="B2997" s="6"/>
      <c r="C2997" s="7"/>
      <c r="D2997" s="8"/>
    </row>
    <row r="2998" spans="1:4" ht="15.75" customHeight="1" thickBot="1" x14ac:dyDescent="0.3">
      <c r="A2998" s="9"/>
      <c r="B2998" s="10"/>
      <c r="C2998" s="10"/>
      <c r="D2998" s="11"/>
    </row>
    <row r="2999" spans="1:4" ht="15.75" customHeight="1" thickBot="1" x14ac:dyDescent="0.3">
      <c r="A2999" s="15"/>
      <c r="B2999" s="16"/>
      <c r="C2999" s="21"/>
      <c r="D2999" s="16"/>
    </row>
    <row r="3000" spans="1:4" ht="15.75" customHeight="1" thickBot="1" x14ac:dyDescent="0.3">
      <c r="A3000" s="12"/>
      <c r="B3000" s="305"/>
      <c r="C3000" s="306"/>
      <c r="D3000" s="54"/>
    </row>
    <row r="3001" spans="1:4" ht="15.75" customHeight="1" thickBot="1" x14ac:dyDescent="0.3">
      <c r="A3001" s="38"/>
      <c r="B3001" s="45"/>
      <c r="C3001" s="45"/>
      <c r="D3001" s="45"/>
    </row>
    <row r="3002" spans="1:4" ht="15.75" customHeight="1" thickBot="1" x14ac:dyDescent="0.3">
      <c r="A3002" s="19"/>
      <c r="B3002" s="20"/>
      <c r="C3002" s="50"/>
      <c r="D3002" s="51"/>
    </row>
    <row r="3003" spans="1:4" ht="15.75" customHeight="1" thickBot="1" x14ac:dyDescent="0.3">
      <c r="A3003" s="19"/>
      <c r="B3003" s="20"/>
      <c r="C3003" s="52"/>
      <c r="D3003" s="53"/>
    </row>
    <row r="3004" spans="1:4" ht="15.75" customHeight="1" thickBot="1" x14ac:dyDescent="0.3">
      <c r="A3004" s="19"/>
      <c r="B3004" s="20"/>
      <c r="C3004" s="13"/>
      <c r="D3004" s="14"/>
    </row>
    <row r="3005" spans="1:4" ht="15.75" customHeight="1" thickBot="1" x14ac:dyDescent="0.3">
      <c r="A3005" s="2"/>
      <c r="B3005" s="3"/>
      <c r="C3005" s="2"/>
      <c r="D3005" s="1"/>
    </row>
    <row r="3006" spans="1:4" ht="15.75" customHeight="1" thickBot="1" x14ac:dyDescent="0.3">
      <c r="A3006" s="4"/>
      <c r="B3006" s="303"/>
      <c r="C3006" s="304"/>
      <c r="D3006" s="4"/>
    </row>
    <row r="3007" spans="1:4" ht="15.75" customHeight="1" thickBot="1" x14ac:dyDescent="0.3">
      <c r="A3007" s="4"/>
      <c r="B3007" s="303"/>
      <c r="C3007" s="304"/>
      <c r="D3007" s="18"/>
    </row>
    <row r="3008" spans="1:4" ht="15.75" customHeight="1" thickBot="1" x14ac:dyDescent="0.3">
      <c r="A3008" s="4"/>
      <c r="B3008" s="303"/>
      <c r="C3008" s="304"/>
      <c r="D3008" s="18"/>
    </row>
    <row r="3009" spans="1:4" ht="15.75" customHeight="1" thickBot="1" x14ac:dyDescent="0.3">
      <c r="A3009" s="4"/>
      <c r="B3009" s="303"/>
      <c r="C3009" s="304"/>
      <c r="D3009" s="18"/>
    </row>
    <row r="3010" spans="1:4" ht="15.75" customHeight="1" thickBot="1" x14ac:dyDescent="0.3">
      <c r="A3010" s="4"/>
      <c r="B3010" s="303"/>
      <c r="C3010" s="304"/>
      <c r="D3010" s="18"/>
    </row>
    <row r="3011" spans="1:4" ht="15.75" customHeight="1" thickBot="1" x14ac:dyDescent="0.3">
      <c r="A3011" s="4"/>
      <c r="B3011" s="303"/>
      <c r="C3011" s="304"/>
      <c r="D3011" s="18"/>
    </row>
    <row r="3012" spans="1:4" ht="15.75" customHeight="1" thickBot="1" x14ac:dyDescent="0.3">
      <c r="A3012" s="4"/>
      <c r="B3012" s="303"/>
      <c r="C3012" s="304"/>
      <c r="D3012" s="18"/>
    </row>
    <row r="3013" spans="1:4" ht="15.75" customHeight="1" thickBot="1" x14ac:dyDescent="0.3">
      <c r="A3013" s="4"/>
      <c r="B3013" s="303"/>
      <c r="C3013" s="304"/>
      <c r="D3013" s="18"/>
    </row>
    <row r="3014" spans="1:4" ht="15.75" customHeight="1" thickBot="1" x14ac:dyDescent="0.3">
      <c r="A3014" s="4"/>
      <c r="B3014" s="303"/>
      <c r="C3014" s="304"/>
      <c r="D3014" s="18"/>
    </row>
    <row r="3015" spans="1:4" ht="15.75" customHeight="1" thickBot="1" x14ac:dyDescent="0.3">
      <c r="A3015" s="2"/>
      <c r="B3015" s="3"/>
      <c r="C3015" s="2"/>
      <c r="D3015" s="1"/>
    </row>
    <row r="3016" spans="1:4" ht="15.75" customHeight="1" thickBot="1" x14ac:dyDescent="0.3">
      <c r="A3016" s="300"/>
      <c r="B3016" s="301"/>
      <c r="C3016" s="301"/>
      <c r="D3016" s="302"/>
    </row>
    <row r="3017" spans="1:4" ht="15.75" customHeight="1" x14ac:dyDescent="0.25">
      <c r="A3017" s="5"/>
      <c r="B3017" s="6"/>
      <c r="C3017" s="7"/>
      <c r="D3017" s="8"/>
    </row>
    <row r="3018" spans="1:4" ht="15.75" customHeight="1" thickBot="1" x14ac:dyDescent="0.3">
      <c r="A3018" s="9"/>
      <c r="B3018" s="10"/>
      <c r="C3018" s="10"/>
      <c r="D3018" s="11"/>
    </row>
    <row r="3019" spans="1:4" ht="15.75" customHeight="1" thickBot="1" x14ac:dyDescent="0.3">
      <c r="A3019" s="15"/>
      <c r="B3019" s="16"/>
      <c r="C3019" s="21"/>
      <c r="D3019" s="16"/>
    </row>
    <row r="3020" spans="1:4" ht="15.75" customHeight="1" thickBot="1" x14ac:dyDescent="0.3">
      <c r="A3020" s="12"/>
      <c r="B3020" s="305"/>
      <c r="C3020" s="306"/>
      <c r="D3020" s="54"/>
    </row>
    <row r="3021" spans="1:4" ht="15.75" customHeight="1" thickBot="1" x14ac:dyDescent="0.3">
      <c r="A3021" s="38"/>
      <c r="B3021" s="45"/>
      <c r="C3021" s="45"/>
      <c r="D3021" s="45"/>
    </row>
    <row r="3022" spans="1:4" ht="15.75" customHeight="1" thickBot="1" x14ac:dyDescent="0.3">
      <c r="A3022" s="19"/>
      <c r="B3022" s="20"/>
      <c r="C3022" s="50"/>
      <c r="D3022" s="51"/>
    </row>
    <row r="3023" spans="1:4" ht="15.75" customHeight="1" thickBot="1" x14ac:dyDescent="0.3">
      <c r="A3023" s="19"/>
      <c r="B3023" s="20"/>
      <c r="C3023" s="52"/>
      <c r="D3023" s="53"/>
    </row>
    <row r="3024" spans="1:4" ht="15.75" customHeight="1" thickBot="1" x14ac:dyDescent="0.3">
      <c r="A3024" s="19"/>
      <c r="B3024" s="20"/>
      <c r="C3024" s="13"/>
      <c r="D3024" s="14"/>
    </row>
    <row r="3025" spans="1:4" ht="15.75" customHeight="1" thickBot="1" x14ac:dyDescent="0.3">
      <c r="A3025" s="2"/>
      <c r="B3025" s="3"/>
      <c r="C3025" s="2"/>
      <c r="D3025" s="1"/>
    </row>
    <row r="3026" spans="1:4" ht="15.75" customHeight="1" thickBot="1" x14ac:dyDescent="0.3">
      <c r="A3026" s="4"/>
      <c r="B3026" s="303"/>
      <c r="C3026" s="304"/>
      <c r="D3026" s="4"/>
    </row>
    <row r="3027" spans="1:4" ht="15.75" customHeight="1" thickBot="1" x14ac:dyDescent="0.3">
      <c r="A3027" s="4"/>
      <c r="B3027" s="303"/>
      <c r="C3027" s="304"/>
      <c r="D3027" s="18"/>
    </row>
    <row r="3028" spans="1:4" ht="15.75" customHeight="1" thickBot="1" x14ac:dyDescent="0.3">
      <c r="A3028" s="4"/>
      <c r="B3028" s="303"/>
      <c r="C3028" s="304"/>
      <c r="D3028" s="18"/>
    </row>
    <row r="3029" spans="1:4" ht="15.75" customHeight="1" thickBot="1" x14ac:dyDescent="0.3">
      <c r="A3029" s="4"/>
      <c r="B3029" s="303"/>
      <c r="C3029" s="304"/>
      <c r="D3029" s="18"/>
    </row>
    <row r="3030" spans="1:4" ht="15.75" customHeight="1" thickBot="1" x14ac:dyDescent="0.3">
      <c r="A3030" s="4"/>
      <c r="B3030" s="303"/>
      <c r="C3030" s="304"/>
      <c r="D3030" s="18"/>
    </row>
    <row r="3031" spans="1:4" ht="15.75" customHeight="1" thickBot="1" x14ac:dyDescent="0.3">
      <c r="A3031" s="4"/>
      <c r="B3031" s="303"/>
      <c r="C3031" s="304"/>
      <c r="D3031" s="18"/>
    </row>
    <row r="3032" spans="1:4" ht="15.75" customHeight="1" thickBot="1" x14ac:dyDescent="0.3">
      <c r="A3032" s="4"/>
      <c r="B3032" s="303"/>
      <c r="C3032" s="304"/>
      <c r="D3032" s="18"/>
    </row>
    <row r="3033" spans="1:4" ht="15.75" customHeight="1" thickBot="1" x14ac:dyDescent="0.3">
      <c r="A3033" s="4"/>
      <c r="B3033" s="303"/>
      <c r="C3033" s="304"/>
      <c r="D3033" s="18"/>
    </row>
    <row r="3034" spans="1:4" ht="15.75" customHeight="1" thickBot="1" x14ac:dyDescent="0.3">
      <c r="A3034" s="4"/>
      <c r="B3034" s="303"/>
      <c r="C3034" s="304"/>
      <c r="D3034" s="18"/>
    </row>
    <row r="3035" spans="1:4" ht="15.75" customHeight="1" thickBot="1" x14ac:dyDescent="0.3">
      <c r="A3035" s="2"/>
      <c r="B3035" s="3"/>
      <c r="C3035" s="2"/>
      <c r="D3035" s="1"/>
    </row>
    <row r="3036" spans="1:4" ht="15.75" customHeight="1" thickBot="1" x14ac:dyDescent="0.3">
      <c r="A3036" s="300"/>
      <c r="B3036" s="301"/>
      <c r="C3036" s="301"/>
      <c r="D3036" s="302"/>
    </row>
    <row r="3037" spans="1:4" ht="15.75" customHeight="1" x14ac:dyDescent="0.25">
      <c r="A3037" s="5"/>
      <c r="B3037" s="6"/>
      <c r="C3037" s="7"/>
      <c r="D3037" s="8"/>
    </row>
    <row r="3038" spans="1:4" ht="15.75" customHeight="1" thickBot="1" x14ac:dyDescent="0.3">
      <c r="A3038" s="9"/>
      <c r="B3038" s="10"/>
      <c r="C3038" s="10"/>
      <c r="D3038" s="11"/>
    </row>
    <row r="3039" spans="1:4" ht="15.75" customHeight="1" thickBot="1" x14ac:dyDescent="0.3">
      <c r="A3039" s="15"/>
      <c r="B3039" s="16"/>
      <c r="C3039" s="21"/>
      <c r="D3039" s="16"/>
    </row>
    <row r="3040" spans="1:4" ht="15.75" customHeight="1" thickBot="1" x14ac:dyDescent="0.3">
      <c r="A3040" s="12"/>
      <c r="B3040" s="305"/>
      <c r="C3040" s="306"/>
      <c r="D3040" s="54"/>
    </row>
    <row r="3041" spans="1:4" ht="15.75" customHeight="1" thickBot="1" x14ac:dyDescent="0.3">
      <c r="A3041" s="38"/>
      <c r="B3041" s="45"/>
      <c r="C3041" s="45"/>
      <c r="D3041" s="45"/>
    </row>
    <row r="3042" spans="1:4" ht="15.75" customHeight="1" thickBot="1" x14ac:dyDescent="0.3">
      <c r="A3042" s="19"/>
      <c r="B3042" s="20"/>
      <c r="C3042" s="50"/>
      <c r="D3042" s="51"/>
    </row>
    <row r="3043" spans="1:4" ht="15.75" customHeight="1" thickBot="1" x14ac:dyDescent="0.3">
      <c r="A3043" s="19"/>
      <c r="B3043" s="20"/>
      <c r="C3043" s="52"/>
      <c r="D3043" s="53"/>
    </row>
    <row r="3044" spans="1:4" ht="15.75" customHeight="1" thickBot="1" x14ac:dyDescent="0.3">
      <c r="A3044" s="19"/>
      <c r="B3044" s="20"/>
      <c r="C3044" s="13"/>
      <c r="D3044" s="14"/>
    </row>
    <row r="3045" spans="1:4" ht="15.75" customHeight="1" thickBot="1" x14ac:dyDescent="0.3">
      <c r="A3045" s="2"/>
      <c r="B3045" s="3"/>
      <c r="C3045" s="2"/>
      <c r="D3045" s="1"/>
    </row>
    <row r="3046" spans="1:4" ht="15.75" customHeight="1" thickBot="1" x14ac:dyDescent="0.3">
      <c r="A3046" s="4"/>
      <c r="B3046" s="303"/>
      <c r="C3046" s="304"/>
      <c r="D3046" s="4"/>
    </row>
    <row r="3047" spans="1:4" ht="15.75" customHeight="1" thickBot="1" x14ac:dyDescent="0.3">
      <c r="A3047" s="4"/>
      <c r="B3047" s="303"/>
      <c r="C3047" s="304"/>
      <c r="D3047" s="18"/>
    </row>
    <row r="3048" spans="1:4" ht="15.75" customHeight="1" thickBot="1" x14ac:dyDescent="0.3">
      <c r="A3048" s="4"/>
      <c r="B3048" s="303"/>
      <c r="C3048" s="304"/>
      <c r="D3048" s="18"/>
    </row>
    <row r="3049" spans="1:4" ht="15.75" customHeight="1" thickBot="1" x14ac:dyDescent="0.3">
      <c r="A3049" s="4"/>
      <c r="B3049" s="303"/>
      <c r="C3049" s="304"/>
      <c r="D3049" s="18"/>
    </row>
    <row r="3050" spans="1:4" ht="15.75" customHeight="1" thickBot="1" x14ac:dyDescent="0.3">
      <c r="A3050" s="4"/>
      <c r="B3050" s="303"/>
      <c r="C3050" s="304"/>
      <c r="D3050" s="18"/>
    </row>
    <row r="3051" spans="1:4" ht="15.75" customHeight="1" thickBot="1" x14ac:dyDescent="0.3">
      <c r="A3051" s="4"/>
      <c r="B3051" s="303"/>
      <c r="C3051" s="304"/>
      <c r="D3051" s="18"/>
    </row>
    <row r="3052" spans="1:4" ht="15.75" customHeight="1" thickBot="1" x14ac:dyDescent="0.3">
      <c r="A3052" s="4"/>
      <c r="B3052" s="303"/>
      <c r="C3052" s="304"/>
      <c r="D3052" s="18"/>
    </row>
    <row r="3053" spans="1:4" ht="15.75" customHeight="1" thickBot="1" x14ac:dyDescent="0.3">
      <c r="A3053" s="4"/>
      <c r="B3053" s="303"/>
      <c r="C3053" s="304"/>
      <c r="D3053" s="18"/>
    </row>
    <row r="3054" spans="1:4" ht="15.75" customHeight="1" thickBot="1" x14ac:dyDescent="0.3">
      <c r="A3054" s="4"/>
      <c r="B3054" s="303"/>
      <c r="C3054" s="304"/>
      <c r="D3054" s="18"/>
    </row>
    <row r="3055" spans="1:4" ht="15.75" customHeight="1" thickBot="1" x14ac:dyDescent="0.3">
      <c r="A3055" s="2"/>
      <c r="B3055" s="3"/>
      <c r="C3055" s="2"/>
      <c r="D3055" s="1"/>
    </row>
    <row r="3056" spans="1:4" ht="15.75" customHeight="1" thickBot="1" x14ac:dyDescent="0.3">
      <c r="A3056" s="300"/>
      <c r="B3056" s="301"/>
      <c r="C3056" s="301"/>
      <c r="D3056" s="302"/>
    </row>
    <row r="3057" spans="1:4" ht="15.75" customHeight="1" x14ac:dyDescent="0.25">
      <c r="A3057" s="5"/>
      <c r="B3057" s="6"/>
      <c r="C3057" s="7"/>
      <c r="D3057" s="8"/>
    </row>
    <row r="3058" spans="1:4" ht="15.75" customHeight="1" thickBot="1" x14ac:dyDescent="0.3">
      <c r="A3058" s="9"/>
      <c r="B3058" s="10"/>
      <c r="C3058" s="10"/>
      <c r="D3058" s="11"/>
    </row>
    <row r="3059" spans="1:4" ht="15.75" customHeight="1" thickBot="1" x14ac:dyDescent="0.3">
      <c r="A3059" s="15"/>
      <c r="B3059" s="16"/>
      <c r="C3059" s="21"/>
      <c r="D3059" s="16"/>
    </row>
    <row r="3060" spans="1:4" ht="15.75" customHeight="1" thickBot="1" x14ac:dyDescent="0.3">
      <c r="A3060" s="12"/>
      <c r="B3060" s="305"/>
      <c r="C3060" s="306"/>
      <c r="D3060" s="54"/>
    </row>
    <row r="3061" spans="1:4" ht="15.75" customHeight="1" thickBot="1" x14ac:dyDescent="0.3">
      <c r="A3061" s="38"/>
      <c r="B3061" s="45"/>
      <c r="C3061" s="45"/>
      <c r="D3061" s="45"/>
    </row>
    <row r="3062" spans="1:4" ht="15.75" customHeight="1" thickBot="1" x14ac:dyDescent="0.3">
      <c r="A3062" s="19"/>
      <c r="B3062" s="20"/>
      <c r="C3062" s="50"/>
      <c r="D3062" s="51"/>
    </row>
    <row r="3063" spans="1:4" ht="15.75" customHeight="1" thickBot="1" x14ac:dyDescent="0.3">
      <c r="A3063" s="19"/>
      <c r="B3063" s="20"/>
      <c r="C3063" s="52"/>
      <c r="D3063" s="53"/>
    </row>
    <row r="3064" spans="1:4" ht="15.75" customHeight="1" thickBot="1" x14ac:dyDescent="0.3">
      <c r="A3064" s="19"/>
      <c r="B3064" s="20"/>
      <c r="C3064" s="13"/>
      <c r="D3064" s="14"/>
    </row>
    <row r="3065" spans="1:4" ht="15.75" customHeight="1" thickBot="1" x14ac:dyDescent="0.3">
      <c r="A3065" s="2"/>
      <c r="B3065" s="3"/>
      <c r="C3065" s="2"/>
      <c r="D3065" s="1"/>
    </row>
    <row r="3066" spans="1:4" ht="15.75" customHeight="1" thickBot="1" x14ac:dyDescent="0.3">
      <c r="A3066" s="4"/>
      <c r="B3066" s="303"/>
      <c r="C3066" s="304"/>
      <c r="D3066" s="4"/>
    </row>
    <row r="3067" spans="1:4" ht="15.75" customHeight="1" thickBot="1" x14ac:dyDescent="0.3">
      <c r="A3067" s="4"/>
      <c r="B3067" s="303"/>
      <c r="C3067" s="304"/>
      <c r="D3067" s="18"/>
    </row>
    <row r="3068" spans="1:4" ht="15.75" customHeight="1" thickBot="1" x14ac:dyDescent="0.3">
      <c r="A3068" s="4"/>
      <c r="B3068" s="303"/>
      <c r="C3068" s="304"/>
      <c r="D3068" s="18"/>
    </row>
    <row r="3069" spans="1:4" ht="15.75" customHeight="1" thickBot="1" x14ac:dyDescent="0.3">
      <c r="A3069" s="4"/>
      <c r="B3069" s="303"/>
      <c r="C3069" s="304"/>
      <c r="D3069" s="18"/>
    </row>
    <row r="3070" spans="1:4" ht="15.75" customHeight="1" thickBot="1" x14ac:dyDescent="0.3">
      <c r="A3070" s="4"/>
      <c r="B3070" s="303"/>
      <c r="C3070" s="304"/>
      <c r="D3070" s="18"/>
    </row>
    <row r="3071" spans="1:4" ht="15.75" customHeight="1" thickBot="1" x14ac:dyDescent="0.3">
      <c r="A3071" s="4"/>
      <c r="B3071" s="303"/>
      <c r="C3071" s="304"/>
      <c r="D3071" s="18"/>
    </row>
    <row r="3072" spans="1:4" ht="15.75" customHeight="1" thickBot="1" x14ac:dyDescent="0.3">
      <c r="A3072" s="4"/>
      <c r="B3072" s="303"/>
      <c r="C3072" s="304"/>
      <c r="D3072" s="18"/>
    </row>
    <row r="3073" spans="1:4" ht="15.75" customHeight="1" thickBot="1" x14ac:dyDescent="0.3">
      <c r="A3073" s="4"/>
      <c r="B3073" s="303"/>
      <c r="C3073" s="304"/>
      <c r="D3073" s="18"/>
    </row>
    <row r="3074" spans="1:4" ht="15.75" customHeight="1" thickBot="1" x14ac:dyDescent="0.3">
      <c r="A3074" s="4"/>
      <c r="B3074" s="303"/>
      <c r="C3074" s="304"/>
      <c r="D3074" s="18"/>
    </row>
    <row r="3075" spans="1:4" ht="15.75" customHeight="1" thickBot="1" x14ac:dyDescent="0.3">
      <c r="A3075" s="2"/>
      <c r="B3075" s="3"/>
      <c r="C3075" s="2"/>
      <c r="D3075" s="1"/>
    </row>
    <row r="3076" spans="1:4" ht="15.75" customHeight="1" thickBot="1" x14ac:dyDescent="0.3">
      <c r="A3076" s="300"/>
      <c r="B3076" s="301"/>
      <c r="C3076" s="301"/>
      <c r="D3076" s="302"/>
    </row>
    <row r="3077" spans="1:4" ht="15.75" customHeight="1" x14ac:dyDescent="0.25">
      <c r="A3077" s="5"/>
      <c r="B3077" s="6"/>
      <c r="C3077" s="7"/>
      <c r="D3077" s="8"/>
    </row>
    <row r="3078" spans="1:4" ht="15.75" customHeight="1" thickBot="1" x14ac:dyDescent="0.3">
      <c r="A3078" s="9"/>
      <c r="B3078" s="10"/>
      <c r="C3078" s="10"/>
      <c r="D3078" s="11"/>
    </row>
    <row r="3079" spans="1:4" ht="15.75" customHeight="1" thickBot="1" x14ac:dyDescent="0.3">
      <c r="A3079" s="15"/>
      <c r="B3079" s="16"/>
      <c r="C3079" s="21"/>
      <c r="D3079" s="16"/>
    </row>
    <row r="3080" spans="1:4" ht="15.75" customHeight="1" thickBot="1" x14ac:dyDescent="0.3">
      <c r="A3080" s="12"/>
      <c r="B3080" s="305"/>
      <c r="C3080" s="306"/>
      <c r="D3080" s="54"/>
    </row>
    <row r="3081" spans="1:4" ht="15.75" customHeight="1" thickBot="1" x14ac:dyDescent="0.3">
      <c r="A3081" s="38"/>
      <c r="B3081" s="45"/>
      <c r="C3081" s="45"/>
      <c r="D3081" s="45"/>
    </row>
    <row r="3082" spans="1:4" ht="15.75" customHeight="1" thickBot="1" x14ac:dyDescent="0.3">
      <c r="A3082" s="19"/>
      <c r="B3082" s="20"/>
      <c r="C3082" s="50"/>
      <c r="D3082" s="51"/>
    </row>
    <row r="3083" spans="1:4" ht="15.75" customHeight="1" thickBot="1" x14ac:dyDescent="0.3">
      <c r="A3083" s="19"/>
      <c r="B3083" s="20"/>
      <c r="C3083" s="52"/>
      <c r="D3083" s="53"/>
    </row>
    <row r="3084" spans="1:4" ht="15.75" customHeight="1" thickBot="1" x14ac:dyDescent="0.3">
      <c r="A3084" s="19"/>
      <c r="B3084" s="20"/>
      <c r="C3084" s="13"/>
      <c r="D3084" s="14"/>
    </row>
    <row r="3085" spans="1:4" ht="15.75" customHeight="1" thickBot="1" x14ac:dyDescent="0.3">
      <c r="A3085" s="2"/>
      <c r="B3085" s="3"/>
      <c r="C3085" s="2"/>
      <c r="D3085" s="1"/>
    </row>
    <row r="3086" spans="1:4" ht="15.75" customHeight="1" thickBot="1" x14ac:dyDescent="0.3">
      <c r="A3086" s="4"/>
      <c r="B3086" s="303"/>
      <c r="C3086" s="304"/>
      <c r="D3086" s="4"/>
    </row>
    <row r="3087" spans="1:4" ht="15.75" customHeight="1" thickBot="1" x14ac:dyDescent="0.3">
      <c r="A3087" s="4"/>
      <c r="B3087" s="303"/>
      <c r="C3087" s="304"/>
      <c r="D3087" s="18"/>
    </row>
    <row r="3088" spans="1:4" ht="15.75" customHeight="1" thickBot="1" x14ac:dyDescent="0.3">
      <c r="A3088" s="4"/>
      <c r="B3088" s="303"/>
      <c r="C3088" s="304"/>
      <c r="D3088" s="18"/>
    </row>
    <row r="3089" spans="1:4" ht="15.75" customHeight="1" thickBot="1" x14ac:dyDescent="0.3">
      <c r="A3089" s="4"/>
      <c r="B3089" s="303"/>
      <c r="C3089" s="304"/>
      <c r="D3089" s="18"/>
    </row>
    <row r="3090" spans="1:4" ht="15.75" customHeight="1" thickBot="1" x14ac:dyDescent="0.3">
      <c r="A3090" s="4"/>
      <c r="B3090" s="303"/>
      <c r="C3090" s="304"/>
      <c r="D3090" s="18"/>
    </row>
    <row r="3091" spans="1:4" ht="15.75" customHeight="1" thickBot="1" x14ac:dyDescent="0.3">
      <c r="A3091" s="4"/>
      <c r="B3091" s="303"/>
      <c r="C3091" s="304"/>
      <c r="D3091" s="18"/>
    </row>
    <row r="3092" spans="1:4" ht="15.75" customHeight="1" thickBot="1" x14ac:dyDescent="0.3">
      <c r="A3092" s="4"/>
      <c r="B3092" s="303"/>
      <c r="C3092" s="304"/>
      <c r="D3092" s="18"/>
    </row>
    <row r="3093" spans="1:4" ht="15.75" customHeight="1" thickBot="1" x14ac:dyDescent="0.3">
      <c r="A3093" s="4"/>
      <c r="B3093" s="303"/>
      <c r="C3093" s="304"/>
      <c r="D3093" s="18"/>
    </row>
    <row r="3094" spans="1:4" ht="15.75" customHeight="1" thickBot="1" x14ac:dyDescent="0.3">
      <c r="A3094" s="4"/>
      <c r="B3094" s="303"/>
      <c r="C3094" s="304"/>
      <c r="D3094" s="18"/>
    </row>
    <row r="3095" spans="1:4" ht="15.75" customHeight="1" thickBot="1" x14ac:dyDescent="0.3">
      <c r="A3095" s="2"/>
      <c r="B3095" s="3"/>
      <c r="C3095" s="2"/>
      <c r="D3095" s="1"/>
    </row>
    <row r="3096" spans="1:4" ht="15.75" customHeight="1" thickBot="1" x14ac:dyDescent="0.3">
      <c r="A3096" s="300"/>
      <c r="B3096" s="301"/>
      <c r="C3096" s="301"/>
      <c r="D3096" s="302"/>
    </row>
    <row r="3097" spans="1:4" ht="15.75" customHeight="1" x14ac:dyDescent="0.25">
      <c r="A3097" s="5"/>
      <c r="B3097" s="6"/>
      <c r="C3097" s="7"/>
      <c r="D3097" s="8"/>
    </row>
    <row r="3098" spans="1:4" ht="15.75" customHeight="1" thickBot="1" x14ac:dyDescent="0.3">
      <c r="A3098" s="9"/>
      <c r="B3098" s="10"/>
      <c r="C3098" s="10"/>
      <c r="D3098" s="11"/>
    </row>
    <row r="3099" spans="1:4" ht="15.75" customHeight="1" thickBot="1" x14ac:dyDescent="0.3">
      <c r="A3099" s="15"/>
      <c r="B3099" s="16"/>
      <c r="C3099" s="21"/>
      <c r="D3099" s="16"/>
    </row>
    <row r="3100" spans="1:4" ht="15.75" customHeight="1" thickBot="1" x14ac:dyDescent="0.3">
      <c r="A3100" s="12"/>
      <c r="B3100" s="305"/>
      <c r="C3100" s="306"/>
      <c r="D3100" s="54"/>
    </row>
    <row r="3101" spans="1:4" ht="15.75" customHeight="1" thickBot="1" x14ac:dyDescent="0.3">
      <c r="A3101" s="38"/>
      <c r="B3101" s="45"/>
      <c r="C3101" s="45"/>
      <c r="D3101" s="45"/>
    </row>
    <row r="3102" spans="1:4" ht="15.75" customHeight="1" thickBot="1" x14ac:dyDescent="0.3">
      <c r="A3102" s="19"/>
      <c r="B3102" s="20"/>
      <c r="C3102" s="50"/>
      <c r="D3102" s="51"/>
    </row>
    <row r="3103" spans="1:4" ht="15.75" customHeight="1" thickBot="1" x14ac:dyDescent="0.3">
      <c r="A3103" s="19"/>
      <c r="B3103" s="20"/>
      <c r="C3103" s="52"/>
      <c r="D3103" s="53"/>
    </row>
    <row r="3104" spans="1:4" ht="15.75" customHeight="1" thickBot="1" x14ac:dyDescent="0.3">
      <c r="A3104" s="19"/>
      <c r="B3104" s="20"/>
      <c r="C3104" s="13"/>
      <c r="D3104" s="14"/>
    </row>
    <row r="3105" spans="1:4" ht="15.75" customHeight="1" thickBot="1" x14ac:dyDescent="0.3">
      <c r="A3105" s="2"/>
      <c r="B3105" s="3"/>
      <c r="C3105" s="2"/>
      <c r="D3105" s="1"/>
    </row>
    <row r="3106" spans="1:4" ht="15.75" customHeight="1" thickBot="1" x14ac:dyDescent="0.3">
      <c r="A3106" s="4"/>
      <c r="B3106" s="303"/>
      <c r="C3106" s="304"/>
      <c r="D3106" s="4"/>
    </row>
    <row r="3107" spans="1:4" ht="15.75" customHeight="1" thickBot="1" x14ac:dyDescent="0.3">
      <c r="A3107" s="4"/>
      <c r="B3107" s="303"/>
      <c r="C3107" s="304"/>
      <c r="D3107" s="18"/>
    </row>
    <row r="3108" spans="1:4" ht="15.75" customHeight="1" thickBot="1" x14ac:dyDescent="0.3">
      <c r="A3108" s="4"/>
      <c r="B3108" s="303"/>
      <c r="C3108" s="304"/>
      <c r="D3108" s="18"/>
    </row>
    <row r="3109" spans="1:4" ht="15.75" customHeight="1" thickBot="1" x14ac:dyDescent="0.3">
      <c r="A3109" s="4"/>
      <c r="B3109" s="303"/>
      <c r="C3109" s="304"/>
      <c r="D3109" s="18"/>
    </row>
    <row r="3110" spans="1:4" ht="15.75" customHeight="1" thickBot="1" x14ac:dyDescent="0.3">
      <c r="A3110" s="4"/>
      <c r="B3110" s="303"/>
      <c r="C3110" s="304"/>
      <c r="D3110" s="18"/>
    </row>
    <row r="3111" spans="1:4" ht="15.75" customHeight="1" thickBot="1" x14ac:dyDescent="0.3">
      <c r="A3111" s="4"/>
      <c r="B3111" s="303"/>
      <c r="C3111" s="304"/>
      <c r="D3111" s="18"/>
    </row>
    <row r="3112" spans="1:4" ht="15.75" customHeight="1" thickBot="1" x14ac:dyDescent="0.3">
      <c r="A3112" s="4"/>
      <c r="B3112" s="303"/>
      <c r="C3112" s="304"/>
      <c r="D3112" s="18"/>
    </row>
    <row r="3113" spans="1:4" ht="15.75" customHeight="1" thickBot="1" x14ac:dyDescent="0.3">
      <c r="A3113" s="4"/>
      <c r="B3113" s="303"/>
      <c r="C3113" s="304"/>
      <c r="D3113" s="18"/>
    </row>
    <row r="3114" spans="1:4" ht="15.75" customHeight="1" thickBot="1" x14ac:dyDescent="0.3">
      <c r="A3114" s="4"/>
      <c r="B3114" s="303"/>
      <c r="C3114" s="304"/>
      <c r="D3114" s="18"/>
    </row>
    <row r="3115" spans="1:4" ht="15.75" customHeight="1" thickBot="1" x14ac:dyDescent="0.3">
      <c r="A3115" s="2"/>
      <c r="B3115" s="3"/>
      <c r="C3115" s="2"/>
      <c r="D3115" s="1"/>
    </row>
    <row r="3116" spans="1:4" ht="15.75" customHeight="1" thickBot="1" x14ac:dyDescent="0.3">
      <c r="A3116" s="300"/>
      <c r="B3116" s="301"/>
      <c r="C3116" s="301"/>
      <c r="D3116" s="302"/>
    </row>
    <row r="3117" spans="1:4" ht="15.75" customHeight="1" x14ac:dyDescent="0.25">
      <c r="A3117" s="5"/>
      <c r="B3117" s="6"/>
      <c r="C3117" s="7"/>
      <c r="D3117" s="8"/>
    </row>
    <row r="3118" spans="1:4" ht="15.75" customHeight="1" thickBot="1" x14ac:dyDescent="0.3">
      <c r="A3118" s="9"/>
      <c r="B3118" s="10"/>
      <c r="C3118" s="10"/>
      <c r="D3118" s="11"/>
    </row>
    <row r="3119" spans="1:4" ht="15.75" customHeight="1" thickBot="1" x14ac:dyDescent="0.3">
      <c r="A3119" s="15"/>
      <c r="B3119" s="16"/>
      <c r="C3119" s="21"/>
      <c r="D3119" s="16"/>
    </row>
    <row r="3120" spans="1:4" ht="15.75" customHeight="1" thickBot="1" x14ac:dyDescent="0.3">
      <c r="A3120" s="12"/>
      <c r="B3120" s="305"/>
      <c r="C3120" s="306"/>
      <c r="D3120" s="54"/>
    </row>
    <row r="3121" spans="1:4" ht="15.75" customHeight="1" thickBot="1" x14ac:dyDescent="0.3">
      <c r="A3121" s="38"/>
      <c r="B3121" s="45"/>
      <c r="C3121" s="45"/>
      <c r="D3121" s="45"/>
    </row>
    <row r="3122" spans="1:4" ht="15.75" customHeight="1" thickBot="1" x14ac:dyDescent="0.3">
      <c r="A3122" s="19"/>
      <c r="B3122" s="20"/>
      <c r="C3122" s="50"/>
      <c r="D3122" s="51"/>
    </row>
    <row r="3123" spans="1:4" ht="15.75" customHeight="1" thickBot="1" x14ac:dyDescent="0.3">
      <c r="A3123" s="19"/>
      <c r="B3123" s="20"/>
      <c r="C3123" s="52"/>
      <c r="D3123" s="53"/>
    </row>
    <row r="3124" spans="1:4" ht="15.75" customHeight="1" thickBot="1" x14ac:dyDescent="0.3">
      <c r="A3124" s="19"/>
      <c r="B3124" s="20"/>
      <c r="C3124" s="13"/>
      <c r="D3124" s="14"/>
    </row>
    <row r="3125" spans="1:4" ht="15.75" customHeight="1" thickBot="1" x14ac:dyDescent="0.3">
      <c r="A3125" s="2"/>
      <c r="B3125" s="3"/>
      <c r="C3125" s="2"/>
      <c r="D3125" s="1"/>
    </row>
    <row r="3126" spans="1:4" ht="15.75" customHeight="1" thickBot="1" x14ac:dyDescent="0.3">
      <c r="A3126" s="4"/>
      <c r="B3126" s="303"/>
      <c r="C3126" s="304"/>
      <c r="D3126" s="4"/>
    </row>
    <row r="3127" spans="1:4" ht="15.75" customHeight="1" thickBot="1" x14ac:dyDescent="0.3">
      <c r="A3127" s="4"/>
      <c r="B3127" s="303"/>
      <c r="C3127" s="304"/>
      <c r="D3127" s="18"/>
    </row>
    <row r="3128" spans="1:4" ht="15.75" customHeight="1" thickBot="1" x14ac:dyDescent="0.3">
      <c r="A3128" s="4"/>
      <c r="B3128" s="303"/>
      <c r="C3128" s="304"/>
      <c r="D3128" s="18"/>
    </row>
    <row r="3129" spans="1:4" ht="15.75" customHeight="1" thickBot="1" x14ac:dyDescent="0.3">
      <c r="A3129" s="4"/>
      <c r="B3129" s="303"/>
      <c r="C3129" s="304"/>
      <c r="D3129" s="18"/>
    </row>
    <row r="3130" spans="1:4" ht="15.75" customHeight="1" thickBot="1" x14ac:dyDescent="0.3">
      <c r="A3130" s="4"/>
      <c r="B3130" s="303"/>
      <c r="C3130" s="304"/>
      <c r="D3130" s="18"/>
    </row>
    <row r="3131" spans="1:4" ht="15.75" customHeight="1" thickBot="1" x14ac:dyDescent="0.3">
      <c r="A3131" s="4"/>
      <c r="B3131" s="303"/>
      <c r="C3131" s="304"/>
      <c r="D3131" s="18"/>
    </row>
    <row r="3132" spans="1:4" ht="15.75" customHeight="1" thickBot="1" x14ac:dyDescent="0.3">
      <c r="A3132" s="4"/>
      <c r="B3132" s="303"/>
      <c r="C3132" s="304"/>
      <c r="D3132" s="18"/>
    </row>
    <row r="3133" spans="1:4" ht="15.75" customHeight="1" thickBot="1" x14ac:dyDescent="0.3">
      <c r="A3133" s="4"/>
      <c r="B3133" s="303"/>
      <c r="C3133" s="304"/>
      <c r="D3133" s="18"/>
    </row>
    <row r="3134" spans="1:4" ht="15.75" customHeight="1" thickBot="1" x14ac:dyDescent="0.3">
      <c r="A3134" s="4"/>
      <c r="B3134" s="303"/>
      <c r="C3134" s="304"/>
      <c r="D3134" s="18"/>
    </row>
    <row r="3135" spans="1:4" ht="15.75" customHeight="1" thickBot="1" x14ac:dyDescent="0.3">
      <c r="A3135" s="2"/>
      <c r="B3135" s="3"/>
      <c r="C3135" s="2"/>
      <c r="D3135" s="1"/>
    </row>
    <row r="3136" spans="1:4" ht="15.75" customHeight="1" thickBot="1" x14ac:dyDescent="0.3">
      <c r="A3136" s="300"/>
      <c r="B3136" s="301"/>
      <c r="C3136" s="301"/>
      <c r="D3136" s="302"/>
    </row>
    <row r="3137" spans="1:4" ht="15.75" customHeight="1" x14ac:dyDescent="0.25">
      <c r="A3137" s="5"/>
      <c r="B3137" s="6"/>
      <c r="C3137" s="7"/>
      <c r="D3137" s="8"/>
    </row>
    <row r="3138" spans="1:4" ht="15.75" customHeight="1" thickBot="1" x14ac:dyDescent="0.3">
      <c r="A3138" s="9"/>
      <c r="B3138" s="10"/>
      <c r="C3138" s="10"/>
      <c r="D3138" s="11"/>
    </row>
    <row r="3139" spans="1:4" ht="15.75" customHeight="1" thickBot="1" x14ac:dyDescent="0.3">
      <c r="A3139" s="15"/>
      <c r="B3139" s="16"/>
      <c r="C3139" s="21"/>
      <c r="D3139" s="16"/>
    </row>
    <row r="3140" spans="1:4" ht="15.75" customHeight="1" thickBot="1" x14ac:dyDescent="0.3">
      <c r="A3140" s="12"/>
      <c r="B3140" s="305"/>
      <c r="C3140" s="306"/>
      <c r="D3140" s="54"/>
    </row>
    <row r="3141" spans="1:4" ht="15.75" customHeight="1" thickBot="1" x14ac:dyDescent="0.3">
      <c r="A3141" s="38"/>
      <c r="B3141" s="45"/>
      <c r="C3141" s="45"/>
      <c r="D3141" s="45"/>
    </row>
    <row r="3142" spans="1:4" ht="15.75" customHeight="1" thickBot="1" x14ac:dyDescent="0.3">
      <c r="A3142" s="19"/>
      <c r="B3142" s="20"/>
      <c r="C3142" s="50"/>
      <c r="D3142" s="51"/>
    </row>
    <row r="3143" spans="1:4" ht="15.75" customHeight="1" thickBot="1" x14ac:dyDescent="0.3">
      <c r="A3143" s="19"/>
      <c r="B3143" s="20"/>
      <c r="C3143" s="52"/>
      <c r="D3143" s="53"/>
    </row>
    <row r="3144" spans="1:4" ht="15.75" customHeight="1" thickBot="1" x14ac:dyDescent="0.3">
      <c r="A3144" s="19"/>
      <c r="B3144" s="20"/>
      <c r="C3144" s="13"/>
      <c r="D3144" s="14"/>
    </row>
    <row r="3145" spans="1:4" ht="15.75" customHeight="1" thickBot="1" x14ac:dyDescent="0.3">
      <c r="A3145" s="2"/>
      <c r="B3145" s="3"/>
      <c r="C3145" s="2"/>
      <c r="D3145" s="1"/>
    </row>
    <row r="3146" spans="1:4" ht="15.75" customHeight="1" thickBot="1" x14ac:dyDescent="0.3">
      <c r="A3146" s="4"/>
      <c r="B3146" s="303"/>
      <c r="C3146" s="304"/>
      <c r="D3146" s="4"/>
    </row>
    <row r="3147" spans="1:4" ht="15.75" customHeight="1" thickBot="1" x14ac:dyDescent="0.3">
      <c r="A3147" s="4"/>
      <c r="B3147" s="303"/>
      <c r="C3147" s="304"/>
      <c r="D3147" s="18"/>
    </row>
    <row r="3148" spans="1:4" ht="15.75" customHeight="1" thickBot="1" x14ac:dyDescent="0.3">
      <c r="A3148" s="4"/>
      <c r="B3148" s="303"/>
      <c r="C3148" s="304"/>
      <c r="D3148" s="18"/>
    </row>
    <row r="3149" spans="1:4" ht="15.75" customHeight="1" thickBot="1" x14ac:dyDescent="0.3">
      <c r="A3149" s="4"/>
      <c r="B3149" s="303"/>
      <c r="C3149" s="304"/>
      <c r="D3149" s="18"/>
    </row>
    <row r="3150" spans="1:4" ht="15.75" customHeight="1" thickBot="1" x14ac:dyDescent="0.3">
      <c r="A3150" s="4"/>
      <c r="B3150" s="303"/>
      <c r="C3150" s="304"/>
      <c r="D3150" s="18"/>
    </row>
    <row r="3151" spans="1:4" ht="15.75" customHeight="1" thickBot="1" x14ac:dyDescent="0.3">
      <c r="A3151" s="4"/>
      <c r="B3151" s="303"/>
      <c r="C3151" s="304"/>
      <c r="D3151" s="18"/>
    </row>
    <row r="3152" spans="1:4" ht="15.75" customHeight="1" thickBot="1" x14ac:dyDescent="0.3">
      <c r="A3152" s="4"/>
      <c r="B3152" s="303"/>
      <c r="C3152" s="304"/>
      <c r="D3152" s="18"/>
    </row>
    <row r="3153" spans="1:4" ht="15.75" customHeight="1" thickBot="1" x14ac:dyDescent="0.3">
      <c r="A3153" s="4"/>
      <c r="B3153" s="303"/>
      <c r="C3153" s="304"/>
      <c r="D3153" s="18"/>
    </row>
    <row r="3154" spans="1:4" ht="15.75" customHeight="1" thickBot="1" x14ac:dyDescent="0.3">
      <c r="A3154" s="4"/>
      <c r="B3154" s="303"/>
      <c r="C3154" s="304"/>
      <c r="D3154" s="18"/>
    </row>
    <row r="3155" spans="1:4" ht="15.75" customHeight="1" thickBot="1" x14ac:dyDescent="0.3">
      <c r="A3155" s="2"/>
      <c r="B3155" s="3"/>
      <c r="C3155" s="2"/>
      <c r="D3155" s="1"/>
    </row>
    <row r="3156" spans="1:4" ht="15.75" customHeight="1" thickBot="1" x14ac:dyDescent="0.3">
      <c r="A3156" s="300"/>
      <c r="B3156" s="301"/>
      <c r="C3156" s="301"/>
      <c r="D3156" s="302"/>
    </row>
    <row r="3157" spans="1:4" ht="15.75" customHeight="1" x14ac:dyDescent="0.25">
      <c r="A3157" s="5"/>
      <c r="B3157" s="6"/>
      <c r="C3157" s="7"/>
      <c r="D3157" s="8"/>
    </row>
    <row r="3158" spans="1:4" ht="15.75" customHeight="1" thickBot="1" x14ac:dyDescent="0.3">
      <c r="A3158" s="9"/>
      <c r="B3158" s="10"/>
      <c r="C3158" s="10"/>
      <c r="D3158" s="11"/>
    </row>
    <row r="3159" spans="1:4" ht="15.75" customHeight="1" thickBot="1" x14ac:dyDescent="0.3">
      <c r="A3159" s="15"/>
      <c r="B3159" s="16"/>
      <c r="C3159" s="21"/>
      <c r="D3159" s="16"/>
    </row>
    <row r="3160" spans="1:4" ht="15.75" customHeight="1" thickBot="1" x14ac:dyDescent="0.3">
      <c r="A3160" s="12"/>
      <c r="B3160" s="305"/>
      <c r="C3160" s="306"/>
      <c r="D3160" s="54"/>
    </row>
    <row r="3161" spans="1:4" ht="15.75" customHeight="1" thickBot="1" x14ac:dyDescent="0.3">
      <c r="A3161" s="38"/>
      <c r="B3161" s="45"/>
      <c r="C3161" s="45"/>
      <c r="D3161" s="45"/>
    </row>
    <row r="3162" spans="1:4" ht="15.75" customHeight="1" thickBot="1" x14ac:dyDescent="0.3">
      <c r="A3162" s="19"/>
      <c r="B3162" s="20"/>
      <c r="C3162" s="50"/>
      <c r="D3162" s="51"/>
    </row>
    <row r="3163" spans="1:4" ht="15.75" customHeight="1" thickBot="1" x14ac:dyDescent="0.3">
      <c r="A3163" s="19"/>
      <c r="B3163" s="20"/>
      <c r="C3163" s="52"/>
      <c r="D3163" s="53"/>
    </row>
    <row r="3164" spans="1:4" ht="15.75" customHeight="1" thickBot="1" x14ac:dyDescent="0.3">
      <c r="A3164" s="19"/>
      <c r="B3164" s="20"/>
      <c r="C3164" s="13"/>
      <c r="D3164" s="14"/>
    </row>
    <row r="3165" spans="1:4" ht="15.75" customHeight="1" thickBot="1" x14ac:dyDescent="0.3">
      <c r="A3165" s="2"/>
      <c r="B3165" s="3"/>
      <c r="C3165" s="2"/>
      <c r="D3165" s="1"/>
    </row>
    <row r="3166" spans="1:4" ht="15.75" customHeight="1" thickBot="1" x14ac:dyDescent="0.3">
      <c r="A3166" s="4"/>
      <c r="B3166" s="303"/>
      <c r="C3166" s="304"/>
      <c r="D3166" s="4"/>
    </row>
    <row r="3167" spans="1:4" ht="15.75" customHeight="1" thickBot="1" x14ac:dyDescent="0.3">
      <c r="A3167" s="4"/>
      <c r="B3167" s="303"/>
      <c r="C3167" s="304"/>
      <c r="D3167" s="18"/>
    </row>
    <row r="3168" spans="1:4" ht="15.75" customHeight="1" thickBot="1" x14ac:dyDescent="0.3">
      <c r="A3168" s="4"/>
      <c r="B3168" s="303"/>
      <c r="C3168" s="304"/>
      <c r="D3168" s="18"/>
    </row>
    <row r="3169" spans="1:4" ht="15.75" customHeight="1" thickBot="1" x14ac:dyDescent="0.3">
      <c r="A3169" s="4"/>
      <c r="B3169" s="303"/>
      <c r="C3169" s="304"/>
      <c r="D3169" s="18"/>
    </row>
    <row r="3170" spans="1:4" ht="15.75" customHeight="1" thickBot="1" x14ac:dyDescent="0.3">
      <c r="A3170" s="4"/>
      <c r="B3170" s="303"/>
      <c r="C3170" s="304"/>
      <c r="D3170" s="18"/>
    </row>
    <row r="3171" spans="1:4" ht="15.75" customHeight="1" thickBot="1" x14ac:dyDescent="0.3">
      <c r="A3171" s="4"/>
      <c r="B3171" s="303"/>
      <c r="C3171" s="304"/>
      <c r="D3171" s="18"/>
    </row>
    <row r="3172" spans="1:4" ht="15.75" customHeight="1" thickBot="1" x14ac:dyDescent="0.3">
      <c r="A3172" s="4"/>
      <c r="B3172" s="303"/>
      <c r="C3172" s="304"/>
      <c r="D3172" s="18"/>
    </row>
    <row r="3173" spans="1:4" ht="15.75" customHeight="1" thickBot="1" x14ac:dyDescent="0.3">
      <c r="A3173" s="4"/>
      <c r="B3173" s="303"/>
      <c r="C3173" s="304"/>
      <c r="D3173" s="18"/>
    </row>
    <row r="3174" spans="1:4" ht="15.75" customHeight="1" thickBot="1" x14ac:dyDescent="0.3">
      <c r="A3174" s="4"/>
      <c r="B3174" s="303"/>
      <c r="C3174" s="304"/>
      <c r="D3174" s="18"/>
    </row>
    <row r="3175" spans="1:4" ht="15.75" customHeight="1" thickBot="1" x14ac:dyDescent="0.3">
      <c r="A3175" s="2"/>
      <c r="B3175" s="3"/>
      <c r="C3175" s="2"/>
      <c r="D3175" s="1"/>
    </row>
    <row r="3176" spans="1:4" ht="15.75" customHeight="1" thickBot="1" x14ac:dyDescent="0.3">
      <c r="A3176" s="300"/>
      <c r="B3176" s="301"/>
      <c r="C3176" s="301"/>
      <c r="D3176" s="302"/>
    </row>
    <row r="3177" spans="1:4" ht="15.75" customHeight="1" x14ac:dyDescent="0.25">
      <c r="A3177" s="5"/>
      <c r="B3177" s="6"/>
      <c r="C3177" s="7"/>
      <c r="D3177" s="8"/>
    </row>
    <row r="3178" spans="1:4" ht="15.75" customHeight="1" thickBot="1" x14ac:dyDescent="0.3">
      <c r="A3178" s="9"/>
      <c r="B3178" s="10"/>
      <c r="C3178" s="10"/>
      <c r="D3178" s="11"/>
    </row>
    <row r="3179" spans="1:4" ht="15.75" customHeight="1" thickBot="1" x14ac:dyDescent="0.3">
      <c r="A3179" s="15"/>
      <c r="B3179" s="16"/>
      <c r="C3179" s="21"/>
      <c r="D3179" s="16"/>
    </row>
    <row r="3180" spans="1:4" ht="15.75" customHeight="1" thickBot="1" x14ac:dyDescent="0.3">
      <c r="A3180" s="12"/>
      <c r="B3180" s="305"/>
      <c r="C3180" s="306"/>
      <c r="D3180" s="54"/>
    </row>
    <row r="3181" spans="1:4" ht="15.75" customHeight="1" thickBot="1" x14ac:dyDescent="0.3">
      <c r="A3181" s="38"/>
      <c r="B3181" s="45"/>
      <c r="C3181" s="45"/>
      <c r="D3181" s="45"/>
    </row>
    <row r="3182" spans="1:4" ht="15.75" customHeight="1" thickBot="1" x14ac:dyDescent="0.3">
      <c r="A3182" s="19"/>
      <c r="B3182" s="20"/>
      <c r="C3182" s="50"/>
      <c r="D3182" s="51"/>
    </row>
    <row r="3183" spans="1:4" ht="15.75" customHeight="1" thickBot="1" x14ac:dyDescent="0.3">
      <c r="A3183" s="19"/>
      <c r="B3183" s="20"/>
      <c r="C3183" s="52"/>
      <c r="D3183" s="53"/>
    </row>
    <row r="3184" spans="1:4" ht="15.75" customHeight="1" thickBot="1" x14ac:dyDescent="0.3">
      <c r="A3184" s="19"/>
      <c r="B3184" s="20"/>
      <c r="C3184" s="13"/>
      <c r="D3184" s="14"/>
    </row>
    <row r="3185" spans="1:4" ht="15.75" customHeight="1" thickBot="1" x14ac:dyDescent="0.3">
      <c r="A3185" s="2"/>
      <c r="B3185" s="3"/>
      <c r="C3185" s="2"/>
      <c r="D3185" s="1"/>
    </row>
    <row r="3186" spans="1:4" ht="15.75" customHeight="1" thickBot="1" x14ac:dyDescent="0.3">
      <c r="A3186" s="4"/>
      <c r="B3186" s="303"/>
      <c r="C3186" s="304"/>
      <c r="D3186" s="4"/>
    </row>
    <row r="3187" spans="1:4" ht="15.75" customHeight="1" thickBot="1" x14ac:dyDescent="0.3">
      <c r="A3187" s="4"/>
      <c r="B3187" s="303"/>
      <c r="C3187" s="304"/>
      <c r="D3187" s="18"/>
    </row>
    <row r="3188" spans="1:4" ht="15.75" customHeight="1" thickBot="1" x14ac:dyDescent="0.3">
      <c r="A3188" s="4"/>
      <c r="B3188" s="303"/>
      <c r="C3188" s="304"/>
      <c r="D3188" s="18"/>
    </row>
    <row r="3189" spans="1:4" ht="15.75" customHeight="1" thickBot="1" x14ac:dyDescent="0.3">
      <c r="A3189" s="4"/>
      <c r="B3189" s="303"/>
      <c r="C3189" s="304"/>
      <c r="D3189" s="18"/>
    </row>
    <row r="3190" spans="1:4" ht="15.75" customHeight="1" thickBot="1" x14ac:dyDescent="0.3">
      <c r="A3190" s="4"/>
      <c r="B3190" s="303"/>
      <c r="C3190" s="304"/>
      <c r="D3190" s="18"/>
    </row>
    <row r="3191" spans="1:4" ht="15.75" customHeight="1" thickBot="1" x14ac:dyDescent="0.3">
      <c r="A3191" s="4"/>
      <c r="B3191" s="303"/>
      <c r="C3191" s="304"/>
      <c r="D3191" s="18"/>
    </row>
    <row r="3192" spans="1:4" ht="15.75" customHeight="1" thickBot="1" x14ac:dyDescent="0.3">
      <c r="A3192" s="4"/>
      <c r="B3192" s="303"/>
      <c r="C3192" s="304"/>
      <c r="D3192" s="18"/>
    </row>
    <row r="3193" spans="1:4" ht="15.75" customHeight="1" thickBot="1" x14ac:dyDescent="0.3">
      <c r="A3193" s="4"/>
      <c r="B3193" s="303"/>
      <c r="C3193" s="304"/>
      <c r="D3193" s="18"/>
    </row>
    <row r="3194" spans="1:4" ht="15.75" customHeight="1" thickBot="1" x14ac:dyDescent="0.3">
      <c r="A3194" s="4"/>
      <c r="B3194" s="303"/>
      <c r="C3194" s="304"/>
      <c r="D3194" s="18"/>
    </row>
    <row r="3195" spans="1:4" ht="15.75" customHeight="1" thickBot="1" x14ac:dyDescent="0.3">
      <c r="A3195" s="2"/>
      <c r="B3195" s="3"/>
      <c r="C3195" s="2"/>
      <c r="D3195" s="1"/>
    </row>
    <row r="3196" spans="1:4" ht="15.75" customHeight="1" thickBot="1" x14ac:dyDescent="0.3">
      <c r="A3196" s="300"/>
      <c r="B3196" s="301"/>
      <c r="C3196" s="301"/>
      <c r="D3196" s="302"/>
    </row>
    <row r="3197" spans="1:4" ht="15.75" customHeight="1" x14ac:dyDescent="0.25">
      <c r="A3197" s="5"/>
      <c r="B3197" s="6"/>
      <c r="C3197" s="7"/>
      <c r="D3197" s="8"/>
    </row>
    <row r="3198" spans="1:4" ht="15.75" customHeight="1" thickBot="1" x14ac:dyDescent="0.3">
      <c r="A3198" s="9"/>
      <c r="B3198" s="10"/>
      <c r="C3198" s="10"/>
      <c r="D3198" s="11"/>
    </row>
    <row r="3199" spans="1:4" ht="15.75" customHeight="1" thickBot="1" x14ac:dyDescent="0.3">
      <c r="A3199" s="15"/>
      <c r="B3199" s="16"/>
      <c r="C3199" s="21"/>
      <c r="D3199" s="16"/>
    </row>
    <row r="3200" spans="1:4" ht="15.75" customHeight="1" thickBot="1" x14ac:dyDescent="0.3">
      <c r="A3200" s="12"/>
      <c r="B3200" s="305"/>
      <c r="C3200" s="306"/>
      <c r="D3200" s="54"/>
    </row>
    <row r="3201" spans="1:4" ht="15.75" customHeight="1" thickBot="1" x14ac:dyDescent="0.3">
      <c r="A3201" s="38"/>
      <c r="B3201" s="45"/>
      <c r="C3201" s="45"/>
      <c r="D3201" s="45"/>
    </row>
    <row r="3202" spans="1:4" ht="15.75" customHeight="1" thickBot="1" x14ac:dyDescent="0.3">
      <c r="A3202" s="19"/>
      <c r="B3202" s="20"/>
      <c r="C3202" s="50"/>
      <c r="D3202" s="51"/>
    </row>
    <row r="3203" spans="1:4" ht="15.75" customHeight="1" thickBot="1" x14ac:dyDescent="0.3">
      <c r="A3203" s="19"/>
      <c r="B3203" s="20"/>
      <c r="C3203" s="52"/>
      <c r="D3203" s="53"/>
    </row>
    <row r="3204" spans="1:4" ht="15.75" customHeight="1" thickBot="1" x14ac:dyDescent="0.3">
      <c r="A3204" s="19"/>
      <c r="B3204" s="20"/>
      <c r="C3204" s="13"/>
      <c r="D3204" s="14"/>
    </row>
    <row r="3205" spans="1:4" ht="15.75" customHeight="1" thickBot="1" x14ac:dyDescent="0.3">
      <c r="A3205" s="2"/>
      <c r="B3205" s="3"/>
      <c r="C3205" s="2"/>
      <c r="D3205" s="1"/>
    </row>
    <row r="3206" spans="1:4" ht="15.75" customHeight="1" thickBot="1" x14ac:dyDescent="0.3">
      <c r="A3206" s="4"/>
      <c r="B3206" s="303"/>
      <c r="C3206" s="304"/>
      <c r="D3206" s="4"/>
    </row>
    <row r="3207" spans="1:4" ht="15.75" customHeight="1" thickBot="1" x14ac:dyDescent="0.3">
      <c r="A3207" s="4"/>
      <c r="B3207" s="303"/>
      <c r="C3207" s="304"/>
      <c r="D3207" s="18"/>
    </row>
    <row r="3208" spans="1:4" ht="15.75" customHeight="1" thickBot="1" x14ac:dyDescent="0.3">
      <c r="A3208" s="4"/>
      <c r="B3208" s="303"/>
      <c r="C3208" s="304"/>
      <c r="D3208" s="18"/>
    </row>
    <row r="3209" spans="1:4" ht="15.75" customHeight="1" thickBot="1" x14ac:dyDescent="0.3">
      <c r="A3209" s="4"/>
      <c r="B3209" s="303"/>
      <c r="C3209" s="304"/>
      <c r="D3209" s="18"/>
    </row>
    <row r="3210" spans="1:4" ht="15.75" customHeight="1" thickBot="1" x14ac:dyDescent="0.3">
      <c r="A3210" s="4"/>
      <c r="B3210" s="303"/>
      <c r="C3210" s="304"/>
      <c r="D3210" s="18"/>
    </row>
    <row r="3211" spans="1:4" ht="15.75" customHeight="1" thickBot="1" x14ac:dyDescent="0.3">
      <c r="A3211" s="4"/>
      <c r="B3211" s="303"/>
      <c r="C3211" s="304"/>
      <c r="D3211" s="18"/>
    </row>
    <row r="3212" spans="1:4" ht="15.75" customHeight="1" thickBot="1" x14ac:dyDescent="0.3">
      <c r="A3212" s="4"/>
      <c r="B3212" s="303"/>
      <c r="C3212" s="304"/>
      <c r="D3212" s="18"/>
    </row>
    <row r="3213" spans="1:4" ht="15.75" customHeight="1" thickBot="1" x14ac:dyDescent="0.3">
      <c r="A3213" s="4"/>
      <c r="B3213" s="303"/>
      <c r="C3213" s="304"/>
      <c r="D3213" s="18"/>
    </row>
    <row r="3214" spans="1:4" ht="15.75" customHeight="1" thickBot="1" x14ac:dyDescent="0.3">
      <c r="A3214" s="4"/>
      <c r="B3214" s="303"/>
      <c r="C3214" s="304"/>
      <c r="D3214" s="18"/>
    </row>
    <row r="3215" spans="1:4" ht="15.75" customHeight="1" thickBot="1" x14ac:dyDescent="0.3">
      <c r="A3215" s="2"/>
      <c r="B3215" s="3"/>
      <c r="C3215" s="2"/>
      <c r="D3215" s="1"/>
    </row>
    <row r="3216" spans="1:4" ht="15.75" customHeight="1" thickBot="1" x14ac:dyDescent="0.3">
      <c r="A3216" s="300"/>
      <c r="B3216" s="301"/>
      <c r="C3216" s="301"/>
      <c r="D3216" s="302"/>
    </row>
    <row r="3217" spans="1:4" ht="15.75" customHeight="1" x14ac:dyDescent="0.25">
      <c r="A3217" s="5"/>
      <c r="B3217" s="6"/>
      <c r="C3217" s="7"/>
      <c r="D3217" s="8"/>
    </row>
    <row r="3218" spans="1:4" ht="15.75" customHeight="1" thickBot="1" x14ac:dyDescent="0.3">
      <c r="A3218" s="9"/>
      <c r="B3218" s="10"/>
      <c r="C3218" s="10"/>
      <c r="D3218" s="11"/>
    </row>
    <row r="3219" spans="1:4" ht="15.75" customHeight="1" thickBot="1" x14ac:dyDescent="0.3">
      <c r="A3219" s="15"/>
      <c r="B3219" s="16"/>
      <c r="C3219" s="21"/>
      <c r="D3219" s="16"/>
    </row>
    <row r="3220" spans="1:4" ht="15.75" customHeight="1" thickBot="1" x14ac:dyDescent="0.3">
      <c r="A3220" s="12"/>
      <c r="B3220" s="305"/>
      <c r="C3220" s="306"/>
      <c r="D3220" s="54"/>
    </row>
    <row r="3221" spans="1:4" ht="15.75" customHeight="1" thickBot="1" x14ac:dyDescent="0.3">
      <c r="A3221" s="38"/>
      <c r="B3221" s="45"/>
      <c r="C3221" s="45"/>
      <c r="D3221" s="45"/>
    </row>
    <row r="3222" spans="1:4" ht="15.75" customHeight="1" thickBot="1" x14ac:dyDescent="0.3">
      <c r="A3222" s="19"/>
      <c r="B3222" s="20"/>
      <c r="C3222" s="50"/>
      <c r="D3222" s="51"/>
    </row>
    <row r="3223" spans="1:4" ht="15.75" customHeight="1" thickBot="1" x14ac:dyDescent="0.3">
      <c r="A3223" s="19"/>
      <c r="B3223" s="20"/>
      <c r="C3223" s="52"/>
      <c r="D3223" s="53"/>
    </row>
    <row r="3224" spans="1:4" ht="15.75" customHeight="1" thickBot="1" x14ac:dyDescent="0.3">
      <c r="A3224" s="19"/>
      <c r="B3224" s="20"/>
      <c r="C3224" s="13"/>
      <c r="D3224" s="14"/>
    </row>
    <row r="3225" spans="1:4" ht="15.75" customHeight="1" thickBot="1" x14ac:dyDescent="0.3">
      <c r="A3225" s="2"/>
      <c r="B3225" s="3"/>
      <c r="C3225" s="2"/>
      <c r="D3225" s="1"/>
    </row>
    <row r="3226" spans="1:4" ht="15.75" customHeight="1" thickBot="1" x14ac:dyDescent="0.3">
      <c r="A3226" s="4"/>
      <c r="B3226" s="303"/>
      <c r="C3226" s="304"/>
      <c r="D3226" s="4"/>
    </row>
    <row r="3227" spans="1:4" ht="15.75" customHeight="1" thickBot="1" x14ac:dyDescent="0.3">
      <c r="A3227" s="4"/>
      <c r="B3227" s="303"/>
      <c r="C3227" s="304"/>
      <c r="D3227" s="18"/>
    </row>
    <row r="3228" spans="1:4" ht="15.75" customHeight="1" thickBot="1" x14ac:dyDescent="0.3">
      <c r="A3228" s="4"/>
      <c r="B3228" s="303"/>
      <c r="C3228" s="304"/>
      <c r="D3228" s="18"/>
    </row>
    <row r="3229" spans="1:4" ht="15.75" customHeight="1" thickBot="1" x14ac:dyDescent="0.3">
      <c r="A3229" s="4"/>
      <c r="B3229" s="303"/>
      <c r="C3229" s="304"/>
      <c r="D3229" s="18"/>
    </row>
    <row r="3230" spans="1:4" ht="15.75" customHeight="1" thickBot="1" x14ac:dyDescent="0.3">
      <c r="A3230" s="4"/>
      <c r="B3230" s="303"/>
      <c r="C3230" s="304"/>
      <c r="D3230" s="18"/>
    </row>
    <row r="3231" spans="1:4" ht="15.75" customHeight="1" thickBot="1" x14ac:dyDescent="0.3">
      <c r="A3231" s="4"/>
      <c r="B3231" s="303"/>
      <c r="C3231" s="304"/>
      <c r="D3231" s="18"/>
    </row>
    <row r="3232" spans="1:4" ht="15.75" customHeight="1" thickBot="1" x14ac:dyDescent="0.3">
      <c r="A3232" s="4"/>
      <c r="B3232" s="303"/>
      <c r="C3232" s="304"/>
      <c r="D3232" s="18"/>
    </row>
    <row r="3233" spans="1:4" ht="15.75" customHeight="1" thickBot="1" x14ac:dyDescent="0.3">
      <c r="A3233" s="4"/>
      <c r="B3233" s="303"/>
      <c r="C3233" s="304"/>
      <c r="D3233" s="18"/>
    </row>
    <row r="3234" spans="1:4" ht="15.75" customHeight="1" thickBot="1" x14ac:dyDescent="0.3">
      <c r="A3234" s="4"/>
      <c r="B3234" s="303"/>
      <c r="C3234" s="304"/>
      <c r="D3234" s="18"/>
    </row>
    <row r="3235" spans="1:4" ht="15.75" customHeight="1" thickBot="1" x14ac:dyDescent="0.3">
      <c r="A3235" s="2"/>
      <c r="B3235" s="3"/>
      <c r="C3235" s="2"/>
      <c r="D3235" s="1"/>
    </row>
    <row r="3236" spans="1:4" ht="15.75" customHeight="1" thickBot="1" x14ac:dyDescent="0.3">
      <c r="A3236" s="300"/>
      <c r="B3236" s="301"/>
      <c r="C3236" s="301"/>
      <c r="D3236" s="302"/>
    </row>
    <row r="3237" spans="1:4" ht="15.75" customHeight="1" x14ac:dyDescent="0.25">
      <c r="A3237" s="5"/>
      <c r="B3237" s="6"/>
      <c r="C3237" s="7"/>
      <c r="D3237" s="8"/>
    </row>
    <row r="3238" spans="1:4" ht="15.75" customHeight="1" thickBot="1" x14ac:dyDescent="0.3">
      <c r="A3238" s="9"/>
      <c r="B3238" s="10"/>
      <c r="C3238" s="10"/>
      <c r="D3238" s="11"/>
    </row>
    <row r="3239" spans="1:4" ht="15.75" customHeight="1" thickBot="1" x14ac:dyDescent="0.3">
      <c r="A3239" s="15"/>
      <c r="B3239" s="16"/>
      <c r="C3239" s="21"/>
      <c r="D3239" s="16"/>
    </row>
    <row r="3240" spans="1:4" ht="15.75" customHeight="1" thickBot="1" x14ac:dyDescent="0.3">
      <c r="A3240" s="12"/>
      <c r="B3240" s="305"/>
      <c r="C3240" s="306"/>
      <c r="D3240" s="54"/>
    </row>
    <row r="3241" spans="1:4" ht="15.75" customHeight="1" thickBot="1" x14ac:dyDescent="0.3">
      <c r="A3241" s="38"/>
      <c r="B3241" s="45"/>
      <c r="C3241" s="45"/>
      <c r="D3241" s="45"/>
    </row>
    <row r="3242" spans="1:4" ht="15.75" customHeight="1" thickBot="1" x14ac:dyDescent="0.3">
      <c r="A3242" s="19"/>
      <c r="B3242" s="20"/>
      <c r="C3242" s="50"/>
      <c r="D3242" s="51"/>
    </row>
    <row r="3243" spans="1:4" ht="15.75" customHeight="1" thickBot="1" x14ac:dyDescent="0.3">
      <c r="A3243" s="19"/>
      <c r="B3243" s="20"/>
      <c r="C3243" s="52"/>
      <c r="D3243" s="53"/>
    </row>
    <row r="3244" spans="1:4" ht="15.75" customHeight="1" thickBot="1" x14ac:dyDescent="0.3">
      <c r="A3244" s="19"/>
      <c r="B3244" s="20"/>
      <c r="C3244" s="13"/>
      <c r="D3244" s="14"/>
    </row>
    <row r="3245" spans="1:4" ht="15.75" customHeight="1" thickBot="1" x14ac:dyDescent="0.3">
      <c r="A3245" s="2"/>
      <c r="B3245" s="3"/>
      <c r="C3245" s="2"/>
      <c r="D3245" s="1"/>
    </row>
    <row r="3246" spans="1:4" ht="15.75" customHeight="1" thickBot="1" x14ac:dyDescent="0.3">
      <c r="A3246" s="4"/>
      <c r="B3246" s="303"/>
      <c r="C3246" s="304"/>
      <c r="D3246" s="4"/>
    </row>
    <row r="3247" spans="1:4" ht="15.75" customHeight="1" thickBot="1" x14ac:dyDescent="0.3">
      <c r="A3247" s="4"/>
      <c r="B3247" s="303"/>
      <c r="C3247" s="304"/>
      <c r="D3247" s="18"/>
    </row>
    <row r="3248" spans="1:4" ht="15.75" customHeight="1" thickBot="1" x14ac:dyDescent="0.3">
      <c r="A3248" s="4"/>
      <c r="B3248" s="303"/>
      <c r="C3248" s="304"/>
      <c r="D3248" s="18"/>
    </row>
    <row r="3249" spans="1:4" ht="15.75" customHeight="1" thickBot="1" x14ac:dyDescent="0.3">
      <c r="A3249" s="4"/>
      <c r="B3249" s="303"/>
      <c r="C3249" s="304"/>
      <c r="D3249" s="18"/>
    </row>
    <row r="3250" spans="1:4" ht="15.75" customHeight="1" thickBot="1" x14ac:dyDescent="0.3">
      <c r="A3250" s="4"/>
      <c r="B3250" s="303"/>
      <c r="C3250" s="304"/>
      <c r="D3250" s="18"/>
    </row>
    <row r="3251" spans="1:4" ht="15.75" customHeight="1" thickBot="1" x14ac:dyDescent="0.3">
      <c r="A3251" s="4"/>
      <c r="B3251" s="303"/>
      <c r="C3251" s="304"/>
      <c r="D3251" s="18"/>
    </row>
    <row r="3252" spans="1:4" ht="15.75" customHeight="1" thickBot="1" x14ac:dyDescent="0.3">
      <c r="A3252" s="4"/>
      <c r="B3252" s="303"/>
      <c r="C3252" s="304"/>
      <c r="D3252" s="18"/>
    </row>
    <row r="3253" spans="1:4" ht="15.75" customHeight="1" thickBot="1" x14ac:dyDescent="0.3">
      <c r="A3253" s="4"/>
      <c r="B3253" s="303"/>
      <c r="C3253" s="304"/>
      <c r="D3253" s="18"/>
    </row>
    <row r="3254" spans="1:4" ht="15.75" customHeight="1" thickBot="1" x14ac:dyDescent="0.3">
      <c r="A3254" s="4"/>
      <c r="B3254" s="303"/>
      <c r="C3254" s="304"/>
      <c r="D3254" s="18"/>
    </row>
    <row r="3255" spans="1:4" ht="15.75" customHeight="1" thickBot="1" x14ac:dyDescent="0.3">
      <c r="A3255" s="2"/>
      <c r="B3255" s="3"/>
      <c r="C3255" s="2"/>
      <c r="D3255" s="1"/>
    </row>
    <row r="3256" spans="1:4" ht="15.75" customHeight="1" thickBot="1" x14ac:dyDescent="0.3">
      <c r="A3256" s="300"/>
      <c r="B3256" s="301"/>
      <c r="C3256" s="301"/>
      <c r="D3256" s="302"/>
    </row>
    <row r="3257" spans="1:4" ht="15.75" customHeight="1" x14ac:dyDescent="0.25">
      <c r="A3257" s="5"/>
      <c r="B3257" s="6"/>
      <c r="C3257" s="7"/>
      <c r="D3257" s="8"/>
    </row>
    <row r="3258" spans="1:4" ht="15.75" customHeight="1" thickBot="1" x14ac:dyDescent="0.3">
      <c r="A3258" s="9"/>
      <c r="B3258" s="10"/>
      <c r="C3258" s="10"/>
      <c r="D3258" s="11"/>
    </row>
    <row r="3259" spans="1:4" ht="15.75" customHeight="1" thickBot="1" x14ac:dyDescent="0.3">
      <c r="A3259" s="15"/>
      <c r="B3259" s="16"/>
      <c r="C3259" s="21"/>
      <c r="D3259" s="16"/>
    </row>
    <row r="3260" spans="1:4" ht="15.75" customHeight="1" thickBot="1" x14ac:dyDescent="0.3">
      <c r="A3260" s="12"/>
      <c r="B3260" s="305"/>
      <c r="C3260" s="306"/>
      <c r="D3260" s="54"/>
    </row>
    <row r="3261" spans="1:4" ht="15.75" customHeight="1" thickBot="1" x14ac:dyDescent="0.3">
      <c r="A3261" s="38"/>
      <c r="B3261" s="45"/>
      <c r="C3261" s="45"/>
      <c r="D3261" s="45"/>
    </row>
    <row r="3262" spans="1:4" ht="15.75" customHeight="1" thickBot="1" x14ac:dyDescent="0.3">
      <c r="A3262" s="19"/>
      <c r="B3262" s="20"/>
      <c r="C3262" s="50"/>
      <c r="D3262" s="51"/>
    </row>
    <row r="3263" spans="1:4" ht="15.75" customHeight="1" thickBot="1" x14ac:dyDescent="0.3">
      <c r="A3263" s="19"/>
      <c r="B3263" s="20"/>
      <c r="C3263" s="52"/>
      <c r="D3263" s="53"/>
    </row>
    <row r="3264" spans="1:4" ht="15.75" customHeight="1" thickBot="1" x14ac:dyDescent="0.3">
      <c r="A3264" s="19"/>
      <c r="B3264" s="20"/>
      <c r="C3264" s="13"/>
      <c r="D3264" s="14"/>
    </row>
    <row r="3265" spans="1:4" ht="15.75" customHeight="1" thickBot="1" x14ac:dyDescent="0.3">
      <c r="A3265" s="2"/>
      <c r="B3265" s="3"/>
      <c r="C3265" s="2"/>
      <c r="D3265" s="1"/>
    </row>
    <row r="3266" spans="1:4" ht="15.75" customHeight="1" thickBot="1" x14ac:dyDescent="0.3">
      <c r="A3266" s="4"/>
      <c r="B3266" s="303"/>
      <c r="C3266" s="304"/>
      <c r="D3266" s="4"/>
    </row>
    <row r="3267" spans="1:4" ht="15.75" customHeight="1" thickBot="1" x14ac:dyDescent="0.3">
      <c r="A3267" s="4"/>
      <c r="B3267" s="303"/>
      <c r="C3267" s="304"/>
      <c r="D3267" s="18"/>
    </row>
    <row r="3268" spans="1:4" ht="15.75" customHeight="1" thickBot="1" x14ac:dyDescent="0.3">
      <c r="A3268" s="4"/>
      <c r="B3268" s="303"/>
      <c r="C3268" s="304"/>
      <c r="D3268" s="18"/>
    </row>
    <row r="3269" spans="1:4" ht="15.75" customHeight="1" thickBot="1" x14ac:dyDescent="0.3">
      <c r="A3269" s="4"/>
      <c r="B3269" s="303"/>
      <c r="C3269" s="304"/>
      <c r="D3269" s="18"/>
    </row>
    <row r="3270" spans="1:4" ht="15.75" customHeight="1" thickBot="1" x14ac:dyDescent="0.3">
      <c r="A3270" s="4"/>
      <c r="B3270" s="303"/>
      <c r="C3270" s="304"/>
      <c r="D3270" s="18"/>
    </row>
    <row r="3271" spans="1:4" ht="15.75" customHeight="1" thickBot="1" x14ac:dyDescent="0.3">
      <c r="A3271" s="4"/>
      <c r="B3271" s="303"/>
      <c r="C3271" s="304"/>
      <c r="D3271" s="18"/>
    </row>
    <row r="3272" spans="1:4" ht="15.75" customHeight="1" thickBot="1" x14ac:dyDescent="0.3">
      <c r="A3272" s="4"/>
      <c r="B3272" s="303"/>
      <c r="C3272" s="304"/>
      <c r="D3272" s="18"/>
    </row>
    <row r="3273" spans="1:4" ht="15.75" customHeight="1" thickBot="1" x14ac:dyDescent="0.3">
      <c r="A3273" s="4"/>
      <c r="B3273" s="303"/>
      <c r="C3273" s="304"/>
      <c r="D3273" s="18"/>
    </row>
    <row r="3274" spans="1:4" ht="15.75" customHeight="1" thickBot="1" x14ac:dyDescent="0.3">
      <c r="A3274" s="4"/>
      <c r="B3274" s="303"/>
      <c r="C3274" s="304"/>
      <c r="D3274" s="18"/>
    </row>
    <row r="3275" spans="1:4" ht="15.75" customHeight="1" thickBot="1" x14ac:dyDescent="0.3">
      <c r="A3275" s="2"/>
      <c r="B3275" s="3"/>
      <c r="C3275" s="2"/>
      <c r="D3275" s="1"/>
    </row>
    <row r="3276" spans="1:4" ht="15.75" customHeight="1" thickBot="1" x14ac:dyDescent="0.3">
      <c r="A3276" s="300"/>
      <c r="B3276" s="301"/>
      <c r="C3276" s="301"/>
      <c r="D3276" s="302"/>
    </row>
    <row r="3277" spans="1:4" ht="15.75" customHeight="1" x14ac:dyDescent="0.25">
      <c r="A3277" s="5"/>
      <c r="B3277" s="6"/>
      <c r="C3277" s="7"/>
      <c r="D3277" s="8"/>
    </row>
    <row r="3278" spans="1:4" ht="15.75" customHeight="1" thickBot="1" x14ac:dyDescent="0.3">
      <c r="A3278" s="9"/>
      <c r="B3278" s="10"/>
      <c r="C3278" s="10"/>
      <c r="D3278" s="11"/>
    </row>
    <row r="3279" spans="1:4" ht="15.75" customHeight="1" thickBot="1" x14ac:dyDescent="0.3">
      <c r="A3279" s="15"/>
      <c r="B3279" s="16"/>
      <c r="C3279" s="21"/>
      <c r="D3279" s="16"/>
    </row>
    <row r="3280" spans="1:4" ht="15.75" customHeight="1" thickBot="1" x14ac:dyDescent="0.3">
      <c r="A3280" s="12"/>
      <c r="B3280" s="305"/>
      <c r="C3280" s="306"/>
      <c r="D3280" s="54"/>
    </row>
    <row r="3281" spans="1:4" ht="15.75" customHeight="1" thickBot="1" x14ac:dyDescent="0.3">
      <c r="A3281" s="38"/>
      <c r="B3281" s="45"/>
      <c r="C3281" s="45"/>
      <c r="D3281" s="45"/>
    </row>
    <row r="3282" spans="1:4" ht="15.75" customHeight="1" thickBot="1" x14ac:dyDescent="0.3">
      <c r="A3282" s="19"/>
      <c r="B3282" s="20"/>
      <c r="C3282" s="50"/>
      <c r="D3282" s="51"/>
    </row>
    <row r="3283" spans="1:4" ht="15.75" customHeight="1" thickBot="1" x14ac:dyDescent="0.3">
      <c r="A3283" s="19"/>
      <c r="B3283" s="20"/>
      <c r="C3283" s="52"/>
      <c r="D3283" s="53"/>
    </row>
    <row r="3284" spans="1:4" ht="15.75" customHeight="1" thickBot="1" x14ac:dyDescent="0.3">
      <c r="A3284" s="19"/>
      <c r="B3284" s="20"/>
      <c r="C3284" s="13"/>
      <c r="D3284" s="14"/>
    </row>
    <row r="3285" spans="1:4" ht="15.75" customHeight="1" thickBot="1" x14ac:dyDescent="0.3">
      <c r="A3285" s="2"/>
      <c r="B3285" s="3"/>
      <c r="C3285" s="2"/>
      <c r="D3285" s="1"/>
    </row>
    <row r="3286" spans="1:4" ht="15.75" customHeight="1" thickBot="1" x14ac:dyDescent="0.3">
      <c r="A3286" s="4"/>
      <c r="B3286" s="303"/>
      <c r="C3286" s="304"/>
      <c r="D3286" s="4"/>
    </row>
    <row r="3287" spans="1:4" ht="15.75" customHeight="1" thickBot="1" x14ac:dyDescent="0.3">
      <c r="A3287" s="4"/>
      <c r="B3287" s="303"/>
      <c r="C3287" s="304"/>
      <c r="D3287" s="18"/>
    </row>
    <row r="3288" spans="1:4" ht="15.75" customHeight="1" thickBot="1" x14ac:dyDescent="0.3">
      <c r="A3288" s="4"/>
      <c r="B3288" s="303"/>
      <c r="C3288" s="304"/>
      <c r="D3288" s="18"/>
    </row>
    <row r="3289" spans="1:4" ht="15.75" customHeight="1" thickBot="1" x14ac:dyDescent="0.3">
      <c r="A3289" s="4"/>
      <c r="B3289" s="303"/>
      <c r="C3289" s="304"/>
      <c r="D3289" s="18"/>
    </row>
    <row r="3290" spans="1:4" ht="15.75" customHeight="1" thickBot="1" x14ac:dyDescent="0.3">
      <c r="A3290" s="4"/>
      <c r="B3290" s="303"/>
      <c r="C3290" s="304"/>
      <c r="D3290" s="18"/>
    </row>
    <row r="3291" spans="1:4" ht="15.75" customHeight="1" thickBot="1" x14ac:dyDescent="0.3">
      <c r="A3291" s="4"/>
      <c r="B3291" s="303"/>
      <c r="C3291" s="304"/>
      <c r="D3291" s="18"/>
    </row>
    <row r="3292" spans="1:4" ht="15.75" customHeight="1" thickBot="1" x14ac:dyDescent="0.3">
      <c r="A3292" s="4"/>
      <c r="B3292" s="303"/>
      <c r="C3292" s="304"/>
      <c r="D3292" s="18"/>
    </row>
    <row r="3293" spans="1:4" ht="15.75" customHeight="1" thickBot="1" x14ac:dyDescent="0.3">
      <c r="A3293" s="4"/>
      <c r="B3293" s="303"/>
      <c r="C3293" s="304"/>
      <c r="D3293" s="18"/>
    </row>
    <row r="3294" spans="1:4" ht="15.75" customHeight="1" thickBot="1" x14ac:dyDescent="0.3">
      <c r="A3294" s="4"/>
      <c r="B3294" s="303"/>
      <c r="C3294" s="304"/>
      <c r="D3294" s="18"/>
    </row>
    <row r="3295" spans="1:4" ht="15.75" customHeight="1" thickBot="1" x14ac:dyDescent="0.3">
      <c r="A3295" s="2"/>
      <c r="B3295" s="3"/>
      <c r="C3295" s="2"/>
      <c r="D3295" s="1"/>
    </row>
    <row r="3296" spans="1:4" ht="15.75" customHeight="1" thickBot="1" x14ac:dyDescent="0.3">
      <c r="A3296" s="300"/>
      <c r="B3296" s="301"/>
      <c r="C3296" s="301"/>
      <c r="D3296" s="302"/>
    </row>
    <row r="3297" spans="1:4" ht="15.75" customHeight="1" x14ac:dyDescent="0.25">
      <c r="A3297" s="5"/>
      <c r="B3297" s="6"/>
      <c r="C3297" s="7"/>
      <c r="D3297" s="8"/>
    </row>
    <row r="3298" spans="1:4" ht="15.75" customHeight="1" thickBot="1" x14ac:dyDescent="0.3">
      <c r="A3298" s="9"/>
      <c r="B3298" s="10"/>
      <c r="C3298" s="10"/>
      <c r="D3298" s="11"/>
    </row>
    <row r="3299" spans="1:4" ht="15.75" customHeight="1" thickBot="1" x14ac:dyDescent="0.3">
      <c r="A3299" s="15"/>
      <c r="B3299" s="16"/>
      <c r="C3299" s="21"/>
      <c r="D3299" s="16"/>
    </row>
    <row r="3300" spans="1:4" ht="15.75" customHeight="1" thickBot="1" x14ac:dyDescent="0.3">
      <c r="A3300" s="12"/>
      <c r="B3300" s="305"/>
      <c r="C3300" s="306"/>
      <c r="D3300" s="54"/>
    </row>
    <row r="3301" spans="1:4" ht="15.75" customHeight="1" thickBot="1" x14ac:dyDescent="0.3">
      <c r="A3301" s="38"/>
      <c r="B3301" s="45"/>
      <c r="C3301" s="45"/>
      <c r="D3301" s="45"/>
    </row>
    <row r="3302" spans="1:4" ht="15.75" customHeight="1" thickBot="1" x14ac:dyDescent="0.3">
      <c r="A3302" s="19"/>
      <c r="B3302" s="20"/>
      <c r="C3302" s="50"/>
      <c r="D3302" s="51"/>
    </row>
    <row r="3303" spans="1:4" ht="15.75" customHeight="1" thickBot="1" x14ac:dyDescent="0.3">
      <c r="A3303" s="19"/>
      <c r="B3303" s="20"/>
      <c r="C3303" s="52"/>
      <c r="D3303" s="53"/>
    </row>
    <row r="3304" spans="1:4" ht="15.75" customHeight="1" thickBot="1" x14ac:dyDescent="0.3">
      <c r="A3304" s="19"/>
      <c r="B3304" s="20"/>
      <c r="C3304" s="13"/>
      <c r="D3304" s="14"/>
    </row>
    <row r="3305" spans="1:4" ht="15.75" customHeight="1" thickBot="1" x14ac:dyDescent="0.3">
      <c r="A3305" s="2"/>
      <c r="B3305" s="3"/>
      <c r="C3305" s="2"/>
      <c r="D3305" s="1"/>
    </row>
    <row r="3306" spans="1:4" ht="15.75" customHeight="1" thickBot="1" x14ac:dyDescent="0.3">
      <c r="A3306" s="4"/>
      <c r="B3306" s="303"/>
      <c r="C3306" s="304"/>
      <c r="D3306" s="4"/>
    </row>
    <row r="3307" spans="1:4" ht="15.75" customHeight="1" thickBot="1" x14ac:dyDescent="0.3">
      <c r="A3307" s="4"/>
      <c r="B3307" s="303"/>
      <c r="C3307" s="304"/>
      <c r="D3307" s="18"/>
    </row>
    <row r="3308" spans="1:4" ht="15.75" customHeight="1" thickBot="1" x14ac:dyDescent="0.3">
      <c r="A3308" s="4"/>
      <c r="B3308" s="303"/>
      <c r="C3308" s="304"/>
      <c r="D3308" s="18"/>
    </row>
    <row r="3309" spans="1:4" ht="15.75" customHeight="1" thickBot="1" x14ac:dyDescent="0.3">
      <c r="A3309" s="4"/>
      <c r="B3309" s="303"/>
      <c r="C3309" s="304"/>
      <c r="D3309" s="18"/>
    </row>
    <row r="3310" spans="1:4" ht="15.75" customHeight="1" thickBot="1" x14ac:dyDescent="0.3">
      <c r="A3310" s="4"/>
      <c r="B3310" s="303"/>
      <c r="C3310" s="304"/>
      <c r="D3310" s="18"/>
    </row>
    <row r="3311" spans="1:4" ht="15.75" customHeight="1" thickBot="1" x14ac:dyDescent="0.3">
      <c r="A3311" s="4"/>
      <c r="B3311" s="303"/>
      <c r="C3311" s="304"/>
      <c r="D3311" s="18"/>
    </row>
    <row r="3312" spans="1:4" ht="15.75" customHeight="1" thickBot="1" x14ac:dyDescent="0.3">
      <c r="A3312" s="4"/>
      <c r="B3312" s="303"/>
      <c r="C3312" s="304"/>
      <c r="D3312" s="18"/>
    </row>
    <row r="3313" spans="1:4" ht="15.75" customHeight="1" thickBot="1" x14ac:dyDescent="0.3">
      <c r="A3313" s="4"/>
      <c r="B3313" s="303"/>
      <c r="C3313" s="304"/>
      <c r="D3313" s="18"/>
    </row>
    <row r="3314" spans="1:4" ht="15.75" customHeight="1" thickBot="1" x14ac:dyDescent="0.3">
      <c r="A3314" s="4"/>
      <c r="B3314" s="303"/>
      <c r="C3314" s="304"/>
      <c r="D3314" s="18"/>
    </row>
    <row r="3315" spans="1:4" ht="15.75" customHeight="1" thickBot="1" x14ac:dyDescent="0.3">
      <c r="A3315" s="2"/>
      <c r="B3315" s="3"/>
      <c r="C3315" s="2"/>
      <c r="D3315" s="1"/>
    </row>
    <row r="3316" spans="1:4" ht="15.75" customHeight="1" thickBot="1" x14ac:dyDescent="0.3">
      <c r="A3316" s="300"/>
      <c r="B3316" s="301"/>
      <c r="C3316" s="301"/>
      <c r="D3316" s="302"/>
    </row>
    <row r="3317" spans="1:4" ht="15.75" customHeight="1" x14ac:dyDescent="0.25">
      <c r="A3317" s="5"/>
      <c r="B3317" s="6"/>
      <c r="C3317" s="7"/>
      <c r="D3317" s="8"/>
    </row>
    <row r="3318" spans="1:4" ht="15.75" customHeight="1" thickBot="1" x14ac:dyDescent="0.3">
      <c r="A3318" s="9"/>
      <c r="B3318" s="10"/>
      <c r="C3318" s="10"/>
      <c r="D3318" s="11"/>
    </row>
    <row r="3319" spans="1:4" ht="15.75" customHeight="1" thickBot="1" x14ac:dyDescent="0.3">
      <c r="A3319" s="15"/>
      <c r="B3319" s="16"/>
      <c r="C3319" s="21"/>
      <c r="D3319" s="16"/>
    </row>
    <row r="3320" spans="1:4" ht="15.75" customHeight="1" thickBot="1" x14ac:dyDescent="0.3">
      <c r="A3320" s="12"/>
      <c r="B3320" s="305"/>
      <c r="C3320" s="306"/>
      <c r="D3320" s="54"/>
    </row>
    <row r="3321" spans="1:4" ht="15.75" customHeight="1" thickBot="1" x14ac:dyDescent="0.3">
      <c r="A3321" s="38"/>
      <c r="B3321" s="45"/>
      <c r="C3321" s="45"/>
      <c r="D3321" s="45"/>
    </row>
    <row r="3322" spans="1:4" ht="15.75" customHeight="1" thickBot="1" x14ac:dyDescent="0.3">
      <c r="A3322" s="19"/>
      <c r="B3322" s="20"/>
      <c r="C3322" s="50"/>
      <c r="D3322" s="51"/>
    </row>
    <row r="3323" spans="1:4" ht="15.75" customHeight="1" thickBot="1" x14ac:dyDescent="0.3">
      <c r="A3323" s="19"/>
      <c r="B3323" s="20"/>
      <c r="C3323" s="52"/>
      <c r="D3323" s="53"/>
    </row>
    <row r="3324" spans="1:4" ht="15.75" customHeight="1" thickBot="1" x14ac:dyDescent="0.3">
      <c r="A3324" s="19"/>
      <c r="B3324" s="20"/>
      <c r="C3324" s="13"/>
      <c r="D3324" s="14"/>
    </row>
    <row r="3325" spans="1:4" ht="15.75" customHeight="1" thickBot="1" x14ac:dyDescent="0.3">
      <c r="A3325" s="2"/>
      <c r="B3325" s="3"/>
      <c r="C3325" s="2"/>
      <c r="D3325" s="1"/>
    </row>
    <row r="3326" spans="1:4" ht="15.75" customHeight="1" thickBot="1" x14ac:dyDescent="0.3">
      <c r="A3326" s="4"/>
      <c r="B3326" s="303"/>
      <c r="C3326" s="304"/>
      <c r="D3326" s="4"/>
    </row>
    <row r="3327" spans="1:4" ht="15.75" customHeight="1" thickBot="1" x14ac:dyDescent="0.3">
      <c r="A3327" s="4"/>
      <c r="B3327" s="303"/>
      <c r="C3327" s="304"/>
      <c r="D3327" s="18"/>
    </row>
    <row r="3328" spans="1:4" ht="15.75" customHeight="1" thickBot="1" x14ac:dyDescent="0.3">
      <c r="A3328" s="4"/>
      <c r="B3328" s="303"/>
      <c r="C3328" s="304"/>
      <c r="D3328" s="18"/>
    </row>
    <row r="3329" spans="1:4" ht="15.75" customHeight="1" thickBot="1" x14ac:dyDescent="0.3">
      <c r="A3329" s="4"/>
      <c r="B3329" s="303"/>
      <c r="C3329" s="304"/>
      <c r="D3329" s="18"/>
    </row>
    <row r="3330" spans="1:4" ht="15.75" customHeight="1" thickBot="1" x14ac:dyDescent="0.3">
      <c r="A3330" s="4"/>
      <c r="B3330" s="303"/>
      <c r="C3330" s="304"/>
      <c r="D3330" s="18"/>
    </row>
    <row r="3331" spans="1:4" ht="15.75" customHeight="1" thickBot="1" x14ac:dyDescent="0.3">
      <c r="A3331" s="4"/>
      <c r="B3331" s="303"/>
      <c r="C3331" s="304"/>
      <c r="D3331" s="18"/>
    </row>
    <row r="3332" spans="1:4" ht="15.75" customHeight="1" thickBot="1" x14ac:dyDescent="0.3">
      <c r="A3332" s="4"/>
      <c r="B3332" s="303"/>
      <c r="C3332" s="304"/>
      <c r="D3332" s="18"/>
    </row>
    <row r="3333" spans="1:4" ht="15.75" customHeight="1" thickBot="1" x14ac:dyDescent="0.3">
      <c r="A3333" s="4"/>
      <c r="B3333" s="303"/>
      <c r="C3333" s="304"/>
      <c r="D3333" s="18"/>
    </row>
    <row r="3334" spans="1:4" ht="15.75" customHeight="1" thickBot="1" x14ac:dyDescent="0.3">
      <c r="A3334" s="4"/>
      <c r="B3334" s="303"/>
      <c r="C3334" s="304"/>
      <c r="D3334" s="18"/>
    </row>
    <row r="3335" spans="1:4" ht="15.75" customHeight="1" thickBot="1" x14ac:dyDescent="0.3">
      <c r="A3335" s="2"/>
      <c r="B3335" s="3"/>
      <c r="C3335" s="2"/>
      <c r="D3335" s="1"/>
    </row>
    <row r="3336" spans="1:4" ht="15.75" customHeight="1" thickBot="1" x14ac:dyDescent="0.3">
      <c r="A3336" s="300"/>
      <c r="B3336" s="301"/>
      <c r="C3336" s="301"/>
      <c r="D3336" s="302"/>
    </row>
    <row r="3337" spans="1:4" ht="15.75" customHeight="1" x14ac:dyDescent="0.25">
      <c r="A3337" s="5"/>
      <c r="B3337" s="6"/>
      <c r="C3337" s="7"/>
      <c r="D3337" s="8"/>
    </row>
    <row r="3338" spans="1:4" ht="15.75" customHeight="1" thickBot="1" x14ac:dyDescent="0.3">
      <c r="A3338" s="9"/>
      <c r="B3338" s="10"/>
      <c r="C3338" s="10"/>
      <c r="D3338" s="11"/>
    </row>
    <row r="3339" spans="1:4" ht="15.75" customHeight="1" thickBot="1" x14ac:dyDescent="0.3">
      <c r="A3339" s="15"/>
      <c r="B3339" s="16"/>
      <c r="C3339" s="21"/>
      <c r="D3339" s="16"/>
    </row>
    <row r="3340" spans="1:4" ht="15.75" customHeight="1" thickBot="1" x14ac:dyDescent="0.3">
      <c r="A3340" s="12"/>
      <c r="B3340" s="305"/>
      <c r="C3340" s="306"/>
      <c r="D3340" s="54"/>
    </row>
    <row r="3341" spans="1:4" ht="15.75" customHeight="1" thickBot="1" x14ac:dyDescent="0.3">
      <c r="A3341" s="38"/>
      <c r="B3341" s="45"/>
      <c r="C3341" s="45"/>
      <c r="D3341" s="45"/>
    </row>
    <row r="3342" spans="1:4" ht="15.75" customHeight="1" thickBot="1" x14ac:dyDescent="0.3">
      <c r="A3342" s="19"/>
      <c r="B3342" s="20"/>
      <c r="C3342" s="50"/>
      <c r="D3342" s="51"/>
    </row>
    <row r="3343" spans="1:4" ht="15.75" customHeight="1" thickBot="1" x14ac:dyDescent="0.3">
      <c r="A3343" s="19"/>
      <c r="B3343" s="20"/>
      <c r="C3343" s="52"/>
      <c r="D3343" s="53"/>
    </row>
    <row r="3344" spans="1:4" ht="15.75" customHeight="1" thickBot="1" x14ac:dyDescent="0.3">
      <c r="A3344" s="19"/>
      <c r="B3344" s="20"/>
      <c r="C3344" s="13"/>
      <c r="D3344" s="14"/>
    </row>
    <row r="3345" spans="1:4" ht="15.75" customHeight="1" thickBot="1" x14ac:dyDescent="0.3">
      <c r="A3345" s="2"/>
      <c r="B3345" s="3"/>
      <c r="C3345" s="2"/>
      <c r="D3345" s="1"/>
    </row>
    <row r="3346" spans="1:4" ht="15.75" customHeight="1" thickBot="1" x14ac:dyDescent="0.3">
      <c r="A3346" s="4"/>
      <c r="B3346" s="303"/>
      <c r="C3346" s="304"/>
      <c r="D3346" s="4"/>
    </row>
    <row r="3347" spans="1:4" ht="15.75" customHeight="1" thickBot="1" x14ac:dyDescent="0.3">
      <c r="A3347" s="4"/>
      <c r="B3347" s="303"/>
      <c r="C3347" s="304"/>
      <c r="D3347" s="18"/>
    </row>
    <row r="3348" spans="1:4" ht="15.75" customHeight="1" thickBot="1" x14ac:dyDescent="0.3">
      <c r="A3348" s="4"/>
      <c r="B3348" s="303"/>
      <c r="C3348" s="304"/>
      <c r="D3348" s="18"/>
    </row>
    <row r="3349" spans="1:4" ht="15.75" customHeight="1" thickBot="1" x14ac:dyDescent="0.3">
      <c r="A3349" s="4"/>
      <c r="B3349" s="303"/>
      <c r="C3349" s="304"/>
      <c r="D3349" s="18"/>
    </row>
    <row r="3350" spans="1:4" ht="15.75" customHeight="1" thickBot="1" x14ac:dyDescent="0.3">
      <c r="A3350" s="4"/>
      <c r="B3350" s="303"/>
      <c r="C3350" s="304"/>
      <c r="D3350" s="18"/>
    </row>
    <row r="3351" spans="1:4" ht="15.75" customHeight="1" thickBot="1" x14ac:dyDescent="0.3">
      <c r="A3351" s="4"/>
      <c r="B3351" s="303"/>
      <c r="C3351" s="304"/>
      <c r="D3351" s="18"/>
    </row>
    <row r="3352" spans="1:4" ht="15.75" customHeight="1" thickBot="1" x14ac:dyDescent="0.3">
      <c r="A3352" s="4"/>
      <c r="B3352" s="303"/>
      <c r="C3352" s="304"/>
      <c r="D3352" s="18"/>
    </row>
    <row r="3353" spans="1:4" ht="15.75" customHeight="1" thickBot="1" x14ac:dyDescent="0.3">
      <c r="A3353" s="4"/>
      <c r="B3353" s="303"/>
      <c r="C3353" s="304"/>
      <c r="D3353" s="18"/>
    </row>
    <row r="3354" spans="1:4" ht="15.75" customHeight="1" thickBot="1" x14ac:dyDescent="0.3">
      <c r="A3354" s="4"/>
      <c r="B3354" s="303"/>
      <c r="C3354" s="304"/>
      <c r="D3354" s="18"/>
    </row>
    <row r="3355" spans="1:4" ht="15.75" customHeight="1" thickBot="1" x14ac:dyDescent="0.3">
      <c r="A3355" s="2"/>
      <c r="B3355" s="3"/>
      <c r="C3355" s="2"/>
      <c r="D3355" s="1"/>
    </row>
    <row r="3356" spans="1:4" ht="15.75" customHeight="1" thickBot="1" x14ac:dyDescent="0.3">
      <c r="A3356" s="300"/>
      <c r="B3356" s="301"/>
      <c r="C3356" s="301"/>
      <c r="D3356" s="302"/>
    </row>
    <row r="3357" spans="1:4" ht="15.75" customHeight="1" x14ac:dyDescent="0.25">
      <c r="A3357" s="5"/>
      <c r="B3357" s="6"/>
      <c r="C3357" s="7"/>
      <c r="D3357" s="8"/>
    </row>
    <row r="3358" spans="1:4" ht="15.75" customHeight="1" thickBot="1" x14ac:dyDescent="0.3">
      <c r="A3358" s="9"/>
      <c r="B3358" s="10"/>
      <c r="C3358" s="10"/>
      <c r="D3358" s="11"/>
    </row>
    <row r="3359" spans="1:4" ht="15.75" customHeight="1" thickBot="1" x14ac:dyDescent="0.3">
      <c r="A3359" s="15"/>
      <c r="B3359" s="16"/>
      <c r="C3359" s="21"/>
      <c r="D3359" s="16"/>
    </row>
    <row r="3360" spans="1:4" ht="15.75" customHeight="1" thickBot="1" x14ac:dyDescent="0.3">
      <c r="A3360" s="12"/>
      <c r="B3360" s="305"/>
      <c r="C3360" s="306"/>
      <c r="D3360" s="54"/>
    </row>
    <row r="3361" spans="1:4" ht="15.75" customHeight="1" thickBot="1" x14ac:dyDescent="0.3">
      <c r="A3361" s="38"/>
      <c r="B3361" s="45"/>
      <c r="C3361" s="45"/>
      <c r="D3361" s="45"/>
    </row>
    <row r="3362" spans="1:4" ht="15.75" customHeight="1" thickBot="1" x14ac:dyDescent="0.3">
      <c r="A3362" s="19"/>
      <c r="B3362" s="20"/>
      <c r="C3362" s="50"/>
      <c r="D3362" s="51"/>
    </row>
    <row r="3363" spans="1:4" ht="15.75" customHeight="1" thickBot="1" x14ac:dyDescent="0.3">
      <c r="A3363" s="19"/>
      <c r="B3363" s="20"/>
      <c r="C3363" s="52"/>
      <c r="D3363" s="53"/>
    </row>
    <row r="3364" spans="1:4" ht="15.75" customHeight="1" thickBot="1" x14ac:dyDescent="0.3">
      <c r="A3364" s="19"/>
      <c r="B3364" s="20"/>
      <c r="C3364" s="13"/>
      <c r="D3364" s="14"/>
    </row>
    <row r="3365" spans="1:4" ht="15.75" customHeight="1" thickBot="1" x14ac:dyDescent="0.3">
      <c r="A3365" s="2"/>
      <c r="B3365" s="3"/>
      <c r="C3365" s="2"/>
      <c r="D3365" s="1"/>
    </row>
    <row r="3366" spans="1:4" ht="15.75" customHeight="1" thickBot="1" x14ac:dyDescent="0.3">
      <c r="A3366" s="4"/>
      <c r="B3366" s="303"/>
      <c r="C3366" s="304"/>
      <c r="D3366" s="4"/>
    </row>
    <row r="3367" spans="1:4" ht="15.75" customHeight="1" thickBot="1" x14ac:dyDescent="0.3">
      <c r="A3367" s="4"/>
      <c r="B3367" s="303"/>
      <c r="C3367" s="304"/>
      <c r="D3367" s="18"/>
    </row>
    <row r="3368" spans="1:4" ht="15.75" customHeight="1" thickBot="1" x14ac:dyDescent="0.3">
      <c r="A3368" s="4"/>
      <c r="B3368" s="303"/>
      <c r="C3368" s="304"/>
      <c r="D3368" s="18"/>
    </row>
    <row r="3369" spans="1:4" ht="15.75" customHeight="1" thickBot="1" x14ac:dyDescent="0.3">
      <c r="A3369" s="4"/>
      <c r="B3369" s="303"/>
      <c r="C3369" s="304"/>
      <c r="D3369" s="18"/>
    </row>
    <row r="3370" spans="1:4" ht="15.75" customHeight="1" thickBot="1" x14ac:dyDescent="0.3">
      <c r="A3370" s="4"/>
      <c r="B3370" s="303"/>
      <c r="C3370" s="304"/>
      <c r="D3370" s="18"/>
    </row>
    <row r="3371" spans="1:4" ht="15.75" customHeight="1" thickBot="1" x14ac:dyDescent="0.3">
      <c r="A3371" s="4"/>
      <c r="B3371" s="303"/>
      <c r="C3371" s="304"/>
      <c r="D3371" s="18"/>
    </row>
    <row r="3372" spans="1:4" ht="15.75" customHeight="1" thickBot="1" x14ac:dyDescent="0.3">
      <c r="A3372" s="4"/>
      <c r="B3372" s="303"/>
      <c r="C3372" s="304"/>
      <c r="D3372" s="18"/>
    </row>
    <row r="3373" spans="1:4" ht="15.75" customHeight="1" thickBot="1" x14ac:dyDescent="0.3">
      <c r="A3373" s="4"/>
      <c r="B3373" s="303"/>
      <c r="C3373" s="304"/>
      <c r="D3373" s="18"/>
    </row>
    <row r="3374" spans="1:4" ht="15.75" customHeight="1" thickBot="1" x14ac:dyDescent="0.3">
      <c r="A3374" s="4"/>
      <c r="B3374" s="303"/>
      <c r="C3374" s="304"/>
      <c r="D3374" s="18"/>
    </row>
    <row r="3375" spans="1:4" ht="15.75" customHeight="1" thickBot="1" x14ac:dyDescent="0.3">
      <c r="A3375" s="2"/>
      <c r="B3375" s="3"/>
      <c r="C3375" s="2"/>
      <c r="D3375" s="1"/>
    </row>
    <row r="3376" spans="1:4" ht="15.75" customHeight="1" thickBot="1" x14ac:dyDescent="0.3">
      <c r="A3376" s="300"/>
      <c r="B3376" s="301"/>
      <c r="C3376" s="301"/>
      <c r="D3376" s="302"/>
    </row>
    <row r="3377" spans="1:4" ht="15.75" customHeight="1" x14ac:dyDescent="0.25">
      <c r="A3377" s="5"/>
      <c r="B3377" s="6"/>
      <c r="C3377" s="7"/>
      <c r="D3377" s="8"/>
    </row>
    <row r="3378" spans="1:4" ht="15.75" customHeight="1" thickBot="1" x14ac:dyDescent="0.3">
      <c r="A3378" s="9"/>
      <c r="B3378" s="10"/>
      <c r="C3378" s="10"/>
      <c r="D3378" s="11"/>
    </row>
    <row r="3379" spans="1:4" ht="15.75" customHeight="1" thickBot="1" x14ac:dyDescent="0.3">
      <c r="A3379" s="15"/>
      <c r="B3379" s="16"/>
      <c r="C3379" s="21"/>
      <c r="D3379" s="16"/>
    </row>
    <row r="3380" spans="1:4" ht="15.75" customHeight="1" thickBot="1" x14ac:dyDescent="0.3">
      <c r="A3380" s="12"/>
      <c r="B3380" s="305"/>
      <c r="C3380" s="306"/>
      <c r="D3380" s="54"/>
    </row>
    <row r="3381" spans="1:4" ht="15.75" customHeight="1" thickBot="1" x14ac:dyDescent="0.3">
      <c r="A3381" s="38"/>
      <c r="B3381" s="45"/>
      <c r="C3381" s="45"/>
      <c r="D3381" s="45"/>
    </row>
    <row r="3382" spans="1:4" ht="15.75" customHeight="1" thickBot="1" x14ac:dyDescent="0.3">
      <c r="A3382" s="19"/>
      <c r="B3382" s="20"/>
      <c r="C3382" s="50"/>
      <c r="D3382" s="51"/>
    </row>
    <row r="3383" spans="1:4" ht="15.75" customHeight="1" thickBot="1" x14ac:dyDescent="0.3">
      <c r="A3383" s="19"/>
      <c r="B3383" s="20"/>
      <c r="C3383" s="52"/>
      <c r="D3383" s="53"/>
    </row>
    <row r="3384" spans="1:4" ht="15.75" customHeight="1" thickBot="1" x14ac:dyDescent="0.3">
      <c r="A3384" s="19"/>
      <c r="B3384" s="20"/>
      <c r="C3384" s="13"/>
      <c r="D3384" s="14"/>
    </row>
    <row r="3385" spans="1:4" ht="15.75" customHeight="1" thickBot="1" x14ac:dyDescent="0.3">
      <c r="A3385" s="2"/>
      <c r="B3385" s="3"/>
      <c r="C3385" s="2"/>
      <c r="D3385" s="1"/>
    </row>
    <row r="3386" spans="1:4" ht="15.75" customHeight="1" thickBot="1" x14ac:dyDescent="0.3">
      <c r="A3386" s="4"/>
      <c r="B3386" s="303"/>
      <c r="C3386" s="304"/>
      <c r="D3386" s="4"/>
    </row>
    <row r="3387" spans="1:4" ht="15.75" customHeight="1" thickBot="1" x14ac:dyDescent="0.3">
      <c r="A3387" s="4"/>
      <c r="B3387" s="303"/>
      <c r="C3387" s="304"/>
      <c r="D3387" s="18"/>
    </row>
    <row r="3388" spans="1:4" ht="15.75" customHeight="1" thickBot="1" x14ac:dyDescent="0.3">
      <c r="A3388" s="4"/>
      <c r="B3388" s="303"/>
      <c r="C3388" s="304"/>
      <c r="D3388" s="18"/>
    </row>
    <row r="3389" spans="1:4" ht="15.75" customHeight="1" thickBot="1" x14ac:dyDescent="0.3">
      <c r="A3389" s="4"/>
      <c r="B3389" s="303"/>
      <c r="C3389" s="304"/>
      <c r="D3389" s="18"/>
    </row>
    <row r="3390" spans="1:4" ht="15.75" customHeight="1" thickBot="1" x14ac:dyDescent="0.3">
      <c r="A3390" s="4"/>
      <c r="B3390" s="303"/>
      <c r="C3390" s="304"/>
      <c r="D3390" s="18"/>
    </row>
    <row r="3391" spans="1:4" ht="15.75" customHeight="1" thickBot="1" x14ac:dyDescent="0.3">
      <c r="A3391" s="4"/>
      <c r="B3391" s="303"/>
      <c r="C3391" s="304"/>
      <c r="D3391" s="18"/>
    </row>
    <row r="3392" spans="1:4" ht="15.75" customHeight="1" thickBot="1" x14ac:dyDescent="0.3">
      <c r="A3392" s="4"/>
      <c r="B3392" s="303"/>
      <c r="C3392" s="304"/>
      <c r="D3392" s="18"/>
    </row>
    <row r="3393" spans="1:4" ht="15.75" customHeight="1" thickBot="1" x14ac:dyDescent="0.3">
      <c r="A3393" s="4"/>
      <c r="B3393" s="303"/>
      <c r="C3393" s="304"/>
      <c r="D3393" s="18"/>
    </row>
    <row r="3394" spans="1:4" ht="15.75" customHeight="1" thickBot="1" x14ac:dyDescent="0.3">
      <c r="A3394" s="4"/>
      <c r="B3394" s="303"/>
      <c r="C3394" s="304"/>
      <c r="D3394" s="18"/>
    </row>
    <row r="3395" spans="1:4" ht="15.75" customHeight="1" thickBot="1" x14ac:dyDescent="0.3">
      <c r="A3395" s="2"/>
      <c r="B3395" s="3"/>
      <c r="C3395" s="2"/>
      <c r="D3395" s="1"/>
    </row>
    <row r="3396" spans="1:4" ht="15.75" customHeight="1" thickBot="1" x14ac:dyDescent="0.3">
      <c r="A3396" s="300"/>
      <c r="B3396" s="301"/>
      <c r="C3396" s="301"/>
      <c r="D3396" s="302"/>
    </row>
    <row r="3397" spans="1:4" ht="15.75" customHeight="1" x14ac:dyDescent="0.25">
      <c r="A3397" s="5"/>
      <c r="B3397" s="6"/>
      <c r="C3397" s="7"/>
      <c r="D3397" s="8"/>
    </row>
    <row r="3398" spans="1:4" ht="15.75" customHeight="1" thickBot="1" x14ac:dyDescent="0.3">
      <c r="A3398" s="9"/>
      <c r="B3398" s="10"/>
      <c r="C3398" s="10"/>
      <c r="D3398" s="11"/>
    </row>
    <row r="3399" spans="1:4" ht="15.75" customHeight="1" thickBot="1" x14ac:dyDescent="0.3">
      <c r="A3399" s="15"/>
      <c r="B3399" s="16"/>
      <c r="C3399" s="21"/>
      <c r="D3399" s="16"/>
    </row>
    <row r="3400" spans="1:4" ht="15.75" customHeight="1" thickBot="1" x14ac:dyDescent="0.3">
      <c r="A3400" s="12"/>
      <c r="B3400" s="305"/>
      <c r="C3400" s="306"/>
      <c r="D3400" s="54"/>
    </row>
    <row r="3401" spans="1:4" ht="15.75" customHeight="1" thickBot="1" x14ac:dyDescent="0.3">
      <c r="A3401" s="38"/>
      <c r="B3401" s="45"/>
      <c r="C3401" s="45"/>
      <c r="D3401" s="45"/>
    </row>
    <row r="3402" spans="1:4" ht="15.75" customHeight="1" thickBot="1" x14ac:dyDescent="0.3">
      <c r="A3402" s="19"/>
      <c r="B3402" s="20"/>
      <c r="C3402" s="50"/>
      <c r="D3402" s="51"/>
    </row>
    <row r="3403" spans="1:4" ht="15.75" customHeight="1" thickBot="1" x14ac:dyDescent="0.3">
      <c r="A3403" s="19"/>
      <c r="B3403" s="20"/>
      <c r="C3403" s="52"/>
      <c r="D3403" s="53"/>
    </row>
    <row r="3404" spans="1:4" ht="15.75" customHeight="1" thickBot="1" x14ac:dyDescent="0.3">
      <c r="A3404" s="19"/>
      <c r="B3404" s="20"/>
      <c r="C3404" s="13"/>
      <c r="D3404" s="14"/>
    </row>
    <row r="3405" spans="1:4" ht="15.75" customHeight="1" thickBot="1" x14ac:dyDescent="0.3">
      <c r="A3405" s="2"/>
      <c r="B3405" s="3"/>
      <c r="C3405" s="2"/>
      <c r="D3405" s="1"/>
    </row>
    <row r="3406" spans="1:4" ht="15.75" customHeight="1" thickBot="1" x14ac:dyDescent="0.3">
      <c r="A3406" s="4"/>
      <c r="B3406" s="303"/>
      <c r="C3406" s="304"/>
      <c r="D3406" s="4"/>
    </row>
    <row r="3407" spans="1:4" ht="15.75" customHeight="1" thickBot="1" x14ac:dyDescent="0.3">
      <c r="A3407" s="4"/>
      <c r="B3407" s="303"/>
      <c r="C3407" s="304"/>
      <c r="D3407" s="18"/>
    </row>
    <row r="3408" spans="1:4" ht="15.75" customHeight="1" thickBot="1" x14ac:dyDescent="0.3">
      <c r="A3408" s="4"/>
      <c r="B3408" s="303"/>
      <c r="C3408" s="304"/>
      <c r="D3408" s="18"/>
    </row>
    <row r="3409" spans="1:4" ht="15.75" customHeight="1" thickBot="1" x14ac:dyDescent="0.3">
      <c r="A3409" s="4"/>
      <c r="B3409" s="303"/>
      <c r="C3409" s="304"/>
      <c r="D3409" s="18"/>
    </row>
    <row r="3410" spans="1:4" ht="15.75" customHeight="1" thickBot="1" x14ac:dyDescent="0.3">
      <c r="A3410" s="4"/>
      <c r="B3410" s="303"/>
      <c r="C3410" s="304"/>
      <c r="D3410" s="18"/>
    </row>
    <row r="3411" spans="1:4" ht="15.75" customHeight="1" thickBot="1" x14ac:dyDescent="0.3">
      <c r="A3411" s="4"/>
      <c r="B3411" s="303"/>
      <c r="C3411" s="304"/>
      <c r="D3411" s="18"/>
    </row>
    <row r="3412" spans="1:4" ht="15.75" customHeight="1" thickBot="1" x14ac:dyDescent="0.3">
      <c r="A3412" s="4"/>
      <c r="B3412" s="303"/>
      <c r="C3412" s="304"/>
      <c r="D3412" s="18"/>
    </row>
    <row r="3413" spans="1:4" ht="15.75" customHeight="1" thickBot="1" x14ac:dyDescent="0.3">
      <c r="A3413" s="4"/>
      <c r="B3413" s="303"/>
      <c r="C3413" s="304"/>
      <c r="D3413" s="18"/>
    </row>
    <row r="3414" spans="1:4" ht="15.75" customHeight="1" thickBot="1" x14ac:dyDescent="0.3">
      <c r="A3414" s="4"/>
      <c r="B3414" s="303"/>
      <c r="C3414" s="304"/>
      <c r="D3414" s="18"/>
    </row>
    <row r="3415" spans="1:4" ht="15.75" customHeight="1" thickBot="1" x14ac:dyDescent="0.3">
      <c r="A3415" s="2"/>
      <c r="B3415" s="3"/>
      <c r="C3415" s="2"/>
      <c r="D3415" s="1"/>
    </row>
    <row r="3416" spans="1:4" ht="15.75" customHeight="1" thickBot="1" x14ac:dyDescent="0.3">
      <c r="A3416" s="300"/>
      <c r="B3416" s="301"/>
      <c r="C3416" s="301"/>
      <c r="D3416" s="302"/>
    </row>
    <row r="3417" spans="1:4" ht="15.75" customHeight="1" x14ac:dyDescent="0.25">
      <c r="A3417" s="5"/>
      <c r="B3417" s="6"/>
      <c r="C3417" s="7"/>
      <c r="D3417" s="8"/>
    </row>
    <row r="3418" spans="1:4" ht="15.75" customHeight="1" thickBot="1" x14ac:dyDescent="0.3">
      <c r="A3418" s="9"/>
      <c r="B3418" s="10"/>
      <c r="C3418" s="10"/>
      <c r="D3418" s="11"/>
    </row>
    <row r="3419" spans="1:4" ht="15.75" customHeight="1" thickBot="1" x14ac:dyDescent="0.3">
      <c r="A3419" s="15"/>
      <c r="B3419" s="16"/>
      <c r="C3419" s="21"/>
      <c r="D3419" s="16"/>
    </row>
    <row r="3420" spans="1:4" ht="15.75" customHeight="1" thickBot="1" x14ac:dyDescent="0.3">
      <c r="A3420" s="12"/>
      <c r="B3420" s="305"/>
      <c r="C3420" s="306"/>
      <c r="D3420" s="54"/>
    </row>
    <row r="3421" spans="1:4" ht="15.75" customHeight="1" thickBot="1" x14ac:dyDescent="0.3">
      <c r="A3421" s="38"/>
      <c r="B3421" s="45"/>
      <c r="C3421" s="45"/>
      <c r="D3421" s="45"/>
    </row>
    <row r="3422" spans="1:4" ht="15.75" customHeight="1" thickBot="1" x14ac:dyDescent="0.3">
      <c r="A3422" s="19"/>
      <c r="B3422" s="20"/>
      <c r="C3422" s="50"/>
      <c r="D3422" s="51"/>
    </row>
    <row r="3423" spans="1:4" ht="15.75" customHeight="1" thickBot="1" x14ac:dyDescent="0.3">
      <c r="A3423" s="19"/>
      <c r="B3423" s="20"/>
      <c r="C3423" s="52"/>
      <c r="D3423" s="53"/>
    </row>
    <row r="3424" spans="1:4" ht="15.75" customHeight="1" thickBot="1" x14ac:dyDescent="0.3">
      <c r="A3424" s="19"/>
      <c r="B3424" s="20"/>
      <c r="C3424" s="13"/>
      <c r="D3424" s="14"/>
    </row>
    <row r="3425" spans="1:4" ht="15.75" customHeight="1" thickBot="1" x14ac:dyDescent="0.3">
      <c r="A3425" s="2"/>
      <c r="B3425" s="3"/>
      <c r="C3425" s="2"/>
      <c r="D3425" s="1"/>
    </row>
    <row r="3426" spans="1:4" ht="15.75" customHeight="1" thickBot="1" x14ac:dyDescent="0.3">
      <c r="A3426" s="4"/>
      <c r="B3426" s="303"/>
      <c r="C3426" s="304"/>
      <c r="D3426" s="4"/>
    </row>
    <row r="3427" spans="1:4" ht="15.75" customHeight="1" thickBot="1" x14ac:dyDescent="0.3">
      <c r="A3427" s="4"/>
      <c r="B3427" s="303"/>
      <c r="C3427" s="304"/>
      <c r="D3427" s="18"/>
    </row>
    <row r="3428" spans="1:4" ht="15.75" customHeight="1" thickBot="1" x14ac:dyDescent="0.3">
      <c r="A3428" s="4"/>
      <c r="B3428" s="303"/>
      <c r="C3428" s="304"/>
      <c r="D3428" s="18"/>
    </row>
    <row r="3429" spans="1:4" ht="15.75" customHeight="1" thickBot="1" x14ac:dyDescent="0.3">
      <c r="A3429" s="4"/>
      <c r="B3429" s="303"/>
      <c r="C3429" s="304"/>
      <c r="D3429" s="18"/>
    </row>
    <row r="3430" spans="1:4" ht="15.75" customHeight="1" thickBot="1" x14ac:dyDescent="0.3">
      <c r="A3430" s="4"/>
      <c r="B3430" s="303"/>
      <c r="C3430" s="304"/>
      <c r="D3430" s="18"/>
    </row>
    <row r="3431" spans="1:4" ht="15.75" customHeight="1" thickBot="1" x14ac:dyDescent="0.3">
      <c r="A3431" s="4"/>
      <c r="B3431" s="303"/>
      <c r="C3431" s="304"/>
      <c r="D3431" s="18"/>
    </row>
    <row r="3432" spans="1:4" ht="15.75" customHeight="1" thickBot="1" x14ac:dyDescent="0.3">
      <c r="A3432" s="4"/>
      <c r="B3432" s="303"/>
      <c r="C3432" s="304"/>
      <c r="D3432" s="18"/>
    </row>
    <row r="3433" spans="1:4" ht="15.75" customHeight="1" thickBot="1" x14ac:dyDescent="0.3">
      <c r="A3433" s="4"/>
      <c r="B3433" s="303"/>
      <c r="C3433" s="304"/>
      <c r="D3433" s="18"/>
    </row>
    <row r="3434" spans="1:4" ht="15.75" customHeight="1" thickBot="1" x14ac:dyDescent="0.3">
      <c r="A3434" s="4"/>
      <c r="B3434" s="303"/>
      <c r="C3434" s="304"/>
      <c r="D3434" s="18"/>
    </row>
    <row r="3435" spans="1:4" ht="15.75" customHeight="1" thickBot="1" x14ac:dyDescent="0.3">
      <c r="A3435" s="2"/>
      <c r="B3435" s="3"/>
      <c r="C3435" s="2"/>
      <c r="D3435" s="1"/>
    </row>
    <row r="3436" spans="1:4" ht="15.75" customHeight="1" thickBot="1" x14ac:dyDescent="0.3">
      <c r="A3436" s="300"/>
      <c r="B3436" s="301"/>
      <c r="C3436" s="301"/>
      <c r="D3436" s="302"/>
    </row>
    <row r="3437" spans="1:4" ht="15.75" customHeight="1" x14ac:dyDescent="0.25">
      <c r="A3437" s="5"/>
      <c r="B3437" s="6"/>
      <c r="C3437" s="7"/>
      <c r="D3437" s="8"/>
    </row>
    <row r="3438" spans="1:4" ht="15.75" customHeight="1" thickBot="1" x14ac:dyDescent="0.3">
      <c r="A3438" s="9"/>
      <c r="B3438" s="10"/>
      <c r="C3438" s="10"/>
      <c r="D3438" s="11"/>
    </row>
    <row r="3439" spans="1:4" ht="15.75" customHeight="1" thickBot="1" x14ac:dyDescent="0.3">
      <c r="A3439" s="15"/>
      <c r="B3439" s="16"/>
      <c r="C3439" s="21"/>
      <c r="D3439" s="16"/>
    </row>
    <row r="3440" spans="1:4" ht="15.75" customHeight="1" thickBot="1" x14ac:dyDescent="0.3">
      <c r="A3440" s="12"/>
      <c r="B3440" s="305"/>
      <c r="C3440" s="306"/>
      <c r="D3440" s="54"/>
    </row>
    <row r="3441" spans="1:4" ht="15.75" customHeight="1" thickBot="1" x14ac:dyDescent="0.3">
      <c r="A3441" s="38"/>
      <c r="B3441" s="45"/>
      <c r="C3441" s="45"/>
      <c r="D3441" s="45"/>
    </row>
    <row r="3442" spans="1:4" ht="15.75" customHeight="1" thickBot="1" x14ac:dyDescent="0.3">
      <c r="A3442" s="19"/>
      <c r="B3442" s="20"/>
      <c r="C3442" s="50"/>
      <c r="D3442" s="51"/>
    </row>
    <row r="3443" spans="1:4" ht="15.75" customHeight="1" thickBot="1" x14ac:dyDescent="0.3">
      <c r="A3443" s="19"/>
      <c r="B3443" s="20"/>
      <c r="C3443" s="52"/>
      <c r="D3443" s="53"/>
    </row>
    <row r="3444" spans="1:4" ht="15.75" customHeight="1" thickBot="1" x14ac:dyDescent="0.3">
      <c r="A3444" s="19"/>
      <c r="B3444" s="20"/>
      <c r="C3444" s="13"/>
      <c r="D3444" s="14"/>
    </row>
    <row r="3445" spans="1:4" ht="15.75" customHeight="1" thickBot="1" x14ac:dyDescent="0.3">
      <c r="A3445" s="2"/>
      <c r="B3445" s="3"/>
      <c r="C3445" s="2"/>
      <c r="D3445" s="1"/>
    </row>
    <row r="3446" spans="1:4" ht="15.75" customHeight="1" thickBot="1" x14ac:dyDescent="0.3">
      <c r="A3446" s="4"/>
      <c r="B3446" s="303"/>
      <c r="C3446" s="304"/>
      <c r="D3446" s="4"/>
    </row>
    <row r="3447" spans="1:4" ht="15.75" customHeight="1" thickBot="1" x14ac:dyDescent="0.3">
      <c r="A3447" s="4"/>
      <c r="B3447" s="303"/>
      <c r="C3447" s="304"/>
      <c r="D3447" s="18"/>
    </row>
    <row r="3448" spans="1:4" ht="15.75" customHeight="1" thickBot="1" x14ac:dyDescent="0.3">
      <c r="A3448" s="4"/>
      <c r="B3448" s="303"/>
      <c r="C3448" s="304"/>
      <c r="D3448" s="18"/>
    </row>
    <row r="3449" spans="1:4" ht="15.75" customHeight="1" thickBot="1" x14ac:dyDescent="0.3">
      <c r="A3449" s="4"/>
      <c r="B3449" s="303"/>
      <c r="C3449" s="304"/>
      <c r="D3449" s="18"/>
    </row>
    <row r="3450" spans="1:4" ht="15.75" customHeight="1" thickBot="1" x14ac:dyDescent="0.3">
      <c r="A3450" s="4"/>
      <c r="B3450" s="303"/>
      <c r="C3450" s="304"/>
      <c r="D3450" s="18"/>
    </row>
    <row r="3451" spans="1:4" ht="15.75" customHeight="1" thickBot="1" x14ac:dyDescent="0.3">
      <c r="A3451" s="4"/>
      <c r="B3451" s="303"/>
      <c r="C3451" s="304"/>
      <c r="D3451" s="18"/>
    </row>
    <row r="3452" spans="1:4" ht="15.75" customHeight="1" thickBot="1" x14ac:dyDescent="0.3">
      <c r="A3452" s="4"/>
      <c r="B3452" s="303"/>
      <c r="C3452" s="304"/>
      <c r="D3452" s="18"/>
    </row>
    <row r="3453" spans="1:4" ht="15.75" customHeight="1" thickBot="1" x14ac:dyDescent="0.3">
      <c r="A3453" s="4"/>
      <c r="B3453" s="303"/>
      <c r="C3453" s="304"/>
      <c r="D3453" s="18"/>
    </row>
    <row r="3454" spans="1:4" ht="15.75" customHeight="1" thickBot="1" x14ac:dyDescent="0.3">
      <c r="A3454" s="4"/>
      <c r="B3454" s="303"/>
      <c r="C3454" s="304"/>
      <c r="D3454" s="18"/>
    </row>
    <row r="3455" spans="1:4" ht="15.75" customHeight="1" thickBot="1" x14ac:dyDescent="0.3">
      <c r="A3455" s="2"/>
      <c r="B3455" s="3"/>
      <c r="C3455" s="2"/>
      <c r="D3455" s="1"/>
    </row>
    <row r="3456" spans="1:4" ht="15.75" customHeight="1" thickBot="1" x14ac:dyDescent="0.3">
      <c r="A3456" s="300"/>
      <c r="B3456" s="301"/>
      <c r="C3456" s="301"/>
      <c r="D3456" s="302"/>
    </row>
    <row r="3457" spans="1:4" ht="15.75" customHeight="1" x14ac:dyDescent="0.25">
      <c r="A3457" s="5"/>
      <c r="B3457" s="6"/>
      <c r="C3457" s="7"/>
      <c r="D3457" s="8"/>
    </row>
    <row r="3458" spans="1:4" ht="15.75" customHeight="1" thickBot="1" x14ac:dyDescent="0.3">
      <c r="A3458" s="9"/>
      <c r="B3458" s="10"/>
      <c r="C3458" s="10"/>
      <c r="D3458" s="11"/>
    </row>
    <row r="3459" spans="1:4" ht="15.75" customHeight="1" thickBot="1" x14ac:dyDescent="0.3">
      <c r="A3459" s="15"/>
      <c r="B3459" s="16"/>
      <c r="C3459" s="21"/>
      <c r="D3459" s="16"/>
    </row>
    <row r="3460" spans="1:4" ht="15.75" customHeight="1" thickBot="1" x14ac:dyDescent="0.3">
      <c r="A3460" s="12"/>
      <c r="B3460" s="305"/>
      <c r="C3460" s="306"/>
      <c r="D3460" s="54"/>
    </row>
    <row r="3461" spans="1:4" ht="15.75" customHeight="1" thickBot="1" x14ac:dyDescent="0.3">
      <c r="A3461" s="38"/>
      <c r="B3461" s="45"/>
      <c r="C3461" s="45"/>
      <c r="D3461" s="45"/>
    </row>
    <row r="3462" spans="1:4" ht="15.75" customHeight="1" thickBot="1" x14ac:dyDescent="0.3">
      <c r="A3462" s="19"/>
      <c r="B3462" s="20"/>
      <c r="C3462" s="50"/>
      <c r="D3462" s="51"/>
    </row>
    <row r="3463" spans="1:4" ht="15.75" customHeight="1" thickBot="1" x14ac:dyDescent="0.3">
      <c r="A3463" s="19"/>
      <c r="B3463" s="20"/>
      <c r="C3463" s="52"/>
      <c r="D3463" s="53"/>
    </row>
    <row r="3464" spans="1:4" ht="15.75" customHeight="1" thickBot="1" x14ac:dyDescent="0.3">
      <c r="A3464" s="19"/>
      <c r="B3464" s="20"/>
      <c r="C3464" s="13"/>
      <c r="D3464" s="14"/>
    </row>
    <row r="3465" spans="1:4" ht="15.75" customHeight="1" thickBot="1" x14ac:dyDescent="0.3">
      <c r="A3465" s="2"/>
      <c r="B3465" s="3"/>
      <c r="C3465" s="2"/>
      <c r="D3465" s="1"/>
    </row>
    <row r="3466" spans="1:4" ht="15.75" customHeight="1" thickBot="1" x14ac:dyDescent="0.3">
      <c r="A3466" s="4"/>
      <c r="B3466" s="303"/>
      <c r="C3466" s="304"/>
      <c r="D3466" s="4"/>
    </row>
    <row r="3467" spans="1:4" ht="15.75" customHeight="1" thickBot="1" x14ac:dyDescent="0.3">
      <c r="A3467" s="4"/>
      <c r="B3467" s="303"/>
      <c r="C3467" s="304"/>
      <c r="D3467" s="18"/>
    </row>
    <row r="3468" spans="1:4" ht="15.75" customHeight="1" thickBot="1" x14ac:dyDescent="0.3">
      <c r="A3468" s="4"/>
      <c r="B3468" s="303"/>
      <c r="C3468" s="304"/>
      <c r="D3468" s="18"/>
    </row>
    <row r="3469" spans="1:4" ht="15.75" customHeight="1" thickBot="1" x14ac:dyDescent="0.3">
      <c r="A3469" s="4"/>
      <c r="B3469" s="303"/>
      <c r="C3469" s="304"/>
      <c r="D3469" s="18"/>
    </row>
    <row r="3470" spans="1:4" ht="15.75" customHeight="1" thickBot="1" x14ac:dyDescent="0.3">
      <c r="A3470" s="4"/>
      <c r="B3470" s="303"/>
      <c r="C3470" s="304"/>
      <c r="D3470" s="18"/>
    </row>
    <row r="3471" spans="1:4" ht="15.75" customHeight="1" thickBot="1" x14ac:dyDescent="0.3">
      <c r="A3471" s="4"/>
      <c r="B3471" s="303"/>
      <c r="C3471" s="304"/>
      <c r="D3471" s="18"/>
    </row>
    <row r="3472" spans="1:4" ht="15.75" customHeight="1" thickBot="1" x14ac:dyDescent="0.3">
      <c r="A3472" s="4"/>
      <c r="B3472" s="303"/>
      <c r="C3472" s="304"/>
      <c r="D3472" s="18"/>
    </row>
    <row r="3473" spans="1:4" ht="15.75" customHeight="1" thickBot="1" x14ac:dyDescent="0.3">
      <c r="A3473" s="4"/>
      <c r="B3473" s="303"/>
      <c r="C3473" s="304"/>
      <c r="D3473" s="18"/>
    </row>
    <row r="3474" spans="1:4" ht="15.75" customHeight="1" thickBot="1" x14ac:dyDescent="0.3">
      <c r="A3474" s="4"/>
      <c r="B3474" s="303"/>
      <c r="C3474" s="304"/>
      <c r="D3474" s="18"/>
    </row>
    <row r="3475" spans="1:4" ht="15.75" customHeight="1" thickBot="1" x14ac:dyDescent="0.3">
      <c r="A3475" s="2"/>
      <c r="B3475" s="3"/>
      <c r="C3475" s="2"/>
      <c r="D3475" s="1"/>
    </row>
    <row r="3476" spans="1:4" ht="15.75" customHeight="1" thickBot="1" x14ac:dyDescent="0.3">
      <c r="A3476" s="300"/>
      <c r="B3476" s="301"/>
      <c r="C3476" s="301"/>
      <c r="D3476" s="302"/>
    </row>
    <row r="3477" spans="1:4" ht="15.75" customHeight="1" x14ac:dyDescent="0.25">
      <c r="A3477" s="5"/>
      <c r="B3477" s="6"/>
      <c r="C3477" s="7"/>
      <c r="D3477" s="8"/>
    </row>
    <row r="3478" spans="1:4" ht="15.75" customHeight="1" thickBot="1" x14ac:dyDescent="0.3">
      <c r="A3478" s="9"/>
      <c r="B3478" s="10"/>
      <c r="C3478" s="10"/>
      <c r="D3478" s="11"/>
    </row>
    <row r="3479" spans="1:4" ht="15.75" customHeight="1" thickBot="1" x14ac:dyDescent="0.3">
      <c r="A3479" s="15"/>
      <c r="B3479" s="16"/>
      <c r="C3479" s="21"/>
      <c r="D3479" s="16"/>
    </row>
    <row r="3480" spans="1:4" ht="15.75" customHeight="1" thickBot="1" x14ac:dyDescent="0.3">
      <c r="A3480" s="12"/>
      <c r="B3480" s="305"/>
      <c r="C3480" s="306"/>
      <c r="D3480" s="54"/>
    </row>
    <row r="3481" spans="1:4" ht="15.75" customHeight="1" thickBot="1" x14ac:dyDescent="0.3">
      <c r="A3481" s="38"/>
      <c r="B3481" s="45"/>
      <c r="C3481" s="45"/>
      <c r="D3481" s="45"/>
    </row>
    <row r="3482" spans="1:4" ht="15.75" customHeight="1" thickBot="1" x14ac:dyDescent="0.3">
      <c r="A3482" s="19"/>
      <c r="B3482" s="20"/>
      <c r="C3482" s="50"/>
      <c r="D3482" s="51"/>
    </row>
    <row r="3483" spans="1:4" ht="15.75" customHeight="1" thickBot="1" x14ac:dyDescent="0.3">
      <c r="A3483" s="19"/>
      <c r="B3483" s="20"/>
      <c r="C3483" s="52"/>
      <c r="D3483" s="53"/>
    </row>
    <row r="3484" spans="1:4" ht="15.75" customHeight="1" thickBot="1" x14ac:dyDescent="0.3">
      <c r="A3484" s="19"/>
      <c r="B3484" s="20"/>
      <c r="C3484" s="13"/>
      <c r="D3484" s="14"/>
    </row>
    <row r="3485" spans="1:4" ht="15.75" customHeight="1" thickBot="1" x14ac:dyDescent="0.3">
      <c r="A3485" s="2"/>
      <c r="B3485" s="3"/>
      <c r="C3485" s="2"/>
      <c r="D3485" s="1"/>
    </row>
    <row r="3486" spans="1:4" ht="15.75" customHeight="1" thickBot="1" x14ac:dyDescent="0.3">
      <c r="A3486" s="4"/>
      <c r="B3486" s="303"/>
      <c r="C3486" s="304"/>
      <c r="D3486" s="4"/>
    </row>
    <row r="3487" spans="1:4" ht="15.75" customHeight="1" thickBot="1" x14ac:dyDescent="0.3">
      <c r="A3487" s="4"/>
      <c r="B3487" s="303"/>
      <c r="C3487" s="304"/>
      <c r="D3487" s="18"/>
    </row>
    <row r="3488" spans="1:4" ht="15.75" customHeight="1" thickBot="1" x14ac:dyDescent="0.3">
      <c r="A3488" s="4"/>
      <c r="B3488" s="303"/>
      <c r="C3488" s="304"/>
      <c r="D3488" s="18"/>
    </row>
    <row r="3489" spans="1:4" ht="15.75" customHeight="1" thickBot="1" x14ac:dyDescent="0.3">
      <c r="A3489" s="4"/>
      <c r="B3489" s="303"/>
      <c r="C3489" s="304"/>
      <c r="D3489" s="18"/>
    </row>
    <row r="3490" spans="1:4" ht="15.75" customHeight="1" thickBot="1" x14ac:dyDescent="0.3">
      <c r="A3490" s="4"/>
      <c r="B3490" s="303"/>
      <c r="C3490" s="304"/>
      <c r="D3490" s="18"/>
    </row>
    <row r="3491" spans="1:4" ht="15.75" customHeight="1" thickBot="1" x14ac:dyDescent="0.3">
      <c r="A3491" s="4"/>
      <c r="B3491" s="303"/>
      <c r="C3491" s="304"/>
      <c r="D3491" s="18"/>
    </row>
    <row r="3492" spans="1:4" ht="15.75" customHeight="1" thickBot="1" x14ac:dyDescent="0.3">
      <c r="A3492" s="4"/>
      <c r="B3492" s="303"/>
      <c r="C3492" s="304"/>
      <c r="D3492" s="18"/>
    </row>
    <row r="3493" spans="1:4" ht="15.75" customHeight="1" thickBot="1" x14ac:dyDescent="0.3">
      <c r="A3493" s="4"/>
      <c r="B3493" s="303"/>
      <c r="C3493" s="304"/>
      <c r="D3493" s="18"/>
    </row>
    <row r="3494" spans="1:4" ht="15.75" customHeight="1" thickBot="1" x14ac:dyDescent="0.3">
      <c r="A3494" s="4"/>
      <c r="B3494" s="303"/>
      <c r="C3494" s="304"/>
      <c r="D3494" s="18"/>
    </row>
    <row r="3495" spans="1:4" ht="15.75" customHeight="1" thickBot="1" x14ac:dyDescent="0.3">
      <c r="A3495" s="2"/>
      <c r="B3495" s="3"/>
      <c r="C3495" s="2"/>
      <c r="D3495" s="1"/>
    </row>
    <row r="3496" spans="1:4" ht="15.75" customHeight="1" thickBot="1" x14ac:dyDescent="0.3">
      <c r="A3496" s="300"/>
      <c r="B3496" s="301"/>
      <c r="C3496" s="301"/>
      <c r="D3496" s="302"/>
    </row>
    <row r="3497" spans="1:4" ht="15.75" customHeight="1" x14ac:dyDescent="0.25">
      <c r="A3497" s="5"/>
      <c r="B3497" s="6"/>
      <c r="C3497" s="7"/>
      <c r="D3497" s="8"/>
    </row>
    <row r="3498" spans="1:4" ht="15.75" customHeight="1" thickBot="1" x14ac:dyDescent="0.3">
      <c r="A3498" s="9"/>
      <c r="B3498" s="10"/>
      <c r="C3498" s="10"/>
      <c r="D3498" s="11"/>
    </row>
    <row r="3499" spans="1:4" ht="15.75" customHeight="1" thickBot="1" x14ac:dyDescent="0.3">
      <c r="A3499" s="15"/>
      <c r="B3499" s="16"/>
      <c r="C3499" s="21"/>
      <c r="D3499" s="16"/>
    </row>
    <row r="3500" spans="1:4" ht="15.75" customHeight="1" thickBot="1" x14ac:dyDescent="0.3">
      <c r="A3500" s="12"/>
      <c r="B3500" s="305"/>
      <c r="C3500" s="306"/>
      <c r="D3500" s="54"/>
    </row>
    <row r="3501" spans="1:4" ht="15.75" customHeight="1" thickBot="1" x14ac:dyDescent="0.3">
      <c r="A3501" s="38"/>
      <c r="B3501" s="45"/>
      <c r="C3501" s="45"/>
      <c r="D3501" s="45"/>
    </row>
    <row r="3502" spans="1:4" ht="15.75" customHeight="1" thickBot="1" x14ac:dyDescent="0.3">
      <c r="A3502" s="19"/>
      <c r="B3502" s="20"/>
      <c r="C3502" s="50"/>
      <c r="D3502" s="51"/>
    </row>
    <row r="3503" spans="1:4" ht="15.75" customHeight="1" thickBot="1" x14ac:dyDescent="0.3">
      <c r="A3503" s="19"/>
      <c r="B3503" s="20"/>
      <c r="C3503" s="52"/>
      <c r="D3503" s="53"/>
    </row>
    <row r="3504" spans="1:4" ht="15.75" customHeight="1" thickBot="1" x14ac:dyDescent="0.3">
      <c r="A3504" s="19"/>
      <c r="B3504" s="20"/>
      <c r="C3504" s="13"/>
      <c r="D3504" s="14"/>
    </row>
    <row r="3505" spans="1:4" ht="15.75" customHeight="1" thickBot="1" x14ac:dyDescent="0.3">
      <c r="A3505" s="2"/>
      <c r="B3505" s="3"/>
      <c r="C3505" s="2"/>
      <c r="D3505" s="1"/>
    </row>
    <row r="3506" spans="1:4" ht="15.75" customHeight="1" thickBot="1" x14ac:dyDescent="0.3">
      <c r="A3506" s="4"/>
      <c r="B3506" s="303"/>
      <c r="C3506" s="304"/>
      <c r="D3506" s="4"/>
    </row>
    <row r="3507" spans="1:4" ht="15.75" customHeight="1" thickBot="1" x14ac:dyDescent="0.3">
      <c r="A3507" s="4"/>
      <c r="B3507" s="303"/>
      <c r="C3507" s="304"/>
      <c r="D3507" s="18"/>
    </row>
    <row r="3508" spans="1:4" ht="15.75" customHeight="1" thickBot="1" x14ac:dyDescent="0.3">
      <c r="A3508" s="4"/>
      <c r="B3508" s="303"/>
      <c r="C3508" s="304"/>
      <c r="D3508" s="18"/>
    </row>
    <row r="3509" spans="1:4" ht="15.75" customHeight="1" thickBot="1" x14ac:dyDescent="0.3">
      <c r="A3509" s="4"/>
      <c r="B3509" s="303"/>
      <c r="C3509" s="304"/>
      <c r="D3509" s="18"/>
    </row>
    <row r="3510" spans="1:4" ht="15.75" customHeight="1" thickBot="1" x14ac:dyDescent="0.3">
      <c r="A3510" s="4"/>
      <c r="B3510" s="303"/>
      <c r="C3510" s="304"/>
      <c r="D3510" s="18"/>
    </row>
    <row r="3511" spans="1:4" ht="15.75" customHeight="1" thickBot="1" x14ac:dyDescent="0.3">
      <c r="A3511" s="4"/>
      <c r="B3511" s="303"/>
      <c r="C3511" s="304"/>
      <c r="D3511" s="18"/>
    </row>
    <row r="3512" spans="1:4" ht="15.75" customHeight="1" thickBot="1" x14ac:dyDescent="0.3">
      <c r="A3512" s="4"/>
      <c r="B3512" s="303"/>
      <c r="C3512" s="304"/>
      <c r="D3512" s="18"/>
    </row>
    <row r="3513" spans="1:4" ht="15.75" customHeight="1" thickBot="1" x14ac:dyDescent="0.3">
      <c r="A3513" s="4"/>
      <c r="B3513" s="303"/>
      <c r="C3513" s="304"/>
      <c r="D3513" s="18"/>
    </row>
    <row r="3514" spans="1:4" ht="15.75" customHeight="1" thickBot="1" x14ac:dyDescent="0.3">
      <c r="A3514" s="4"/>
      <c r="B3514" s="303"/>
      <c r="C3514" s="304"/>
      <c r="D3514" s="18"/>
    </row>
    <row r="3515" spans="1:4" ht="15.75" customHeight="1" thickBot="1" x14ac:dyDescent="0.3">
      <c r="A3515" s="2"/>
      <c r="B3515" s="3"/>
      <c r="C3515" s="2"/>
      <c r="D3515" s="1"/>
    </row>
    <row r="3516" spans="1:4" ht="15.75" customHeight="1" thickBot="1" x14ac:dyDescent="0.3">
      <c r="A3516" s="300"/>
      <c r="B3516" s="301"/>
      <c r="C3516" s="301"/>
      <c r="D3516" s="302"/>
    </row>
    <row r="3517" spans="1:4" ht="15.75" customHeight="1" x14ac:dyDescent="0.25">
      <c r="A3517" s="5"/>
      <c r="B3517" s="6"/>
      <c r="C3517" s="7"/>
      <c r="D3517" s="8"/>
    </row>
    <row r="3518" spans="1:4" ht="15.75" customHeight="1" thickBot="1" x14ac:dyDescent="0.3">
      <c r="A3518" s="9"/>
      <c r="B3518" s="10"/>
      <c r="C3518" s="10"/>
      <c r="D3518" s="11"/>
    </row>
    <row r="3519" spans="1:4" ht="15.75" customHeight="1" thickBot="1" x14ac:dyDescent="0.3">
      <c r="A3519" s="15"/>
      <c r="B3519" s="16"/>
      <c r="C3519" s="21"/>
      <c r="D3519" s="16"/>
    </row>
    <row r="3520" spans="1:4" ht="15.75" customHeight="1" thickBot="1" x14ac:dyDescent="0.3">
      <c r="A3520" s="12"/>
      <c r="B3520" s="305"/>
      <c r="C3520" s="306"/>
      <c r="D3520" s="54"/>
    </row>
    <row r="3521" spans="1:4" ht="15.75" customHeight="1" thickBot="1" x14ac:dyDescent="0.3">
      <c r="A3521" s="38"/>
      <c r="B3521" s="45"/>
      <c r="C3521" s="45"/>
      <c r="D3521" s="45"/>
    </row>
    <row r="3522" spans="1:4" ht="15.75" customHeight="1" thickBot="1" x14ac:dyDescent="0.3">
      <c r="A3522" s="19"/>
      <c r="B3522" s="20"/>
      <c r="C3522" s="50"/>
      <c r="D3522" s="51"/>
    </row>
    <row r="3523" spans="1:4" ht="15.75" customHeight="1" thickBot="1" x14ac:dyDescent="0.3">
      <c r="A3523" s="19"/>
      <c r="B3523" s="20"/>
      <c r="C3523" s="52"/>
      <c r="D3523" s="53"/>
    </row>
    <row r="3524" spans="1:4" ht="15.75" customHeight="1" thickBot="1" x14ac:dyDescent="0.3">
      <c r="A3524" s="19"/>
      <c r="B3524" s="20"/>
      <c r="C3524" s="13"/>
      <c r="D3524" s="14"/>
    </row>
    <row r="3525" spans="1:4" ht="15.75" customHeight="1" thickBot="1" x14ac:dyDescent="0.3">
      <c r="A3525" s="2"/>
      <c r="B3525" s="3"/>
      <c r="C3525" s="2"/>
      <c r="D3525" s="1"/>
    </row>
    <row r="3526" spans="1:4" ht="15.75" customHeight="1" thickBot="1" x14ac:dyDescent="0.3">
      <c r="A3526" s="4"/>
      <c r="B3526" s="303"/>
      <c r="C3526" s="304"/>
      <c r="D3526" s="4"/>
    </row>
    <row r="3527" spans="1:4" ht="15.75" customHeight="1" thickBot="1" x14ac:dyDescent="0.3">
      <c r="A3527" s="4"/>
      <c r="B3527" s="303"/>
      <c r="C3527" s="304"/>
      <c r="D3527" s="18"/>
    </row>
    <row r="3528" spans="1:4" ht="15.75" customHeight="1" thickBot="1" x14ac:dyDescent="0.3">
      <c r="A3528" s="4"/>
      <c r="B3528" s="303"/>
      <c r="C3528" s="304"/>
      <c r="D3528" s="18"/>
    </row>
    <row r="3529" spans="1:4" ht="15.75" customHeight="1" thickBot="1" x14ac:dyDescent="0.3">
      <c r="A3529" s="4"/>
      <c r="B3529" s="303"/>
      <c r="C3529" s="304"/>
      <c r="D3529" s="18"/>
    </row>
    <row r="3530" spans="1:4" ht="15.75" customHeight="1" thickBot="1" x14ac:dyDescent="0.3">
      <c r="A3530" s="4"/>
      <c r="B3530" s="303"/>
      <c r="C3530" s="304"/>
      <c r="D3530" s="18"/>
    </row>
    <row r="3531" spans="1:4" ht="15.75" customHeight="1" thickBot="1" x14ac:dyDescent="0.3">
      <c r="A3531" s="4"/>
      <c r="B3531" s="303"/>
      <c r="C3531" s="304"/>
      <c r="D3531" s="18"/>
    </row>
    <row r="3532" spans="1:4" ht="15.75" customHeight="1" thickBot="1" x14ac:dyDescent="0.3">
      <c r="A3532" s="4"/>
      <c r="B3532" s="303"/>
      <c r="C3532" s="304"/>
      <c r="D3532" s="18"/>
    </row>
    <row r="3533" spans="1:4" ht="15.75" customHeight="1" thickBot="1" x14ac:dyDescent="0.3">
      <c r="A3533" s="4"/>
      <c r="B3533" s="303"/>
      <c r="C3533" s="304"/>
      <c r="D3533" s="18"/>
    </row>
    <row r="3534" spans="1:4" ht="15.75" customHeight="1" thickBot="1" x14ac:dyDescent="0.3">
      <c r="A3534" s="4"/>
      <c r="B3534" s="303"/>
      <c r="C3534" s="304"/>
      <c r="D3534" s="18"/>
    </row>
    <row r="3535" spans="1:4" ht="15.75" customHeight="1" thickBot="1" x14ac:dyDescent="0.3">
      <c r="A3535" s="2"/>
      <c r="B3535" s="3"/>
      <c r="C3535" s="2"/>
      <c r="D3535" s="1"/>
    </row>
    <row r="3536" spans="1:4" ht="15.75" customHeight="1" thickBot="1" x14ac:dyDescent="0.3">
      <c r="A3536" s="300"/>
      <c r="B3536" s="301"/>
      <c r="C3536" s="301"/>
      <c r="D3536" s="302"/>
    </row>
    <row r="3537" spans="1:4" ht="15.75" customHeight="1" x14ac:dyDescent="0.25">
      <c r="A3537" s="5"/>
      <c r="B3537" s="6"/>
      <c r="C3537" s="7"/>
      <c r="D3537" s="8"/>
    </row>
    <row r="3538" spans="1:4" ht="15.75" customHeight="1" thickBot="1" x14ac:dyDescent="0.3">
      <c r="A3538" s="9"/>
      <c r="B3538" s="10"/>
      <c r="C3538" s="10"/>
      <c r="D3538" s="11"/>
    </row>
    <row r="3539" spans="1:4" ht="15.75" customHeight="1" thickBot="1" x14ac:dyDescent="0.3">
      <c r="A3539" s="15"/>
      <c r="B3539" s="16"/>
      <c r="C3539" s="21"/>
      <c r="D3539" s="16"/>
    </row>
    <row r="3540" spans="1:4" ht="15.75" customHeight="1" thickBot="1" x14ac:dyDescent="0.3">
      <c r="A3540" s="12"/>
      <c r="B3540" s="305"/>
      <c r="C3540" s="306"/>
      <c r="D3540" s="54"/>
    </row>
    <row r="3541" spans="1:4" ht="15.75" customHeight="1" thickBot="1" x14ac:dyDescent="0.3">
      <c r="A3541" s="38"/>
      <c r="B3541" s="45"/>
      <c r="C3541" s="45"/>
      <c r="D3541" s="45"/>
    </row>
    <row r="3542" spans="1:4" ht="15.75" customHeight="1" thickBot="1" x14ac:dyDescent="0.3">
      <c r="A3542" s="19"/>
      <c r="B3542" s="20"/>
      <c r="C3542" s="50"/>
      <c r="D3542" s="51"/>
    </row>
    <row r="3543" spans="1:4" ht="15.75" customHeight="1" thickBot="1" x14ac:dyDescent="0.3">
      <c r="A3543" s="19"/>
      <c r="B3543" s="20"/>
      <c r="C3543" s="52"/>
      <c r="D3543" s="53"/>
    </row>
    <row r="3544" spans="1:4" ht="15.75" customHeight="1" thickBot="1" x14ac:dyDescent="0.3">
      <c r="A3544" s="19"/>
      <c r="B3544" s="20"/>
      <c r="C3544" s="13"/>
      <c r="D3544" s="14"/>
    </row>
    <row r="3545" spans="1:4" ht="15.75" customHeight="1" thickBot="1" x14ac:dyDescent="0.3">
      <c r="A3545" s="2"/>
      <c r="B3545" s="3"/>
      <c r="C3545" s="2"/>
      <c r="D3545" s="1"/>
    </row>
    <row r="3546" spans="1:4" ht="15.75" customHeight="1" thickBot="1" x14ac:dyDescent="0.3">
      <c r="A3546" s="4"/>
      <c r="B3546" s="303"/>
      <c r="C3546" s="304"/>
      <c r="D3546" s="4"/>
    </row>
    <row r="3547" spans="1:4" ht="15.75" customHeight="1" thickBot="1" x14ac:dyDescent="0.3">
      <c r="A3547" s="4"/>
      <c r="B3547" s="303"/>
      <c r="C3547" s="304"/>
      <c r="D3547" s="18"/>
    </row>
    <row r="3548" spans="1:4" ht="15.75" customHeight="1" thickBot="1" x14ac:dyDescent="0.3">
      <c r="A3548" s="4"/>
      <c r="B3548" s="303"/>
      <c r="C3548" s="304"/>
      <c r="D3548" s="18"/>
    </row>
    <row r="3549" spans="1:4" ht="15.75" customHeight="1" thickBot="1" x14ac:dyDescent="0.3">
      <c r="A3549" s="4"/>
      <c r="B3549" s="303"/>
      <c r="C3549" s="304"/>
      <c r="D3549" s="18"/>
    </row>
    <row r="3550" spans="1:4" ht="15.75" customHeight="1" thickBot="1" x14ac:dyDescent="0.3">
      <c r="A3550" s="4"/>
      <c r="B3550" s="303"/>
      <c r="C3550" s="304"/>
      <c r="D3550" s="18"/>
    </row>
    <row r="3551" spans="1:4" ht="15.75" customHeight="1" thickBot="1" x14ac:dyDescent="0.3">
      <c r="A3551" s="4"/>
      <c r="B3551" s="303"/>
      <c r="C3551" s="304"/>
      <c r="D3551" s="18"/>
    </row>
    <row r="3552" spans="1:4" ht="15.75" customHeight="1" thickBot="1" x14ac:dyDescent="0.3">
      <c r="A3552" s="4"/>
      <c r="B3552" s="303"/>
      <c r="C3552" s="304"/>
      <c r="D3552" s="18"/>
    </row>
    <row r="3553" spans="1:4" ht="15.75" customHeight="1" thickBot="1" x14ac:dyDescent="0.3">
      <c r="A3553" s="4"/>
      <c r="B3553" s="303"/>
      <c r="C3553" s="304"/>
      <c r="D3553" s="18"/>
    </row>
    <row r="3554" spans="1:4" ht="15.75" customHeight="1" thickBot="1" x14ac:dyDescent="0.3">
      <c r="A3554" s="4"/>
      <c r="B3554" s="303"/>
      <c r="C3554" s="304"/>
      <c r="D3554" s="18"/>
    </row>
    <row r="3555" spans="1:4" ht="15.75" customHeight="1" thickBot="1" x14ac:dyDescent="0.3">
      <c r="A3555" s="2"/>
      <c r="B3555" s="3"/>
      <c r="C3555" s="2"/>
      <c r="D3555" s="1"/>
    </row>
    <row r="3556" spans="1:4" ht="15.75" customHeight="1" thickBot="1" x14ac:dyDescent="0.3">
      <c r="A3556" s="300"/>
      <c r="B3556" s="301"/>
      <c r="C3556" s="301"/>
      <c r="D3556" s="302"/>
    </row>
    <row r="3557" spans="1:4" ht="15.75" customHeight="1" x14ac:dyDescent="0.25">
      <c r="A3557" s="5"/>
      <c r="B3557" s="6"/>
      <c r="C3557" s="7"/>
      <c r="D3557" s="8"/>
    </row>
    <row r="3558" spans="1:4" ht="15.75" customHeight="1" thickBot="1" x14ac:dyDescent="0.3">
      <c r="A3558" s="9"/>
      <c r="B3558" s="10"/>
      <c r="C3558" s="10"/>
      <c r="D3558" s="11"/>
    </row>
    <row r="3559" spans="1:4" ht="15.75" customHeight="1" thickBot="1" x14ac:dyDescent="0.3">
      <c r="A3559" s="15"/>
      <c r="B3559" s="16"/>
      <c r="C3559" s="21"/>
      <c r="D3559" s="16"/>
    </row>
    <row r="3560" spans="1:4" ht="15.75" customHeight="1" thickBot="1" x14ac:dyDescent="0.3">
      <c r="A3560" s="12"/>
      <c r="B3560" s="305"/>
      <c r="C3560" s="306"/>
      <c r="D3560" s="54"/>
    </row>
    <row r="3561" spans="1:4" ht="15.75" customHeight="1" thickBot="1" x14ac:dyDescent="0.3">
      <c r="A3561" s="38"/>
      <c r="B3561" s="45"/>
      <c r="C3561" s="45"/>
      <c r="D3561" s="45"/>
    </row>
    <row r="3562" spans="1:4" ht="15.75" customHeight="1" thickBot="1" x14ac:dyDescent="0.3">
      <c r="A3562" s="19"/>
      <c r="B3562" s="20"/>
      <c r="C3562" s="50"/>
      <c r="D3562" s="51"/>
    </row>
    <row r="3563" spans="1:4" ht="15.75" customHeight="1" thickBot="1" x14ac:dyDescent="0.3">
      <c r="A3563" s="19"/>
      <c r="B3563" s="20"/>
      <c r="C3563" s="52"/>
      <c r="D3563" s="53"/>
    </row>
    <row r="3564" spans="1:4" ht="15.75" customHeight="1" thickBot="1" x14ac:dyDescent="0.3">
      <c r="A3564" s="19"/>
      <c r="B3564" s="20"/>
      <c r="C3564" s="13"/>
      <c r="D3564" s="14"/>
    </row>
    <row r="3565" spans="1:4" ht="15.75" customHeight="1" thickBot="1" x14ac:dyDescent="0.3">
      <c r="A3565" s="2"/>
      <c r="B3565" s="3"/>
      <c r="C3565" s="2"/>
      <c r="D3565" s="1"/>
    </row>
    <row r="3566" spans="1:4" ht="15.75" customHeight="1" thickBot="1" x14ac:dyDescent="0.3">
      <c r="A3566" s="4"/>
      <c r="B3566" s="303"/>
      <c r="C3566" s="304"/>
      <c r="D3566" s="4"/>
    </row>
    <row r="3567" spans="1:4" ht="15.75" customHeight="1" thickBot="1" x14ac:dyDescent="0.3">
      <c r="A3567" s="4"/>
      <c r="B3567" s="303"/>
      <c r="C3567" s="304"/>
      <c r="D3567" s="18"/>
    </row>
    <row r="3568" spans="1:4" ht="15.75" customHeight="1" thickBot="1" x14ac:dyDescent="0.3">
      <c r="A3568" s="4"/>
      <c r="B3568" s="303"/>
      <c r="C3568" s="304"/>
      <c r="D3568" s="18"/>
    </row>
    <row r="3569" spans="1:4" ht="15.75" customHeight="1" thickBot="1" x14ac:dyDescent="0.3">
      <c r="A3569" s="4"/>
      <c r="B3569" s="303"/>
      <c r="C3569" s="304"/>
      <c r="D3569" s="18"/>
    </row>
    <row r="3570" spans="1:4" ht="15.75" customHeight="1" thickBot="1" x14ac:dyDescent="0.3">
      <c r="A3570" s="4"/>
      <c r="B3570" s="303"/>
      <c r="C3570" s="304"/>
      <c r="D3570" s="18"/>
    </row>
    <row r="3571" spans="1:4" ht="15.75" customHeight="1" thickBot="1" x14ac:dyDescent="0.3">
      <c r="A3571" s="4"/>
      <c r="B3571" s="303"/>
      <c r="C3571" s="304"/>
      <c r="D3571" s="18"/>
    </row>
    <row r="3572" spans="1:4" ht="15.75" customHeight="1" thickBot="1" x14ac:dyDescent="0.3">
      <c r="A3572" s="4"/>
      <c r="B3572" s="303"/>
      <c r="C3572" s="304"/>
      <c r="D3572" s="18"/>
    </row>
    <row r="3573" spans="1:4" ht="15.75" customHeight="1" thickBot="1" x14ac:dyDescent="0.3">
      <c r="A3573" s="4"/>
      <c r="B3573" s="303"/>
      <c r="C3573" s="304"/>
      <c r="D3573" s="18"/>
    </row>
    <row r="3574" spans="1:4" ht="15.75" customHeight="1" thickBot="1" x14ac:dyDescent="0.3">
      <c r="A3574" s="4"/>
      <c r="B3574" s="303"/>
      <c r="C3574" s="304"/>
      <c r="D3574" s="18"/>
    </row>
    <row r="3575" spans="1:4" ht="15.75" customHeight="1" thickBot="1" x14ac:dyDescent="0.3">
      <c r="A3575" s="2"/>
      <c r="B3575" s="3"/>
      <c r="C3575" s="2"/>
      <c r="D3575" s="1"/>
    </row>
    <row r="3576" spans="1:4" ht="15.75" customHeight="1" thickBot="1" x14ac:dyDescent="0.3">
      <c r="A3576" s="300"/>
      <c r="B3576" s="301"/>
      <c r="C3576" s="301"/>
      <c r="D3576" s="302"/>
    </row>
    <row r="3577" spans="1:4" ht="15.75" customHeight="1" x14ac:dyDescent="0.25">
      <c r="A3577" s="5"/>
      <c r="B3577" s="6"/>
      <c r="C3577" s="7"/>
      <c r="D3577" s="8"/>
    </row>
    <row r="3578" spans="1:4" ht="15.75" customHeight="1" thickBot="1" x14ac:dyDescent="0.3">
      <c r="A3578" s="9"/>
      <c r="B3578" s="10"/>
      <c r="C3578" s="10"/>
      <c r="D3578" s="11"/>
    </row>
    <row r="3579" spans="1:4" ht="15.75" customHeight="1" thickBot="1" x14ac:dyDescent="0.3">
      <c r="A3579" s="15"/>
      <c r="B3579" s="16"/>
      <c r="C3579" s="21"/>
      <c r="D3579" s="16"/>
    </row>
    <row r="3580" spans="1:4" ht="15.75" customHeight="1" thickBot="1" x14ac:dyDescent="0.3">
      <c r="A3580" s="12"/>
      <c r="B3580" s="305"/>
      <c r="C3580" s="306"/>
      <c r="D3580" s="54"/>
    </row>
    <row r="3581" spans="1:4" ht="15.75" customHeight="1" thickBot="1" x14ac:dyDescent="0.3">
      <c r="A3581" s="38"/>
      <c r="B3581" s="45"/>
      <c r="C3581" s="45"/>
      <c r="D3581" s="45"/>
    </row>
    <row r="3582" spans="1:4" ht="15.75" customHeight="1" thickBot="1" x14ac:dyDescent="0.3">
      <c r="A3582" s="19"/>
      <c r="B3582" s="20"/>
      <c r="C3582" s="50"/>
      <c r="D3582" s="51"/>
    </row>
    <row r="3583" spans="1:4" ht="15.75" customHeight="1" thickBot="1" x14ac:dyDescent="0.3">
      <c r="A3583" s="19"/>
      <c r="B3583" s="20"/>
      <c r="C3583" s="52"/>
      <c r="D3583" s="53"/>
    </row>
    <row r="3584" spans="1:4" ht="15.75" customHeight="1" thickBot="1" x14ac:dyDescent="0.3">
      <c r="A3584" s="19"/>
      <c r="B3584" s="20"/>
      <c r="C3584" s="13"/>
      <c r="D3584" s="14"/>
    </row>
    <row r="3585" spans="1:4" ht="15.75" customHeight="1" thickBot="1" x14ac:dyDescent="0.3">
      <c r="A3585" s="2"/>
      <c r="B3585" s="3"/>
      <c r="C3585" s="2"/>
      <c r="D3585" s="1"/>
    </row>
    <row r="3586" spans="1:4" ht="15.75" customHeight="1" thickBot="1" x14ac:dyDescent="0.3">
      <c r="A3586" s="4"/>
      <c r="B3586" s="303"/>
      <c r="C3586" s="304"/>
      <c r="D3586" s="4"/>
    </row>
    <row r="3587" spans="1:4" ht="15.75" customHeight="1" thickBot="1" x14ac:dyDescent="0.3">
      <c r="A3587" s="4"/>
      <c r="B3587" s="303"/>
      <c r="C3587" s="304"/>
      <c r="D3587" s="18"/>
    </row>
    <row r="3588" spans="1:4" ht="15.75" customHeight="1" thickBot="1" x14ac:dyDescent="0.3">
      <c r="A3588" s="4"/>
      <c r="B3588" s="303"/>
      <c r="C3588" s="304"/>
      <c r="D3588" s="18"/>
    </row>
    <row r="3589" spans="1:4" ht="15.75" customHeight="1" thickBot="1" x14ac:dyDescent="0.3">
      <c r="A3589" s="4"/>
      <c r="B3589" s="303"/>
      <c r="C3589" s="304"/>
      <c r="D3589" s="18"/>
    </row>
    <row r="3590" spans="1:4" ht="15.75" customHeight="1" thickBot="1" x14ac:dyDescent="0.3">
      <c r="A3590" s="4"/>
      <c r="B3590" s="303"/>
      <c r="C3590" s="304"/>
      <c r="D3590" s="18"/>
    </row>
    <row r="3591" spans="1:4" ht="15.75" customHeight="1" thickBot="1" x14ac:dyDescent="0.3">
      <c r="A3591" s="4"/>
      <c r="B3591" s="303"/>
      <c r="C3591" s="304"/>
      <c r="D3591" s="18"/>
    </row>
    <row r="3592" spans="1:4" ht="15.75" customHeight="1" thickBot="1" x14ac:dyDescent="0.3">
      <c r="A3592" s="4"/>
      <c r="B3592" s="303"/>
      <c r="C3592" s="304"/>
      <c r="D3592" s="18"/>
    </row>
    <row r="3593" spans="1:4" ht="15.75" customHeight="1" thickBot="1" x14ac:dyDescent="0.3">
      <c r="A3593" s="4"/>
      <c r="B3593" s="303"/>
      <c r="C3593" s="304"/>
      <c r="D3593" s="18"/>
    </row>
    <row r="3594" spans="1:4" ht="15.75" customHeight="1" thickBot="1" x14ac:dyDescent="0.3">
      <c r="A3594" s="4"/>
      <c r="B3594" s="303"/>
      <c r="C3594" s="304"/>
      <c r="D3594" s="18"/>
    </row>
    <row r="3595" spans="1:4" ht="15.75" customHeight="1" thickBot="1" x14ac:dyDescent="0.3">
      <c r="A3595" s="2"/>
      <c r="B3595" s="3"/>
      <c r="C3595" s="2"/>
      <c r="D3595" s="1"/>
    </row>
    <row r="3596" spans="1:4" ht="15.75" customHeight="1" thickBot="1" x14ac:dyDescent="0.3">
      <c r="A3596" s="300"/>
      <c r="B3596" s="301"/>
      <c r="C3596" s="301"/>
      <c r="D3596" s="302"/>
    </row>
    <row r="3597" spans="1:4" ht="15.75" customHeight="1" x14ac:dyDescent="0.25">
      <c r="A3597" s="5"/>
      <c r="B3597" s="6"/>
      <c r="C3597" s="7"/>
      <c r="D3597" s="8"/>
    </row>
    <row r="3598" spans="1:4" ht="15.75" customHeight="1" thickBot="1" x14ac:dyDescent="0.3">
      <c r="A3598" s="9"/>
      <c r="B3598" s="10"/>
      <c r="C3598" s="10"/>
      <c r="D3598" s="11"/>
    </row>
    <row r="3599" spans="1:4" ht="15.75" customHeight="1" thickBot="1" x14ac:dyDescent="0.3">
      <c r="A3599" s="15"/>
      <c r="B3599" s="16"/>
      <c r="C3599" s="21"/>
      <c r="D3599" s="16"/>
    </row>
    <row r="3600" spans="1:4" ht="15.75" customHeight="1" thickBot="1" x14ac:dyDescent="0.3">
      <c r="A3600" s="12"/>
      <c r="B3600" s="305"/>
      <c r="C3600" s="306"/>
      <c r="D3600" s="54"/>
    </row>
    <row r="3601" spans="1:4" ht="15.75" customHeight="1" thickBot="1" x14ac:dyDescent="0.3">
      <c r="A3601" s="38"/>
      <c r="B3601" s="45"/>
      <c r="C3601" s="45"/>
      <c r="D3601" s="45"/>
    </row>
    <row r="3602" spans="1:4" ht="15.75" customHeight="1" thickBot="1" x14ac:dyDescent="0.3">
      <c r="A3602" s="19"/>
      <c r="B3602" s="20"/>
      <c r="C3602" s="50"/>
      <c r="D3602" s="51"/>
    </row>
    <row r="3603" spans="1:4" ht="15.75" customHeight="1" thickBot="1" x14ac:dyDescent="0.3">
      <c r="A3603" s="19"/>
      <c r="B3603" s="20"/>
      <c r="C3603" s="52"/>
      <c r="D3603" s="53"/>
    </row>
    <row r="3604" spans="1:4" ht="15.75" customHeight="1" thickBot="1" x14ac:dyDescent="0.3">
      <c r="A3604" s="19"/>
      <c r="B3604" s="20"/>
      <c r="C3604" s="13"/>
      <c r="D3604" s="14"/>
    </row>
    <row r="3605" spans="1:4" ht="15.75" customHeight="1" thickBot="1" x14ac:dyDescent="0.3">
      <c r="A3605" s="2"/>
      <c r="B3605" s="3"/>
      <c r="C3605" s="2"/>
      <c r="D3605" s="1"/>
    </row>
    <row r="3606" spans="1:4" ht="15.75" customHeight="1" thickBot="1" x14ac:dyDescent="0.3">
      <c r="A3606" s="4"/>
      <c r="B3606" s="303"/>
      <c r="C3606" s="304"/>
      <c r="D3606" s="4"/>
    </row>
    <row r="3607" spans="1:4" ht="15.75" customHeight="1" thickBot="1" x14ac:dyDescent="0.3">
      <c r="A3607" s="4"/>
      <c r="B3607" s="303"/>
      <c r="C3607" s="304"/>
      <c r="D3607" s="18"/>
    </row>
    <row r="3608" spans="1:4" ht="15.75" customHeight="1" thickBot="1" x14ac:dyDescent="0.3">
      <c r="A3608" s="4"/>
      <c r="B3608" s="303"/>
      <c r="C3608" s="304"/>
      <c r="D3608" s="18"/>
    </row>
    <row r="3609" spans="1:4" ht="15.75" customHeight="1" thickBot="1" x14ac:dyDescent="0.3">
      <c r="A3609" s="4"/>
      <c r="B3609" s="303"/>
      <c r="C3609" s="304"/>
      <c r="D3609" s="18"/>
    </row>
    <row r="3610" spans="1:4" ht="15.75" customHeight="1" thickBot="1" x14ac:dyDescent="0.3">
      <c r="A3610" s="4"/>
      <c r="B3610" s="303"/>
      <c r="C3610" s="304"/>
      <c r="D3610" s="18"/>
    </row>
    <row r="3611" spans="1:4" ht="15.75" customHeight="1" thickBot="1" x14ac:dyDescent="0.3">
      <c r="A3611" s="4"/>
      <c r="B3611" s="303"/>
      <c r="C3611" s="304"/>
      <c r="D3611" s="18"/>
    </row>
    <row r="3612" spans="1:4" ht="15.75" customHeight="1" thickBot="1" x14ac:dyDescent="0.3">
      <c r="A3612" s="4"/>
      <c r="B3612" s="303"/>
      <c r="C3612" s="304"/>
      <c r="D3612" s="18"/>
    </row>
    <row r="3613" spans="1:4" ht="15.75" customHeight="1" thickBot="1" x14ac:dyDescent="0.3">
      <c r="A3613" s="4"/>
      <c r="B3613" s="303"/>
      <c r="C3613" s="304"/>
      <c r="D3613" s="18"/>
    </row>
    <row r="3614" spans="1:4" ht="15.75" customHeight="1" thickBot="1" x14ac:dyDescent="0.3">
      <c r="A3614" s="4"/>
      <c r="B3614" s="303"/>
      <c r="C3614" s="304"/>
      <c r="D3614" s="18"/>
    </row>
    <row r="3615" spans="1:4" ht="15.75" customHeight="1" thickBot="1" x14ac:dyDescent="0.3">
      <c r="A3615" s="2"/>
      <c r="B3615" s="3"/>
      <c r="C3615" s="2"/>
      <c r="D3615" s="1"/>
    </row>
    <row r="3616" spans="1:4" ht="15.75" customHeight="1" thickBot="1" x14ac:dyDescent="0.3">
      <c r="A3616" s="300"/>
      <c r="B3616" s="301"/>
      <c r="C3616" s="301"/>
      <c r="D3616" s="302"/>
    </row>
    <row r="3617" spans="1:4" ht="15.75" customHeight="1" x14ac:dyDescent="0.25">
      <c r="A3617" s="5"/>
      <c r="B3617" s="6"/>
      <c r="C3617" s="7"/>
      <c r="D3617" s="8"/>
    </row>
    <row r="3618" spans="1:4" ht="15.75" customHeight="1" thickBot="1" x14ac:dyDescent="0.3">
      <c r="A3618" s="9"/>
      <c r="B3618" s="10"/>
      <c r="C3618" s="10"/>
      <c r="D3618" s="11"/>
    </row>
    <row r="3619" spans="1:4" ht="15.75" customHeight="1" thickBot="1" x14ac:dyDescent="0.3">
      <c r="A3619" s="15"/>
      <c r="B3619" s="16"/>
      <c r="C3619" s="21"/>
      <c r="D3619" s="16"/>
    </row>
    <row r="3620" spans="1:4" ht="15.75" customHeight="1" thickBot="1" x14ac:dyDescent="0.3">
      <c r="A3620" s="12"/>
      <c r="B3620" s="305"/>
      <c r="C3620" s="306"/>
      <c r="D3620" s="54"/>
    </row>
    <row r="3621" spans="1:4" ht="15.75" customHeight="1" thickBot="1" x14ac:dyDescent="0.3">
      <c r="A3621" s="38"/>
      <c r="B3621" s="45"/>
      <c r="C3621" s="45"/>
      <c r="D3621" s="45"/>
    </row>
    <row r="3622" spans="1:4" ht="15.75" customHeight="1" thickBot="1" x14ac:dyDescent="0.3">
      <c r="A3622" s="19"/>
      <c r="B3622" s="20"/>
      <c r="C3622" s="50"/>
      <c r="D3622" s="51"/>
    </row>
    <row r="3623" spans="1:4" ht="15.75" customHeight="1" thickBot="1" x14ac:dyDescent="0.3">
      <c r="A3623" s="19"/>
      <c r="B3623" s="20"/>
      <c r="C3623" s="52"/>
      <c r="D3623" s="53"/>
    </row>
    <row r="3624" spans="1:4" ht="15.75" customHeight="1" thickBot="1" x14ac:dyDescent="0.3">
      <c r="A3624" s="19"/>
      <c r="B3624" s="20"/>
      <c r="C3624" s="13"/>
      <c r="D3624" s="14"/>
    </row>
    <row r="3625" spans="1:4" ht="15.75" customHeight="1" thickBot="1" x14ac:dyDescent="0.3">
      <c r="A3625" s="2"/>
      <c r="B3625" s="3"/>
      <c r="C3625" s="2"/>
      <c r="D3625" s="1"/>
    </row>
    <row r="3626" spans="1:4" ht="15.75" customHeight="1" thickBot="1" x14ac:dyDescent="0.3">
      <c r="A3626" s="4"/>
      <c r="B3626" s="303"/>
      <c r="C3626" s="304"/>
      <c r="D3626" s="4"/>
    </row>
    <row r="3627" spans="1:4" ht="15.75" customHeight="1" thickBot="1" x14ac:dyDescent="0.3">
      <c r="A3627" s="4"/>
      <c r="B3627" s="303"/>
      <c r="C3627" s="304"/>
      <c r="D3627" s="18"/>
    </row>
    <row r="3628" spans="1:4" ht="15.75" customHeight="1" thickBot="1" x14ac:dyDescent="0.3">
      <c r="A3628" s="4"/>
      <c r="B3628" s="303"/>
      <c r="C3628" s="304"/>
      <c r="D3628" s="18"/>
    </row>
    <row r="3629" spans="1:4" ht="15.75" customHeight="1" thickBot="1" x14ac:dyDescent="0.3">
      <c r="A3629" s="4"/>
      <c r="B3629" s="303"/>
      <c r="C3629" s="304"/>
      <c r="D3629" s="18"/>
    </row>
    <row r="3630" spans="1:4" ht="15.75" customHeight="1" thickBot="1" x14ac:dyDescent="0.3">
      <c r="A3630" s="4"/>
      <c r="B3630" s="303"/>
      <c r="C3630" s="304"/>
      <c r="D3630" s="18"/>
    </row>
    <row r="3631" spans="1:4" ht="15.75" customHeight="1" thickBot="1" x14ac:dyDescent="0.3">
      <c r="A3631" s="4"/>
      <c r="B3631" s="303"/>
      <c r="C3631" s="304"/>
      <c r="D3631" s="18"/>
    </row>
    <row r="3632" spans="1:4" ht="15.75" customHeight="1" thickBot="1" x14ac:dyDescent="0.3">
      <c r="A3632" s="4"/>
      <c r="B3632" s="303"/>
      <c r="C3632" s="304"/>
      <c r="D3632" s="18"/>
    </row>
    <row r="3633" spans="1:4" ht="15.75" customHeight="1" thickBot="1" x14ac:dyDescent="0.3">
      <c r="A3633" s="4"/>
      <c r="B3633" s="303"/>
      <c r="C3633" s="304"/>
      <c r="D3633" s="18"/>
    </row>
    <row r="3634" spans="1:4" ht="15.75" customHeight="1" thickBot="1" x14ac:dyDescent="0.3">
      <c r="A3634" s="4"/>
      <c r="B3634" s="303"/>
      <c r="C3634" s="304"/>
      <c r="D3634" s="18"/>
    </row>
    <row r="3635" spans="1:4" ht="15.75" customHeight="1" thickBot="1" x14ac:dyDescent="0.3">
      <c r="A3635" s="2"/>
      <c r="B3635" s="3"/>
      <c r="C3635" s="2"/>
      <c r="D3635" s="1"/>
    </row>
    <row r="3636" spans="1:4" ht="15.75" customHeight="1" thickBot="1" x14ac:dyDescent="0.3">
      <c r="A3636" s="300"/>
      <c r="B3636" s="301"/>
      <c r="C3636" s="301"/>
      <c r="D3636" s="302"/>
    </row>
    <row r="3637" spans="1:4" ht="15.75" customHeight="1" x14ac:dyDescent="0.25">
      <c r="A3637" s="5"/>
      <c r="B3637" s="6"/>
      <c r="C3637" s="7"/>
      <c r="D3637" s="8"/>
    </row>
    <row r="3638" spans="1:4" ht="15.75" customHeight="1" thickBot="1" x14ac:dyDescent="0.3">
      <c r="A3638" s="9"/>
      <c r="B3638" s="10"/>
      <c r="C3638" s="10"/>
      <c r="D3638" s="11"/>
    </row>
    <row r="3639" spans="1:4" ht="15.75" customHeight="1" thickBot="1" x14ac:dyDescent="0.3">
      <c r="A3639" s="15"/>
      <c r="B3639" s="16"/>
      <c r="C3639" s="21"/>
      <c r="D3639" s="16"/>
    </row>
    <row r="3640" spans="1:4" ht="15.75" customHeight="1" thickBot="1" x14ac:dyDescent="0.3">
      <c r="A3640" s="12"/>
      <c r="B3640" s="305"/>
      <c r="C3640" s="306"/>
      <c r="D3640" s="54"/>
    </row>
    <row r="3641" spans="1:4" ht="15.75" customHeight="1" thickBot="1" x14ac:dyDescent="0.3">
      <c r="A3641" s="38"/>
      <c r="B3641" s="45"/>
      <c r="C3641" s="45"/>
      <c r="D3641" s="45"/>
    </row>
    <row r="3642" spans="1:4" ht="15.75" customHeight="1" thickBot="1" x14ac:dyDescent="0.3">
      <c r="A3642" s="19"/>
      <c r="B3642" s="20"/>
      <c r="C3642" s="50"/>
      <c r="D3642" s="51"/>
    </row>
    <row r="3643" spans="1:4" ht="15.75" customHeight="1" thickBot="1" x14ac:dyDescent="0.3">
      <c r="A3643" s="19"/>
      <c r="B3643" s="20"/>
      <c r="C3643" s="52"/>
      <c r="D3643" s="53"/>
    </row>
    <row r="3644" spans="1:4" ht="15.75" customHeight="1" thickBot="1" x14ac:dyDescent="0.3">
      <c r="A3644" s="19"/>
      <c r="B3644" s="20"/>
      <c r="C3644" s="13"/>
      <c r="D3644" s="14"/>
    </row>
    <row r="3645" spans="1:4" ht="15.75" customHeight="1" thickBot="1" x14ac:dyDescent="0.3">
      <c r="A3645" s="2"/>
      <c r="B3645" s="3"/>
      <c r="C3645" s="2"/>
      <c r="D3645" s="1"/>
    </row>
    <row r="3646" spans="1:4" ht="15.75" customHeight="1" thickBot="1" x14ac:dyDescent="0.3">
      <c r="A3646" s="4"/>
      <c r="B3646" s="303"/>
      <c r="C3646" s="304"/>
      <c r="D3646" s="4"/>
    </row>
    <row r="3647" spans="1:4" ht="15.75" customHeight="1" thickBot="1" x14ac:dyDescent="0.3">
      <c r="A3647" s="4"/>
      <c r="B3647" s="303"/>
      <c r="C3647" s="304"/>
      <c r="D3647" s="18"/>
    </row>
    <row r="3648" spans="1:4" ht="15.75" customHeight="1" thickBot="1" x14ac:dyDescent="0.3">
      <c r="A3648" s="4"/>
      <c r="B3648" s="303"/>
      <c r="C3648" s="304"/>
      <c r="D3648" s="18"/>
    </row>
    <row r="3649" spans="1:4" ht="15.75" customHeight="1" thickBot="1" x14ac:dyDescent="0.3">
      <c r="A3649" s="4"/>
      <c r="B3649" s="303"/>
      <c r="C3649" s="304"/>
      <c r="D3649" s="18"/>
    </row>
    <row r="3650" spans="1:4" ht="15.75" customHeight="1" thickBot="1" x14ac:dyDescent="0.3">
      <c r="A3650" s="4"/>
      <c r="B3650" s="303"/>
      <c r="C3650" s="304"/>
      <c r="D3650" s="18"/>
    </row>
    <row r="3651" spans="1:4" ht="15.75" customHeight="1" thickBot="1" x14ac:dyDescent="0.3">
      <c r="A3651" s="4"/>
      <c r="B3651" s="303"/>
      <c r="C3651" s="304"/>
      <c r="D3651" s="18"/>
    </row>
    <row r="3652" spans="1:4" ht="15.75" customHeight="1" thickBot="1" x14ac:dyDescent="0.3">
      <c r="A3652" s="4"/>
      <c r="B3652" s="303"/>
      <c r="C3652" s="304"/>
      <c r="D3652" s="18"/>
    </row>
    <row r="3653" spans="1:4" ht="15.75" customHeight="1" thickBot="1" x14ac:dyDescent="0.3">
      <c r="A3653" s="4"/>
      <c r="B3653" s="303"/>
      <c r="C3653" s="304"/>
      <c r="D3653" s="18"/>
    </row>
    <row r="3654" spans="1:4" ht="15.75" customHeight="1" thickBot="1" x14ac:dyDescent="0.3">
      <c r="A3654" s="4"/>
      <c r="B3654" s="303"/>
      <c r="C3654" s="304"/>
      <c r="D3654" s="18"/>
    </row>
    <row r="3655" spans="1:4" ht="15.75" customHeight="1" thickBot="1" x14ac:dyDescent="0.3">
      <c r="A3655" s="2"/>
      <c r="B3655" s="3"/>
      <c r="C3655" s="2"/>
      <c r="D3655" s="1"/>
    </row>
    <row r="3656" spans="1:4" ht="15.75" customHeight="1" thickBot="1" x14ac:dyDescent="0.3">
      <c r="A3656" s="300"/>
      <c r="B3656" s="301"/>
      <c r="C3656" s="301"/>
      <c r="D3656" s="302"/>
    </row>
    <row r="3657" spans="1:4" ht="15.75" customHeight="1" x14ac:dyDescent="0.25">
      <c r="A3657" s="5"/>
      <c r="B3657" s="6"/>
      <c r="C3657" s="7"/>
      <c r="D3657" s="8"/>
    </row>
    <row r="3658" spans="1:4" ht="15.75" customHeight="1" thickBot="1" x14ac:dyDescent="0.3">
      <c r="A3658" s="9"/>
      <c r="B3658" s="10"/>
      <c r="C3658" s="10"/>
      <c r="D3658" s="11"/>
    </row>
    <row r="3659" spans="1:4" ht="15.75" customHeight="1" thickBot="1" x14ac:dyDescent="0.3">
      <c r="A3659" s="15"/>
      <c r="B3659" s="16"/>
      <c r="C3659" s="21"/>
      <c r="D3659" s="16"/>
    </row>
    <row r="3660" spans="1:4" ht="15.75" customHeight="1" thickBot="1" x14ac:dyDescent="0.3">
      <c r="A3660" s="12"/>
      <c r="B3660" s="305"/>
      <c r="C3660" s="306"/>
      <c r="D3660" s="54"/>
    </row>
    <row r="3661" spans="1:4" ht="15.75" customHeight="1" thickBot="1" x14ac:dyDescent="0.3">
      <c r="A3661" s="38"/>
      <c r="B3661" s="45"/>
      <c r="C3661" s="45"/>
      <c r="D3661" s="45"/>
    </row>
    <row r="3662" spans="1:4" ht="15.75" customHeight="1" thickBot="1" x14ac:dyDescent="0.3">
      <c r="A3662" s="19"/>
      <c r="B3662" s="20"/>
      <c r="C3662" s="50"/>
      <c r="D3662" s="51"/>
    </row>
    <row r="3663" spans="1:4" ht="15.75" customHeight="1" thickBot="1" x14ac:dyDescent="0.3">
      <c r="A3663" s="19"/>
      <c r="B3663" s="20"/>
      <c r="C3663" s="52"/>
      <c r="D3663" s="53"/>
    </row>
    <row r="3664" spans="1:4" ht="15.75" customHeight="1" thickBot="1" x14ac:dyDescent="0.3">
      <c r="A3664" s="19"/>
      <c r="B3664" s="20"/>
      <c r="C3664" s="13"/>
      <c r="D3664" s="14"/>
    </row>
    <row r="3665" spans="1:4" ht="15.75" customHeight="1" thickBot="1" x14ac:dyDescent="0.3">
      <c r="A3665" s="2"/>
      <c r="B3665" s="3"/>
      <c r="C3665" s="2"/>
      <c r="D3665" s="1"/>
    </row>
    <row r="3666" spans="1:4" ht="15.75" customHeight="1" thickBot="1" x14ac:dyDescent="0.3">
      <c r="A3666" s="4"/>
      <c r="B3666" s="303"/>
      <c r="C3666" s="304"/>
      <c r="D3666" s="4"/>
    </row>
    <row r="3667" spans="1:4" ht="15.75" customHeight="1" thickBot="1" x14ac:dyDescent="0.3">
      <c r="A3667" s="4"/>
      <c r="B3667" s="303"/>
      <c r="C3667" s="304"/>
      <c r="D3667" s="18"/>
    </row>
    <row r="3668" spans="1:4" ht="15.75" customHeight="1" thickBot="1" x14ac:dyDescent="0.3">
      <c r="A3668" s="4"/>
      <c r="B3668" s="303"/>
      <c r="C3668" s="304"/>
      <c r="D3668" s="18"/>
    </row>
    <row r="3669" spans="1:4" ht="15.75" customHeight="1" thickBot="1" x14ac:dyDescent="0.3">
      <c r="A3669" s="4"/>
      <c r="B3669" s="303"/>
      <c r="C3669" s="304"/>
      <c r="D3669" s="18"/>
    </row>
    <row r="3670" spans="1:4" ht="15.75" customHeight="1" thickBot="1" x14ac:dyDescent="0.3">
      <c r="A3670" s="4"/>
      <c r="B3670" s="303"/>
      <c r="C3670" s="304"/>
      <c r="D3670" s="18"/>
    </row>
    <row r="3671" spans="1:4" ht="15.75" customHeight="1" thickBot="1" x14ac:dyDescent="0.3">
      <c r="A3671" s="4"/>
      <c r="B3671" s="303"/>
      <c r="C3671" s="304"/>
      <c r="D3671" s="18"/>
    </row>
    <row r="3672" spans="1:4" ht="15.75" customHeight="1" thickBot="1" x14ac:dyDescent="0.3">
      <c r="A3672" s="4"/>
      <c r="B3672" s="303"/>
      <c r="C3672" s="304"/>
      <c r="D3672" s="18"/>
    </row>
    <row r="3673" spans="1:4" ht="15.75" customHeight="1" thickBot="1" x14ac:dyDescent="0.3">
      <c r="A3673" s="4"/>
      <c r="B3673" s="303"/>
      <c r="C3673" s="304"/>
      <c r="D3673" s="18"/>
    </row>
    <row r="3674" spans="1:4" ht="15.75" customHeight="1" thickBot="1" x14ac:dyDescent="0.3">
      <c r="A3674" s="4"/>
      <c r="B3674" s="303"/>
      <c r="C3674" s="304"/>
      <c r="D3674" s="18"/>
    </row>
    <row r="3675" spans="1:4" ht="15.75" customHeight="1" thickBot="1" x14ac:dyDescent="0.3">
      <c r="A3675" s="2"/>
      <c r="B3675" s="3"/>
      <c r="C3675" s="2"/>
      <c r="D3675" s="1"/>
    </row>
    <row r="3676" spans="1:4" ht="15.75" customHeight="1" thickBot="1" x14ac:dyDescent="0.3">
      <c r="A3676" s="300"/>
      <c r="B3676" s="301"/>
      <c r="C3676" s="301"/>
      <c r="D3676" s="302"/>
    </row>
    <row r="3677" spans="1:4" ht="15.75" customHeight="1" x14ac:dyDescent="0.25">
      <c r="A3677" s="5"/>
      <c r="B3677" s="6"/>
      <c r="C3677" s="7"/>
      <c r="D3677" s="8"/>
    </row>
    <row r="3678" spans="1:4" ht="15.75" customHeight="1" thickBot="1" x14ac:dyDescent="0.3">
      <c r="A3678" s="9"/>
      <c r="B3678" s="10"/>
      <c r="C3678" s="10"/>
      <c r="D3678" s="11"/>
    </row>
    <row r="3679" spans="1:4" ht="15.75" customHeight="1" thickBot="1" x14ac:dyDescent="0.3">
      <c r="A3679" s="15"/>
      <c r="B3679" s="16"/>
      <c r="C3679" s="21"/>
      <c r="D3679" s="16"/>
    </row>
    <row r="3680" spans="1:4" ht="15.75" customHeight="1" thickBot="1" x14ac:dyDescent="0.3">
      <c r="A3680" s="12"/>
      <c r="B3680" s="305"/>
      <c r="C3680" s="306"/>
      <c r="D3680" s="54"/>
    </row>
    <row r="3681" spans="1:4" ht="15.75" customHeight="1" thickBot="1" x14ac:dyDescent="0.3">
      <c r="A3681" s="38"/>
      <c r="B3681" s="45"/>
      <c r="C3681" s="45"/>
      <c r="D3681" s="45"/>
    </row>
    <row r="3682" spans="1:4" ht="15.75" customHeight="1" thickBot="1" x14ac:dyDescent="0.3">
      <c r="A3682" s="19"/>
      <c r="B3682" s="20"/>
      <c r="C3682" s="50"/>
      <c r="D3682" s="51"/>
    </row>
    <row r="3683" spans="1:4" ht="15.75" customHeight="1" thickBot="1" x14ac:dyDescent="0.3">
      <c r="A3683" s="19"/>
      <c r="B3683" s="20"/>
      <c r="C3683" s="52"/>
      <c r="D3683" s="53"/>
    </row>
    <row r="3684" spans="1:4" ht="15.75" customHeight="1" thickBot="1" x14ac:dyDescent="0.3">
      <c r="A3684" s="19"/>
      <c r="B3684" s="20"/>
      <c r="C3684" s="13"/>
      <c r="D3684" s="14"/>
    </row>
    <row r="3685" spans="1:4" ht="15.75" customHeight="1" thickBot="1" x14ac:dyDescent="0.3">
      <c r="A3685" s="2"/>
      <c r="B3685" s="3"/>
      <c r="C3685" s="2"/>
      <c r="D3685" s="1"/>
    </row>
    <row r="3686" spans="1:4" ht="15.75" customHeight="1" thickBot="1" x14ac:dyDescent="0.3">
      <c r="A3686" s="4"/>
      <c r="B3686" s="303"/>
      <c r="C3686" s="304"/>
      <c r="D3686" s="4"/>
    </row>
    <row r="3687" spans="1:4" ht="15.75" customHeight="1" thickBot="1" x14ac:dyDescent="0.3">
      <c r="A3687" s="4"/>
      <c r="B3687" s="303"/>
      <c r="C3687" s="304"/>
      <c r="D3687" s="18"/>
    </row>
    <row r="3688" spans="1:4" ht="15.75" customHeight="1" thickBot="1" x14ac:dyDescent="0.3">
      <c r="A3688" s="4"/>
      <c r="B3688" s="303"/>
      <c r="C3688" s="304"/>
      <c r="D3688" s="18"/>
    </row>
    <row r="3689" spans="1:4" ht="15.75" customHeight="1" thickBot="1" x14ac:dyDescent="0.3">
      <c r="A3689" s="4"/>
      <c r="B3689" s="303"/>
      <c r="C3689" s="304"/>
      <c r="D3689" s="18"/>
    </row>
    <row r="3690" spans="1:4" ht="15.75" customHeight="1" thickBot="1" x14ac:dyDescent="0.3">
      <c r="A3690" s="4"/>
      <c r="B3690" s="303"/>
      <c r="C3690" s="304"/>
      <c r="D3690" s="18"/>
    </row>
    <row r="3691" spans="1:4" ht="15.75" customHeight="1" thickBot="1" x14ac:dyDescent="0.3">
      <c r="A3691" s="4"/>
      <c r="B3691" s="303"/>
      <c r="C3691" s="304"/>
      <c r="D3691" s="18"/>
    </row>
    <row r="3692" spans="1:4" ht="15.75" customHeight="1" thickBot="1" x14ac:dyDescent="0.3">
      <c r="A3692" s="4"/>
      <c r="B3692" s="303"/>
      <c r="C3692" s="304"/>
      <c r="D3692" s="18"/>
    </row>
    <row r="3693" spans="1:4" ht="15.75" customHeight="1" thickBot="1" x14ac:dyDescent="0.3">
      <c r="A3693" s="4"/>
      <c r="B3693" s="303"/>
      <c r="C3693" s="304"/>
      <c r="D3693" s="18"/>
    </row>
    <row r="3694" spans="1:4" ht="15.75" customHeight="1" thickBot="1" x14ac:dyDescent="0.3">
      <c r="A3694" s="4"/>
      <c r="B3694" s="303"/>
      <c r="C3694" s="304"/>
      <c r="D3694" s="18"/>
    </row>
    <row r="3695" spans="1:4" ht="15.75" customHeight="1" thickBot="1" x14ac:dyDescent="0.3">
      <c r="A3695" s="2"/>
      <c r="B3695" s="3"/>
      <c r="C3695" s="2"/>
      <c r="D3695" s="1"/>
    </row>
    <row r="3696" spans="1:4" ht="15.75" customHeight="1" thickBot="1" x14ac:dyDescent="0.3">
      <c r="A3696" s="300"/>
      <c r="B3696" s="301"/>
      <c r="C3696" s="301"/>
      <c r="D3696" s="302"/>
    </row>
    <row r="3697" spans="1:4" ht="15.75" customHeight="1" x14ac:dyDescent="0.25">
      <c r="A3697" s="5"/>
      <c r="B3697" s="6"/>
      <c r="C3697" s="7"/>
      <c r="D3697" s="8"/>
    </row>
    <row r="3698" spans="1:4" ht="15.75" customHeight="1" thickBot="1" x14ac:dyDescent="0.3">
      <c r="A3698" s="9"/>
      <c r="B3698" s="10"/>
      <c r="C3698" s="10"/>
      <c r="D3698" s="11"/>
    </row>
    <row r="3699" spans="1:4" ht="15.75" customHeight="1" thickBot="1" x14ac:dyDescent="0.3">
      <c r="A3699" s="15"/>
      <c r="B3699" s="16"/>
      <c r="C3699" s="21"/>
      <c r="D3699" s="16"/>
    </row>
    <row r="3700" spans="1:4" ht="15.75" customHeight="1" thickBot="1" x14ac:dyDescent="0.3">
      <c r="A3700" s="12"/>
      <c r="B3700" s="305"/>
      <c r="C3700" s="306"/>
      <c r="D3700" s="54"/>
    </row>
    <row r="3701" spans="1:4" ht="15.75" customHeight="1" thickBot="1" x14ac:dyDescent="0.3">
      <c r="A3701" s="38"/>
      <c r="B3701" s="45"/>
      <c r="C3701" s="45"/>
      <c r="D3701" s="45"/>
    </row>
    <row r="3702" spans="1:4" ht="15.75" customHeight="1" thickBot="1" x14ac:dyDescent="0.3">
      <c r="A3702" s="19"/>
      <c r="B3702" s="20"/>
      <c r="C3702" s="50"/>
      <c r="D3702" s="51"/>
    </row>
    <row r="3703" spans="1:4" ht="15.75" customHeight="1" thickBot="1" x14ac:dyDescent="0.3">
      <c r="A3703" s="19"/>
      <c r="B3703" s="20"/>
      <c r="C3703" s="52"/>
      <c r="D3703" s="53"/>
    </row>
    <row r="3704" spans="1:4" ht="15.75" customHeight="1" thickBot="1" x14ac:dyDescent="0.3">
      <c r="A3704" s="19"/>
      <c r="B3704" s="20"/>
      <c r="C3704" s="13"/>
      <c r="D3704" s="14"/>
    </row>
    <row r="3705" spans="1:4" ht="15.75" customHeight="1" thickBot="1" x14ac:dyDescent="0.3">
      <c r="A3705" s="2"/>
      <c r="B3705" s="3"/>
      <c r="C3705" s="2"/>
      <c r="D3705" s="1"/>
    </row>
    <row r="3706" spans="1:4" ht="15.75" customHeight="1" thickBot="1" x14ac:dyDescent="0.3">
      <c r="A3706" s="4"/>
      <c r="B3706" s="303"/>
      <c r="C3706" s="304"/>
      <c r="D3706" s="4"/>
    </row>
    <row r="3707" spans="1:4" ht="15.75" customHeight="1" thickBot="1" x14ac:dyDescent="0.3">
      <c r="A3707" s="4"/>
      <c r="B3707" s="303"/>
      <c r="C3707" s="304"/>
      <c r="D3707" s="18"/>
    </row>
    <row r="3708" spans="1:4" ht="15.75" customHeight="1" thickBot="1" x14ac:dyDescent="0.3">
      <c r="A3708" s="4"/>
      <c r="B3708" s="303"/>
      <c r="C3708" s="304"/>
      <c r="D3708" s="18"/>
    </row>
    <row r="3709" spans="1:4" ht="15.75" customHeight="1" thickBot="1" x14ac:dyDescent="0.3">
      <c r="A3709" s="4"/>
      <c r="B3709" s="303"/>
      <c r="C3709" s="304"/>
      <c r="D3709" s="18"/>
    </row>
    <row r="3710" spans="1:4" ht="15.75" customHeight="1" thickBot="1" x14ac:dyDescent="0.3">
      <c r="A3710" s="4"/>
      <c r="B3710" s="303"/>
      <c r="C3710" s="304"/>
      <c r="D3710" s="18"/>
    </row>
    <row r="3711" spans="1:4" ht="15.75" customHeight="1" thickBot="1" x14ac:dyDescent="0.3">
      <c r="A3711" s="4"/>
      <c r="B3711" s="303"/>
      <c r="C3711" s="304"/>
      <c r="D3711" s="18"/>
    </row>
    <row r="3712" spans="1:4" ht="15.75" customHeight="1" thickBot="1" x14ac:dyDescent="0.3">
      <c r="A3712" s="4"/>
      <c r="B3712" s="303"/>
      <c r="C3712" s="304"/>
      <c r="D3712" s="18"/>
    </row>
    <row r="3713" spans="1:4" ht="15.75" customHeight="1" thickBot="1" x14ac:dyDescent="0.3">
      <c r="A3713" s="4"/>
      <c r="B3713" s="303"/>
      <c r="C3713" s="304"/>
      <c r="D3713" s="18"/>
    </row>
    <row r="3714" spans="1:4" ht="15.75" customHeight="1" thickBot="1" x14ac:dyDescent="0.3">
      <c r="A3714" s="4"/>
      <c r="B3714" s="303"/>
      <c r="C3714" s="304"/>
      <c r="D3714" s="18"/>
    </row>
    <row r="3715" spans="1:4" ht="15.75" customHeight="1" thickBot="1" x14ac:dyDescent="0.3">
      <c r="A3715" s="2"/>
      <c r="B3715" s="3"/>
      <c r="C3715" s="2"/>
      <c r="D3715" s="1"/>
    </row>
    <row r="3716" spans="1:4" ht="15.75" customHeight="1" thickBot="1" x14ac:dyDescent="0.3">
      <c r="A3716" s="300"/>
      <c r="B3716" s="301"/>
      <c r="C3716" s="301"/>
      <c r="D3716" s="302"/>
    </row>
    <row r="3717" spans="1:4" ht="15.75" customHeight="1" x14ac:dyDescent="0.25">
      <c r="A3717" s="5"/>
      <c r="B3717" s="6"/>
      <c r="C3717" s="7"/>
      <c r="D3717" s="8"/>
    </row>
    <row r="3718" spans="1:4" ht="15.75" customHeight="1" thickBot="1" x14ac:dyDescent="0.3">
      <c r="A3718" s="9"/>
      <c r="B3718" s="10"/>
      <c r="C3718" s="10"/>
      <c r="D3718" s="11"/>
    </row>
    <row r="3719" spans="1:4" ht="15.75" customHeight="1" thickBot="1" x14ac:dyDescent="0.3">
      <c r="A3719" s="15"/>
      <c r="B3719" s="16"/>
      <c r="C3719" s="21"/>
      <c r="D3719" s="16"/>
    </row>
    <row r="3720" spans="1:4" ht="15.75" customHeight="1" thickBot="1" x14ac:dyDescent="0.3">
      <c r="A3720" s="12"/>
      <c r="B3720" s="305"/>
      <c r="C3720" s="306"/>
      <c r="D3720" s="54"/>
    </row>
    <row r="3721" spans="1:4" ht="15.75" customHeight="1" thickBot="1" x14ac:dyDescent="0.3">
      <c r="A3721" s="38"/>
      <c r="B3721" s="45"/>
      <c r="C3721" s="45"/>
      <c r="D3721" s="45"/>
    </row>
    <row r="3722" spans="1:4" ht="15.75" customHeight="1" thickBot="1" x14ac:dyDescent="0.3">
      <c r="A3722" s="19"/>
      <c r="B3722" s="20"/>
      <c r="C3722" s="50"/>
      <c r="D3722" s="51"/>
    </row>
    <row r="3723" spans="1:4" ht="15.75" customHeight="1" thickBot="1" x14ac:dyDescent="0.3">
      <c r="A3723" s="19"/>
      <c r="B3723" s="20"/>
      <c r="C3723" s="52"/>
      <c r="D3723" s="53"/>
    </row>
    <row r="3724" spans="1:4" ht="15.75" customHeight="1" thickBot="1" x14ac:dyDescent="0.3">
      <c r="A3724" s="19"/>
      <c r="B3724" s="20"/>
      <c r="C3724" s="13"/>
      <c r="D3724" s="14"/>
    </row>
    <row r="3725" spans="1:4" ht="15.75" customHeight="1" thickBot="1" x14ac:dyDescent="0.3">
      <c r="A3725" s="2"/>
      <c r="B3725" s="3"/>
      <c r="C3725" s="2"/>
      <c r="D3725" s="1"/>
    </row>
    <row r="3726" spans="1:4" ht="15.75" customHeight="1" thickBot="1" x14ac:dyDescent="0.3">
      <c r="A3726" s="4"/>
      <c r="B3726" s="303"/>
      <c r="C3726" s="304"/>
      <c r="D3726" s="4"/>
    </row>
    <row r="3727" spans="1:4" ht="15.75" customHeight="1" thickBot="1" x14ac:dyDescent="0.3">
      <c r="A3727" s="4"/>
      <c r="B3727" s="303"/>
      <c r="C3727" s="304"/>
      <c r="D3727" s="18"/>
    </row>
    <row r="3728" spans="1:4" ht="15.75" customHeight="1" thickBot="1" x14ac:dyDescent="0.3">
      <c r="A3728" s="4"/>
      <c r="B3728" s="303"/>
      <c r="C3728" s="304"/>
      <c r="D3728" s="18"/>
    </row>
    <row r="3729" spans="1:4" ht="15.75" customHeight="1" thickBot="1" x14ac:dyDescent="0.3">
      <c r="A3729" s="4"/>
      <c r="B3729" s="303"/>
      <c r="C3729" s="304"/>
      <c r="D3729" s="18"/>
    </row>
    <row r="3730" spans="1:4" ht="15.75" customHeight="1" thickBot="1" x14ac:dyDescent="0.3">
      <c r="A3730" s="4"/>
      <c r="B3730" s="303"/>
      <c r="C3730" s="304"/>
      <c r="D3730" s="18"/>
    </row>
    <row r="3731" spans="1:4" ht="15.75" customHeight="1" thickBot="1" x14ac:dyDescent="0.3">
      <c r="A3731" s="4"/>
      <c r="B3731" s="303"/>
      <c r="C3731" s="304"/>
      <c r="D3731" s="18"/>
    </row>
    <row r="3732" spans="1:4" ht="15.75" customHeight="1" thickBot="1" x14ac:dyDescent="0.3">
      <c r="A3732" s="4"/>
      <c r="B3732" s="303"/>
      <c r="C3732" s="304"/>
      <c r="D3732" s="18"/>
    </row>
    <row r="3733" spans="1:4" ht="15.75" customHeight="1" thickBot="1" x14ac:dyDescent="0.3">
      <c r="A3733" s="4"/>
      <c r="B3733" s="303"/>
      <c r="C3733" s="304"/>
      <c r="D3733" s="18"/>
    </row>
    <row r="3734" spans="1:4" ht="15.75" customHeight="1" thickBot="1" x14ac:dyDescent="0.3">
      <c r="A3734" s="4"/>
      <c r="B3734" s="303"/>
      <c r="C3734" s="304"/>
      <c r="D3734" s="18"/>
    </row>
    <row r="3735" spans="1:4" ht="15.75" customHeight="1" thickBot="1" x14ac:dyDescent="0.3">
      <c r="A3735" s="2"/>
      <c r="B3735" s="3"/>
      <c r="C3735" s="2"/>
      <c r="D3735" s="1"/>
    </row>
    <row r="3736" spans="1:4" ht="15.75" customHeight="1" thickBot="1" x14ac:dyDescent="0.3">
      <c r="A3736" s="300"/>
      <c r="B3736" s="301"/>
      <c r="C3736" s="301"/>
      <c r="D3736" s="302"/>
    </row>
    <row r="3737" spans="1:4" ht="15.75" customHeight="1" x14ac:dyDescent="0.25">
      <c r="A3737" s="5"/>
      <c r="B3737" s="6"/>
      <c r="C3737" s="7"/>
      <c r="D3737" s="8"/>
    </row>
    <row r="3738" spans="1:4" ht="15.75" customHeight="1" thickBot="1" x14ac:dyDescent="0.3">
      <c r="A3738" s="9"/>
      <c r="B3738" s="10"/>
      <c r="C3738" s="10"/>
      <c r="D3738" s="11"/>
    </row>
    <row r="3739" spans="1:4" ht="15.75" customHeight="1" thickBot="1" x14ac:dyDescent="0.3">
      <c r="A3739" s="15"/>
      <c r="B3739" s="16"/>
      <c r="C3739" s="21"/>
      <c r="D3739" s="16"/>
    </row>
    <row r="3740" spans="1:4" ht="15.75" customHeight="1" thickBot="1" x14ac:dyDescent="0.3">
      <c r="A3740" s="12"/>
      <c r="B3740" s="305"/>
      <c r="C3740" s="306"/>
      <c r="D3740" s="54"/>
    </row>
    <row r="3741" spans="1:4" ht="15.75" customHeight="1" thickBot="1" x14ac:dyDescent="0.3">
      <c r="A3741" s="38"/>
      <c r="B3741" s="45"/>
      <c r="C3741" s="45"/>
      <c r="D3741" s="45"/>
    </row>
    <row r="3742" spans="1:4" ht="15.75" customHeight="1" thickBot="1" x14ac:dyDescent="0.3">
      <c r="A3742" s="19"/>
      <c r="B3742" s="20"/>
      <c r="C3742" s="50"/>
      <c r="D3742" s="51"/>
    </row>
    <row r="3743" spans="1:4" ht="15.75" customHeight="1" thickBot="1" x14ac:dyDescent="0.3">
      <c r="A3743" s="19"/>
      <c r="B3743" s="20"/>
      <c r="C3743" s="52"/>
      <c r="D3743" s="53"/>
    </row>
    <row r="3744" spans="1:4" ht="15.75" customHeight="1" thickBot="1" x14ac:dyDescent="0.3">
      <c r="A3744" s="19"/>
      <c r="B3744" s="20"/>
      <c r="C3744" s="13"/>
      <c r="D3744" s="14"/>
    </row>
    <row r="3745" spans="1:4" ht="15.75" customHeight="1" thickBot="1" x14ac:dyDescent="0.3">
      <c r="A3745" s="2"/>
      <c r="B3745" s="3"/>
      <c r="C3745" s="2"/>
      <c r="D3745" s="1"/>
    </row>
    <row r="3746" spans="1:4" ht="15.75" customHeight="1" thickBot="1" x14ac:dyDescent="0.3">
      <c r="A3746" s="4"/>
      <c r="B3746" s="303"/>
      <c r="C3746" s="304"/>
      <c r="D3746" s="4"/>
    </row>
    <row r="3747" spans="1:4" ht="15.75" customHeight="1" thickBot="1" x14ac:dyDescent="0.3">
      <c r="A3747" s="4"/>
      <c r="B3747" s="303"/>
      <c r="C3747" s="304"/>
      <c r="D3747" s="18"/>
    </row>
    <row r="3748" spans="1:4" ht="15.75" customHeight="1" thickBot="1" x14ac:dyDescent="0.3">
      <c r="A3748" s="4"/>
      <c r="B3748" s="303"/>
      <c r="C3748" s="304"/>
      <c r="D3748" s="18"/>
    </row>
    <row r="3749" spans="1:4" ht="15.75" customHeight="1" thickBot="1" x14ac:dyDescent="0.3">
      <c r="A3749" s="4"/>
      <c r="B3749" s="303"/>
      <c r="C3749" s="304"/>
      <c r="D3749" s="18"/>
    </row>
    <row r="3750" spans="1:4" ht="15.75" customHeight="1" thickBot="1" x14ac:dyDescent="0.3">
      <c r="A3750" s="4"/>
      <c r="B3750" s="303"/>
      <c r="C3750" s="304"/>
      <c r="D3750" s="18"/>
    </row>
    <row r="3751" spans="1:4" ht="15.75" customHeight="1" thickBot="1" x14ac:dyDescent="0.3">
      <c r="A3751" s="4"/>
      <c r="B3751" s="303"/>
      <c r="C3751" s="304"/>
      <c r="D3751" s="18"/>
    </row>
    <row r="3752" spans="1:4" ht="15.75" customHeight="1" thickBot="1" x14ac:dyDescent="0.3">
      <c r="A3752" s="4"/>
      <c r="B3752" s="303"/>
      <c r="C3752" s="304"/>
      <c r="D3752" s="18"/>
    </row>
    <row r="3753" spans="1:4" ht="15.75" customHeight="1" thickBot="1" x14ac:dyDescent="0.3">
      <c r="A3753" s="4"/>
      <c r="B3753" s="303"/>
      <c r="C3753" s="304"/>
      <c r="D3753" s="18"/>
    </row>
    <row r="3754" spans="1:4" ht="15.75" customHeight="1" thickBot="1" x14ac:dyDescent="0.3">
      <c r="A3754" s="4"/>
      <c r="B3754" s="303"/>
      <c r="C3754" s="304"/>
      <c r="D3754" s="18"/>
    </row>
    <row r="3755" spans="1:4" ht="15.75" customHeight="1" thickBot="1" x14ac:dyDescent="0.3">
      <c r="A3755" s="2"/>
      <c r="B3755" s="3"/>
      <c r="C3755" s="2"/>
      <c r="D3755" s="1"/>
    </row>
    <row r="3756" spans="1:4" ht="15.75" customHeight="1" thickBot="1" x14ac:dyDescent="0.3">
      <c r="A3756" s="300"/>
      <c r="B3756" s="301"/>
      <c r="C3756" s="301"/>
      <c r="D3756" s="302"/>
    </row>
    <row r="3757" spans="1:4" ht="15.75" customHeight="1" x14ac:dyDescent="0.25">
      <c r="A3757" s="5"/>
      <c r="B3757" s="6"/>
      <c r="C3757" s="7"/>
      <c r="D3757" s="8"/>
    </row>
    <row r="3758" spans="1:4" ht="15.75" customHeight="1" thickBot="1" x14ac:dyDescent="0.3">
      <c r="A3758" s="9"/>
      <c r="B3758" s="10"/>
      <c r="C3758" s="10"/>
      <c r="D3758" s="11"/>
    </row>
    <row r="3759" spans="1:4" ht="15.75" customHeight="1" thickBot="1" x14ac:dyDescent="0.3">
      <c r="A3759" s="15"/>
      <c r="B3759" s="16"/>
      <c r="C3759" s="21"/>
      <c r="D3759" s="16"/>
    </row>
    <row r="3760" spans="1:4" ht="15.75" customHeight="1" thickBot="1" x14ac:dyDescent="0.3">
      <c r="A3760" s="12"/>
      <c r="B3760" s="305"/>
      <c r="C3760" s="306"/>
      <c r="D3760" s="54"/>
    </row>
    <row r="3761" spans="1:4" ht="15.75" customHeight="1" thickBot="1" x14ac:dyDescent="0.3">
      <c r="A3761" s="38"/>
      <c r="B3761" s="45"/>
      <c r="C3761" s="45"/>
      <c r="D3761" s="45"/>
    </row>
    <row r="3762" spans="1:4" ht="15.75" customHeight="1" thickBot="1" x14ac:dyDescent="0.3">
      <c r="A3762" s="19"/>
      <c r="B3762" s="20"/>
      <c r="C3762" s="50"/>
      <c r="D3762" s="51"/>
    </row>
    <row r="3763" spans="1:4" ht="15.75" customHeight="1" thickBot="1" x14ac:dyDescent="0.3">
      <c r="A3763" s="19"/>
      <c r="B3763" s="20"/>
      <c r="C3763" s="52"/>
      <c r="D3763" s="53"/>
    </row>
    <row r="3764" spans="1:4" ht="15.75" customHeight="1" thickBot="1" x14ac:dyDescent="0.3">
      <c r="A3764" s="19"/>
      <c r="B3764" s="20"/>
      <c r="C3764" s="13"/>
      <c r="D3764" s="14"/>
    </row>
    <row r="3765" spans="1:4" ht="15.75" customHeight="1" thickBot="1" x14ac:dyDescent="0.3">
      <c r="A3765" s="2"/>
      <c r="B3765" s="3"/>
      <c r="C3765" s="2"/>
      <c r="D3765" s="1"/>
    </row>
    <row r="3766" spans="1:4" ht="15.75" customHeight="1" thickBot="1" x14ac:dyDescent="0.3">
      <c r="A3766" s="4"/>
      <c r="B3766" s="303"/>
      <c r="C3766" s="304"/>
      <c r="D3766" s="4"/>
    </row>
    <row r="3767" spans="1:4" ht="15.75" customHeight="1" thickBot="1" x14ac:dyDescent="0.3">
      <c r="A3767" s="4"/>
      <c r="B3767" s="303"/>
      <c r="C3767" s="304"/>
      <c r="D3767" s="18"/>
    </row>
    <row r="3768" spans="1:4" ht="15.75" customHeight="1" thickBot="1" x14ac:dyDescent="0.3">
      <c r="A3768" s="4"/>
      <c r="B3768" s="303"/>
      <c r="C3768" s="304"/>
      <c r="D3768" s="18"/>
    </row>
    <row r="3769" spans="1:4" ht="15.75" customHeight="1" thickBot="1" x14ac:dyDescent="0.3">
      <c r="A3769" s="4"/>
      <c r="B3769" s="303"/>
      <c r="C3769" s="304"/>
      <c r="D3769" s="18"/>
    </row>
    <row r="3770" spans="1:4" ht="15.75" customHeight="1" thickBot="1" x14ac:dyDescent="0.3">
      <c r="A3770" s="4"/>
      <c r="B3770" s="303"/>
      <c r="C3770" s="304"/>
      <c r="D3770" s="18"/>
    </row>
    <row r="3771" spans="1:4" ht="15.75" customHeight="1" thickBot="1" x14ac:dyDescent="0.3">
      <c r="A3771" s="4"/>
      <c r="B3771" s="303"/>
      <c r="C3771" s="304"/>
      <c r="D3771" s="18"/>
    </row>
    <row r="3772" spans="1:4" ht="15.75" customHeight="1" thickBot="1" x14ac:dyDescent="0.3">
      <c r="A3772" s="4"/>
      <c r="B3772" s="303"/>
      <c r="C3772" s="304"/>
      <c r="D3772" s="18"/>
    </row>
    <row r="3773" spans="1:4" ht="15.75" customHeight="1" thickBot="1" x14ac:dyDescent="0.3">
      <c r="A3773" s="4"/>
      <c r="B3773" s="303"/>
      <c r="C3773" s="304"/>
      <c r="D3773" s="18"/>
    </row>
    <row r="3774" spans="1:4" ht="15.75" customHeight="1" thickBot="1" x14ac:dyDescent="0.3">
      <c r="A3774" s="4"/>
      <c r="B3774" s="303"/>
      <c r="C3774" s="304"/>
      <c r="D3774" s="18"/>
    </row>
    <row r="3775" spans="1:4" ht="15.75" customHeight="1" thickBot="1" x14ac:dyDescent="0.3">
      <c r="A3775" s="2"/>
      <c r="B3775" s="3"/>
      <c r="C3775" s="2"/>
      <c r="D3775" s="1"/>
    </row>
    <row r="3776" spans="1:4" ht="15.75" customHeight="1" thickBot="1" x14ac:dyDescent="0.3">
      <c r="A3776" s="300"/>
      <c r="B3776" s="301"/>
      <c r="C3776" s="301"/>
      <c r="D3776" s="302"/>
    </row>
    <row r="3777" spans="1:4" ht="15.75" customHeight="1" x14ac:dyDescent="0.25">
      <c r="A3777" s="5"/>
      <c r="B3777" s="6"/>
      <c r="C3777" s="7"/>
      <c r="D3777" s="8"/>
    </row>
    <row r="3778" spans="1:4" ht="15.75" customHeight="1" thickBot="1" x14ac:dyDescent="0.3">
      <c r="A3778" s="9"/>
      <c r="B3778" s="10"/>
      <c r="C3778" s="10"/>
      <c r="D3778" s="11"/>
    </row>
    <row r="3779" spans="1:4" ht="15.75" customHeight="1" thickBot="1" x14ac:dyDescent="0.3">
      <c r="A3779" s="15"/>
      <c r="B3779" s="16"/>
      <c r="C3779" s="21"/>
      <c r="D3779" s="16"/>
    </row>
    <row r="3780" spans="1:4" ht="15.75" customHeight="1" thickBot="1" x14ac:dyDescent="0.3">
      <c r="A3780" s="12"/>
      <c r="B3780" s="305"/>
      <c r="C3780" s="306"/>
      <c r="D3780" s="54"/>
    </row>
    <row r="3781" spans="1:4" ht="15.75" customHeight="1" thickBot="1" x14ac:dyDescent="0.3">
      <c r="A3781" s="38"/>
      <c r="B3781" s="45"/>
      <c r="C3781" s="45"/>
      <c r="D3781" s="45"/>
    </row>
    <row r="3782" spans="1:4" ht="15.75" customHeight="1" thickBot="1" x14ac:dyDescent="0.3">
      <c r="A3782" s="19"/>
      <c r="B3782" s="20"/>
      <c r="C3782" s="50"/>
      <c r="D3782" s="51"/>
    </row>
    <row r="3783" spans="1:4" ht="15.75" customHeight="1" thickBot="1" x14ac:dyDescent="0.3">
      <c r="A3783" s="19"/>
      <c r="B3783" s="20"/>
      <c r="C3783" s="52"/>
      <c r="D3783" s="53"/>
    </row>
    <row r="3784" spans="1:4" ht="15.75" customHeight="1" thickBot="1" x14ac:dyDescent="0.3">
      <c r="A3784" s="19"/>
      <c r="B3784" s="20"/>
      <c r="C3784" s="13"/>
      <c r="D3784" s="14"/>
    </row>
    <row r="3785" spans="1:4" ht="15.75" customHeight="1" thickBot="1" x14ac:dyDescent="0.3">
      <c r="A3785" s="2"/>
      <c r="B3785" s="3"/>
      <c r="C3785" s="2"/>
      <c r="D3785" s="1"/>
    </row>
    <row r="3786" spans="1:4" ht="15.75" customHeight="1" thickBot="1" x14ac:dyDescent="0.3">
      <c r="A3786" s="4"/>
      <c r="B3786" s="303"/>
      <c r="C3786" s="304"/>
      <c r="D3786" s="4"/>
    </row>
    <row r="3787" spans="1:4" ht="15.75" customHeight="1" thickBot="1" x14ac:dyDescent="0.3">
      <c r="A3787" s="4"/>
      <c r="B3787" s="303"/>
      <c r="C3787" s="304"/>
      <c r="D3787" s="18"/>
    </row>
    <row r="3788" spans="1:4" ht="15.75" customHeight="1" thickBot="1" x14ac:dyDescent="0.3">
      <c r="A3788" s="4"/>
      <c r="B3788" s="303"/>
      <c r="C3788" s="304"/>
      <c r="D3788" s="18"/>
    </row>
    <row r="3789" spans="1:4" ht="15.75" customHeight="1" thickBot="1" x14ac:dyDescent="0.3">
      <c r="A3789" s="4"/>
      <c r="B3789" s="303"/>
      <c r="C3789" s="304"/>
      <c r="D3789" s="18"/>
    </row>
    <row r="3790" spans="1:4" ht="15.75" customHeight="1" thickBot="1" x14ac:dyDescent="0.3">
      <c r="A3790" s="4"/>
      <c r="B3790" s="303"/>
      <c r="C3790" s="304"/>
      <c r="D3790" s="18"/>
    </row>
    <row r="3791" spans="1:4" ht="15.75" customHeight="1" thickBot="1" x14ac:dyDescent="0.3">
      <c r="A3791" s="4"/>
      <c r="B3791" s="303"/>
      <c r="C3791" s="304"/>
      <c r="D3791" s="18"/>
    </row>
    <row r="3792" spans="1:4" ht="15.75" customHeight="1" thickBot="1" x14ac:dyDescent="0.3">
      <c r="A3792" s="4"/>
      <c r="B3792" s="303"/>
      <c r="C3792" s="304"/>
      <c r="D3792" s="18"/>
    </row>
    <row r="3793" spans="1:4" ht="15.75" customHeight="1" thickBot="1" x14ac:dyDescent="0.3">
      <c r="A3793" s="4"/>
      <c r="B3793" s="303"/>
      <c r="C3793" s="304"/>
      <c r="D3793" s="18"/>
    </row>
    <row r="3794" spans="1:4" ht="15.75" customHeight="1" thickBot="1" x14ac:dyDescent="0.3">
      <c r="A3794" s="4"/>
      <c r="B3794" s="303"/>
      <c r="C3794" s="304"/>
      <c r="D3794" s="18"/>
    </row>
    <row r="3795" spans="1:4" ht="15.75" customHeight="1" thickBot="1" x14ac:dyDescent="0.3">
      <c r="A3795" s="2"/>
      <c r="B3795" s="3"/>
      <c r="C3795" s="2"/>
      <c r="D3795" s="1"/>
    </row>
    <row r="3796" spans="1:4" ht="15.75" customHeight="1" thickBot="1" x14ac:dyDescent="0.3">
      <c r="A3796" s="300"/>
      <c r="B3796" s="301"/>
      <c r="C3796" s="301"/>
      <c r="D3796" s="302"/>
    </row>
    <row r="3797" spans="1:4" ht="15.75" customHeight="1" x14ac:dyDescent="0.25">
      <c r="A3797" s="5"/>
      <c r="B3797" s="6"/>
      <c r="C3797" s="7"/>
      <c r="D3797" s="8"/>
    </row>
    <row r="3798" spans="1:4" ht="15.75" customHeight="1" thickBot="1" x14ac:dyDescent="0.3">
      <c r="A3798" s="9"/>
      <c r="B3798" s="10"/>
      <c r="C3798" s="10"/>
      <c r="D3798" s="11"/>
    </row>
    <row r="3799" spans="1:4" ht="15.75" customHeight="1" thickBot="1" x14ac:dyDescent="0.3">
      <c r="A3799" s="15"/>
      <c r="B3799" s="16"/>
      <c r="C3799" s="21"/>
      <c r="D3799" s="16"/>
    </row>
    <row r="3800" spans="1:4" ht="15.75" customHeight="1" thickBot="1" x14ac:dyDescent="0.3">
      <c r="A3800" s="12"/>
      <c r="B3800" s="305"/>
      <c r="C3800" s="306"/>
      <c r="D3800" s="54"/>
    </row>
    <row r="3801" spans="1:4" ht="15.75" customHeight="1" thickBot="1" x14ac:dyDescent="0.3">
      <c r="A3801" s="38"/>
      <c r="B3801" s="45"/>
      <c r="C3801" s="45"/>
      <c r="D3801" s="45"/>
    </row>
    <row r="3802" spans="1:4" ht="15.75" customHeight="1" thickBot="1" x14ac:dyDescent="0.3">
      <c r="A3802" s="19"/>
      <c r="B3802" s="20"/>
      <c r="C3802" s="50"/>
      <c r="D3802" s="51"/>
    </row>
    <row r="3803" spans="1:4" ht="15.75" customHeight="1" thickBot="1" x14ac:dyDescent="0.3">
      <c r="A3803" s="19"/>
      <c r="B3803" s="20"/>
      <c r="C3803" s="52"/>
      <c r="D3803" s="53"/>
    </row>
    <row r="3804" spans="1:4" ht="15.75" customHeight="1" thickBot="1" x14ac:dyDescent="0.3">
      <c r="A3804" s="19"/>
      <c r="B3804" s="20"/>
      <c r="C3804" s="13"/>
      <c r="D3804" s="14"/>
    </row>
    <row r="3805" spans="1:4" ht="15.75" customHeight="1" thickBot="1" x14ac:dyDescent="0.3">
      <c r="A3805" s="2"/>
      <c r="B3805" s="3"/>
      <c r="C3805" s="2"/>
      <c r="D3805" s="1"/>
    </row>
    <row r="3806" spans="1:4" ht="15.75" customHeight="1" thickBot="1" x14ac:dyDescent="0.3">
      <c r="A3806" s="4"/>
      <c r="B3806" s="303"/>
      <c r="C3806" s="304"/>
      <c r="D3806" s="4"/>
    </row>
    <row r="3807" spans="1:4" ht="15.75" customHeight="1" thickBot="1" x14ac:dyDescent="0.3">
      <c r="A3807" s="4"/>
      <c r="B3807" s="303"/>
      <c r="C3807" s="304"/>
      <c r="D3807" s="18"/>
    </row>
    <row r="3808" spans="1:4" ht="15.75" customHeight="1" thickBot="1" x14ac:dyDescent="0.3">
      <c r="A3808" s="4"/>
      <c r="B3808" s="303"/>
      <c r="C3808" s="304"/>
      <c r="D3808" s="18"/>
    </row>
    <row r="3809" spans="1:4" ht="15.75" customHeight="1" thickBot="1" x14ac:dyDescent="0.3">
      <c r="A3809" s="4"/>
      <c r="B3809" s="303"/>
      <c r="C3809" s="304"/>
      <c r="D3809" s="18"/>
    </row>
    <row r="3810" spans="1:4" ht="15.75" customHeight="1" thickBot="1" x14ac:dyDescent="0.3">
      <c r="A3810" s="4"/>
      <c r="B3810" s="303"/>
      <c r="C3810" s="304"/>
      <c r="D3810" s="18"/>
    </row>
    <row r="3811" spans="1:4" ht="15.75" customHeight="1" thickBot="1" x14ac:dyDescent="0.3">
      <c r="A3811" s="4"/>
      <c r="B3811" s="303"/>
      <c r="C3811" s="304"/>
      <c r="D3811" s="18"/>
    </row>
    <row r="3812" spans="1:4" ht="15.75" customHeight="1" thickBot="1" x14ac:dyDescent="0.3">
      <c r="A3812" s="4"/>
      <c r="B3812" s="303"/>
      <c r="C3812" s="304"/>
      <c r="D3812" s="18"/>
    </row>
    <row r="3813" spans="1:4" ht="15.75" customHeight="1" thickBot="1" x14ac:dyDescent="0.3">
      <c r="A3813" s="4"/>
      <c r="B3813" s="303"/>
      <c r="C3813" s="304"/>
      <c r="D3813" s="18"/>
    </row>
    <row r="3814" spans="1:4" ht="15.75" customHeight="1" thickBot="1" x14ac:dyDescent="0.3">
      <c r="A3814" s="4"/>
      <c r="B3814" s="303"/>
      <c r="C3814" s="304"/>
      <c r="D3814" s="18"/>
    </row>
    <row r="3815" spans="1:4" ht="15.75" customHeight="1" thickBot="1" x14ac:dyDescent="0.3">
      <c r="A3815" s="2"/>
      <c r="B3815" s="3"/>
      <c r="C3815" s="2"/>
      <c r="D3815" s="1"/>
    </row>
    <row r="3816" spans="1:4" ht="15.75" customHeight="1" thickBot="1" x14ac:dyDescent="0.3">
      <c r="A3816" s="300"/>
      <c r="B3816" s="301"/>
      <c r="C3816" s="301"/>
      <c r="D3816" s="302"/>
    </row>
    <row r="3817" spans="1:4" ht="15.75" customHeight="1" x14ac:dyDescent="0.25">
      <c r="A3817" s="5"/>
      <c r="B3817" s="6"/>
      <c r="C3817" s="7"/>
      <c r="D3817" s="8"/>
    </row>
    <row r="3818" spans="1:4" ht="15.75" customHeight="1" thickBot="1" x14ac:dyDescent="0.3">
      <c r="A3818" s="9"/>
      <c r="B3818" s="10"/>
      <c r="C3818" s="10"/>
      <c r="D3818" s="11"/>
    </row>
    <row r="3819" spans="1:4" ht="15.75" customHeight="1" thickBot="1" x14ac:dyDescent="0.3">
      <c r="A3819" s="15"/>
      <c r="B3819" s="16"/>
      <c r="C3819" s="21"/>
      <c r="D3819" s="16"/>
    </row>
    <row r="3820" spans="1:4" ht="15.75" customHeight="1" thickBot="1" x14ac:dyDescent="0.3">
      <c r="A3820" s="12"/>
      <c r="B3820" s="305"/>
      <c r="C3820" s="306"/>
      <c r="D3820" s="54"/>
    </row>
    <row r="3821" spans="1:4" ht="15.75" customHeight="1" thickBot="1" x14ac:dyDescent="0.3">
      <c r="A3821" s="38"/>
      <c r="B3821" s="45"/>
      <c r="C3821" s="45"/>
      <c r="D3821" s="45"/>
    </row>
    <row r="3822" spans="1:4" ht="15.75" customHeight="1" thickBot="1" x14ac:dyDescent="0.3">
      <c r="A3822" s="19"/>
      <c r="B3822" s="20"/>
      <c r="C3822" s="50"/>
      <c r="D3822" s="51"/>
    </row>
    <row r="3823" spans="1:4" ht="15.75" customHeight="1" thickBot="1" x14ac:dyDescent="0.3">
      <c r="A3823" s="19"/>
      <c r="B3823" s="20"/>
      <c r="C3823" s="52"/>
      <c r="D3823" s="53"/>
    </row>
    <row r="3824" spans="1:4" ht="15.75" customHeight="1" thickBot="1" x14ac:dyDescent="0.3">
      <c r="A3824" s="19"/>
      <c r="B3824" s="20"/>
      <c r="C3824" s="13"/>
      <c r="D3824" s="14"/>
    </row>
    <row r="3825" spans="1:4" ht="15.75" customHeight="1" thickBot="1" x14ac:dyDescent="0.3">
      <c r="A3825" s="2"/>
      <c r="B3825" s="3"/>
      <c r="C3825" s="2"/>
      <c r="D3825" s="1"/>
    </row>
    <row r="3826" spans="1:4" ht="15.75" customHeight="1" thickBot="1" x14ac:dyDescent="0.3">
      <c r="A3826" s="4"/>
      <c r="B3826" s="303"/>
      <c r="C3826" s="304"/>
      <c r="D3826" s="4"/>
    </row>
    <row r="3827" spans="1:4" ht="15.75" customHeight="1" thickBot="1" x14ac:dyDescent="0.3">
      <c r="A3827" s="4"/>
      <c r="B3827" s="303"/>
      <c r="C3827" s="304"/>
      <c r="D3827" s="18"/>
    </row>
    <row r="3828" spans="1:4" ht="15.75" customHeight="1" thickBot="1" x14ac:dyDescent="0.3">
      <c r="A3828" s="4"/>
      <c r="B3828" s="303"/>
      <c r="C3828" s="304"/>
      <c r="D3828" s="18"/>
    </row>
    <row r="3829" spans="1:4" ht="15.75" customHeight="1" thickBot="1" x14ac:dyDescent="0.3">
      <c r="A3829" s="4"/>
      <c r="B3829" s="303"/>
      <c r="C3829" s="304"/>
      <c r="D3829" s="18"/>
    </row>
    <row r="3830" spans="1:4" ht="15.75" customHeight="1" thickBot="1" x14ac:dyDescent="0.3">
      <c r="A3830" s="4"/>
      <c r="B3830" s="303"/>
      <c r="C3830" s="304"/>
      <c r="D3830" s="18"/>
    </row>
    <row r="3831" spans="1:4" ht="15.75" customHeight="1" thickBot="1" x14ac:dyDescent="0.3">
      <c r="A3831" s="4"/>
      <c r="B3831" s="303"/>
      <c r="C3831" s="304"/>
      <c r="D3831" s="18"/>
    </row>
    <row r="3832" spans="1:4" ht="15.75" customHeight="1" thickBot="1" x14ac:dyDescent="0.3">
      <c r="A3832" s="4"/>
      <c r="B3832" s="303"/>
      <c r="C3832" s="304"/>
      <c r="D3832" s="18"/>
    </row>
    <row r="3833" spans="1:4" ht="15.75" customHeight="1" thickBot="1" x14ac:dyDescent="0.3">
      <c r="A3833" s="4"/>
      <c r="B3833" s="303"/>
      <c r="C3833" s="304"/>
      <c r="D3833" s="18"/>
    </row>
    <row r="3834" spans="1:4" ht="15.75" customHeight="1" thickBot="1" x14ac:dyDescent="0.3">
      <c r="A3834" s="4"/>
      <c r="B3834" s="303"/>
      <c r="C3834" s="304"/>
      <c r="D3834" s="18"/>
    </row>
    <row r="3835" spans="1:4" ht="15.75" customHeight="1" thickBot="1" x14ac:dyDescent="0.3">
      <c r="A3835" s="2"/>
      <c r="B3835" s="3"/>
      <c r="C3835" s="2"/>
      <c r="D3835" s="1"/>
    </row>
    <row r="3836" spans="1:4" ht="15.75" customHeight="1" thickBot="1" x14ac:dyDescent="0.3">
      <c r="A3836" s="300"/>
      <c r="B3836" s="301"/>
      <c r="C3836" s="301"/>
      <c r="D3836" s="302"/>
    </row>
    <row r="3837" spans="1:4" ht="15.75" customHeight="1" x14ac:dyDescent="0.25">
      <c r="A3837" s="5"/>
      <c r="B3837" s="6"/>
      <c r="C3837" s="7"/>
      <c r="D3837" s="8"/>
    </row>
    <row r="3838" spans="1:4" ht="15.75" customHeight="1" thickBot="1" x14ac:dyDescent="0.3">
      <c r="A3838" s="9"/>
      <c r="B3838" s="10"/>
      <c r="C3838" s="10"/>
      <c r="D3838" s="11"/>
    </row>
    <row r="3839" spans="1:4" ht="15.75" customHeight="1" thickBot="1" x14ac:dyDescent="0.3">
      <c r="A3839" s="15"/>
      <c r="B3839" s="16"/>
      <c r="C3839" s="21"/>
      <c r="D3839" s="16"/>
    </row>
    <row r="3840" spans="1:4" ht="15.75" customHeight="1" thickBot="1" x14ac:dyDescent="0.3">
      <c r="A3840" s="12"/>
      <c r="B3840" s="305"/>
      <c r="C3840" s="306"/>
      <c r="D3840" s="54"/>
    </row>
    <row r="3841" spans="1:4" ht="15.75" customHeight="1" thickBot="1" x14ac:dyDescent="0.3">
      <c r="A3841" s="38"/>
      <c r="B3841" s="45"/>
      <c r="C3841" s="45"/>
      <c r="D3841" s="45"/>
    </row>
    <row r="3842" spans="1:4" ht="15.75" customHeight="1" thickBot="1" x14ac:dyDescent="0.3">
      <c r="A3842" s="19"/>
      <c r="B3842" s="20"/>
      <c r="C3842" s="50"/>
      <c r="D3842" s="51"/>
    </row>
    <row r="3843" spans="1:4" ht="15.75" customHeight="1" thickBot="1" x14ac:dyDescent="0.3">
      <c r="A3843" s="19"/>
      <c r="B3843" s="20"/>
      <c r="C3843" s="52"/>
      <c r="D3843" s="53"/>
    </row>
    <row r="3844" spans="1:4" ht="15.75" customHeight="1" thickBot="1" x14ac:dyDescent="0.3">
      <c r="A3844" s="19"/>
      <c r="B3844" s="20"/>
      <c r="C3844" s="13"/>
      <c r="D3844" s="14"/>
    </row>
    <row r="3845" spans="1:4" ht="15.75" customHeight="1" thickBot="1" x14ac:dyDescent="0.3">
      <c r="A3845" s="2"/>
      <c r="B3845" s="3"/>
      <c r="C3845" s="2"/>
      <c r="D3845" s="1"/>
    </row>
    <row r="3846" spans="1:4" ht="15.75" customHeight="1" thickBot="1" x14ac:dyDescent="0.3">
      <c r="A3846" s="4"/>
      <c r="B3846" s="303"/>
      <c r="C3846" s="304"/>
      <c r="D3846" s="4"/>
    </row>
    <row r="3847" spans="1:4" ht="15.75" customHeight="1" thickBot="1" x14ac:dyDescent="0.3">
      <c r="A3847" s="4"/>
      <c r="B3847" s="303"/>
      <c r="C3847" s="304"/>
      <c r="D3847" s="18"/>
    </row>
    <row r="3848" spans="1:4" ht="15.75" customHeight="1" thickBot="1" x14ac:dyDescent="0.3">
      <c r="A3848" s="4"/>
      <c r="B3848" s="303"/>
      <c r="C3848" s="304"/>
      <c r="D3848" s="18"/>
    </row>
    <row r="3849" spans="1:4" ht="15.75" customHeight="1" thickBot="1" x14ac:dyDescent="0.3">
      <c r="A3849" s="4"/>
      <c r="B3849" s="303"/>
      <c r="C3849" s="304"/>
      <c r="D3849" s="18"/>
    </row>
    <row r="3850" spans="1:4" ht="15.75" customHeight="1" thickBot="1" x14ac:dyDescent="0.3">
      <c r="A3850" s="4"/>
      <c r="B3850" s="303"/>
      <c r="C3850" s="304"/>
      <c r="D3850" s="18"/>
    </row>
    <row r="3851" spans="1:4" ht="15.75" customHeight="1" thickBot="1" x14ac:dyDescent="0.3">
      <c r="A3851" s="4"/>
      <c r="B3851" s="303"/>
      <c r="C3851" s="304"/>
      <c r="D3851" s="18"/>
    </row>
    <row r="3852" spans="1:4" ht="15.75" customHeight="1" thickBot="1" x14ac:dyDescent="0.3">
      <c r="A3852" s="4"/>
      <c r="B3852" s="303"/>
      <c r="C3852" s="304"/>
      <c r="D3852" s="18"/>
    </row>
    <row r="3853" spans="1:4" ht="15.75" customHeight="1" thickBot="1" x14ac:dyDescent="0.3">
      <c r="A3853" s="4"/>
      <c r="B3853" s="303"/>
      <c r="C3853" s="304"/>
      <c r="D3853" s="18"/>
    </row>
    <row r="3854" spans="1:4" ht="15.75" customHeight="1" thickBot="1" x14ac:dyDescent="0.3">
      <c r="A3854" s="4"/>
      <c r="B3854" s="303"/>
      <c r="C3854" s="304"/>
      <c r="D3854" s="18"/>
    </row>
    <row r="3855" spans="1:4" ht="15.75" customHeight="1" thickBot="1" x14ac:dyDescent="0.3">
      <c r="A3855" s="2"/>
      <c r="B3855" s="3"/>
      <c r="C3855" s="2"/>
      <c r="D3855" s="1"/>
    </row>
    <row r="3856" spans="1:4" ht="15.75" customHeight="1" thickBot="1" x14ac:dyDescent="0.3">
      <c r="A3856" s="300"/>
      <c r="B3856" s="301"/>
      <c r="C3856" s="301"/>
      <c r="D3856" s="302"/>
    </row>
    <row r="3857" spans="1:4" ht="15.75" customHeight="1" x14ac:dyDescent="0.25">
      <c r="A3857" s="5"/>
      <c r="B3857" s="6"/>
      <c r="C3857" s="7"/>
      <c r="D3857" s="8"/>
    </row>
    <row r="3858" spans="1:4" ht="15.75" customHeight="1" thickBot="1" x14ac:dyDescent="0.3">
      <c r="A3858" s="9"/>
      <c r="B3858" s="10"/>
      <c r="C3858" s="10"/>
      <c r="D3858" s="11"/>
    </row>
    <row r="3859" spans="1:4" ht="15.75" customHeight="1" thickBot="1" x14ac:dyDescent="0.3">
      <c r="A3859" s="15"/>
      <c r="B3859" s="16"/>
      <c r="C3859" s="21"/>
      <c r="D3859" s="16"/>
    </row>
    <row r="3860" spans="1:4" ht="15.75" customHeight="1" thickBot="1" x14ac:dyDescent="0.3">
      <c r="A3860" s="12"/>
      <c r="B3860" s="305"/>
      <c r="C3860" s="306"/>
      <c r="D3860" s="54"/>
    </row>
    <row r="3861" spans="1:4" ht="15.75" customHeight="1" thickBot="1" x14ac:dyDescent="0.3">
      <c r="A3861" s="38"/>
      <c r="B3861" s="45"/>
      <c r="C3861" s="45"/>
      <c r="D3861" s="45"/>
    </row>
    <row r="3862" spans="1:4" ht="15.75" customHeight="1" thickBot="1" x14ac:dyDescent="0.3">
      <c r="A3862" s="19"/>
      <c r="B3862" s="20"/>
      <c r="C3862" s="50"/>
      <c r="D3862" s="51"/>
    </row>
    <row r="3863" spans="1:4" ht="15.75" customHeight="1" thickBot="1" x14ac:dyDescent="0.3">
      <c r="A3863" s="19"/>
      <c r="B3863" s="20"/>
      <c r="C3863" s="52"/>
      <c r="D3863" s="53"/>
    </row>
    <row r="3864" spans="1:4" ht="15.75" customHeight="1" thickBot="1" x14ac:dyDescent="0.3">
      <c r="A3864" s="19"/>
      <c r="B3864" s="20"/>
      <c r="C3864" s="13"/>
      <c r="D3864" s="14"/>
    </row>
    <row r="3865" spans="1:4" ht="15.75" customHeight="1" thickBot="1" x14ac:dyDescent="0.3">
      <c r="A3865" s="2"/>
      <c r="B3865" s="3"/>
      <c r="C3865" s="2"/>
      <c r="D3865" s="1"/>
    </row>
    <row r="3866" spans="1:4" ht="15.75" customHeight="1" thickBot="1" x14ac:dyDescent="0.3">
      <c r="A3866" s="4"/>
      <c r="B3866" s="303"/>
      <c r="C3866" s="304"/>
      <c r="D3866" s="4"/>
    </row>
    <row r="3867" spans="1:4" ht="15.75" customHeight="1" thickBot="1" x14ac:dyDescent="0.3">
      <c r="A3867" s="4"/>
      <c r="B3867" s="303"/>
      <c r="C3867" s="304"/>
      <c r="D3867" s="18"/>
    </row>
    <row r="3868" spans="1:4" ht="15.75" customHeight="1" thickBot="1" x14ac:dyDescent="0.3">
      <c r="A3868" s="4"/>
      <c r="B3868" s="303"/>
      <c r="C3868" s="304"/>
      <c r="D3868" s="18"/>
    </row>
    <row r="3869" spans="1:4" ht="15.75" customHeight="1" thickBot="1" x14ac:dyDescent="0.3">
      <c r="A3869" s="4"/>
      <c r="B3869" s="303"/>
      <c r="C3869" s="304"/>
      <c r="D3869" s="18"/>
    </row>
    <row r="3870" spans="1:4" ht="15.75" customHeight="1" thickBot="1" x14ac:dyDescent="0.3">
      <c r="A3870" s="4"/>
      <c r="B3870" s="303"/>
      <c r="C3870" s="304"/>
      <c r="D3870" s="18"/>
    </row>
    <row r="3871" spans="1:4" ht="15.75" customHeight="1" thickBot="1" x14ac:dyDescent="0.3">
      <c r="A3871" s="4"/>
      <c r="B3871" s="303"/>
      <c r="C3871" s="304"/>
      <c r="D3871" s="18"/>
    </row>
    <row r="3872" spans="1:4" ht="15.75" customHeight="1" thickBot="1" x14ac:dyDescent="0.3">
      <c r="A3872" s="4"/>
      <c r="B3872" s="303"/>
      <c r="C3872" s="304"/>
      <c r="D3872" s="18"/>
    </row>
    <row r="3873" spans="1:4" ht="15.75" customHeight="1" thickBot="1" x14ac:dyDescent="0.3">
      <c r="A3873" s="4"/>
      <c r="B3873" s="303"/>
      <c r="C3873" s="304"/>
      <c r="D3873" s="18"/>
    </row>
    <row r="3874" spans="1:4" ht="15.75" customHeight="1" thickBot="1" x14ac:dyDescent="0.3">
      <c r="A3874" s="4"/>
      <c r="B3874" s="303"/>
      <c r="C3874" s="304"/>
      <c r="D3874" s="18"/>
    </row>
    <row r="3875" spans="1:4" ht="15.75" customHeight="1" thickBot="1" x14ac:dyDescent="0.3">
      <c r="A3875" s="2"/>
      <c r="B3875" s="3"/>
      <c r="C3875" s="2"/>
      <c r="D3875" s="1"/>
    </row>
    <row r="3876" spans="1:4" ht="15.75" customHeight="1" thickBot="1" x14ac:dyDescent="0.3">
      <c r="A3876" s="300"/>
      <c r="B3876" s="301"/>
      <c r="C3876" s="301"/>
      <c r="D3876" s="302"/>
    </row>
    <row r="3877" spans="1:4" ht="15.75" customHeight="1" x14ac:dyDescent="0.25">
      <c r="A3877" s="5"/>
      <c r="B3877" s="6"/>
      <c r="C3877" s="7"/>
      <c r="D3877" s="8"/>
    </row>
    <row r="3878" spans="1:4" ht="15.75" customHeight="1" thickBot="1" x14ac:dyDescent="0.3">
      <c r="A3878" s="9"/>
      <c r="B3878" s="10"/>
      <c r="C3878" s="10"/>
      <c r="D3878" s="11"/>
    </row>
    <row r="3879" spans="1:4" ht="15.75" customHeight="1" thickBot="1" x14ac:dyDescent="0.3">
      <c r="A3879" s="15"/>
      <c r="B3879" s="16"/>
      <c r="C3879" s="21"/>
      <c r="D3879" s="16"/>
    </row>
    <row r="3880" spans="1:4" ht="15.75" customHeight="1" thickBot="1" x14ac:dyDescent="0.3">
      <c r="A3880" s="12"/>
      <c r="B3880" s="305"/>
      <c r="C3880" s="306"/>
      <c r="D3880" s="54"/>
    </row>
    <row r="3881" spans="1:4" ht="15.75" customHeight="1" thickBot="1" x14ac:dyDescent="0.3">
      <c r="A3881" s="38"/>
      <c r="B3881" s="45"/>
      <c r="C3881" s="45"/>
      <c r="D3881" s="45"/>
    </row>
    <row r="3882" spans="1:4" ht="15.75" customHeight="1" thickBot="1" x14ac:dyDescent="0.3">
      <c r="A3882" s="19"/>
      <c r="B3882" s="20"/>
      <c r="C3882" s="50"/>
      <c r="D3882" s="51"/>
    </row>
    <row r="3883" spans="1:4" ht="15.75" customHeight="1" thickBot="1" x14ac:dyDescent="0.3">
      <c r="A3883" s="19"/>
      <c r="B3883" s="20"/>
      <c r="C3883" s="52"/>
      <c r="D3883" s="53"/>
    </row>
    <row r="3884" spans="1:4" ht="15.75" customHeight="1" thickBot="1" x14ac:dyDescent="0.3">
      <c r="A3884" s="19"/>
      <c r="B3884" s="20"/>
      <c r="C3884" s="13"/>
      <c r="D3884" s="14"/>
    </row>
    <row r="3885" spans="1:4" ht="15.75" customHeight="1" thickBot="1" x14ac:dyDescent="0.3">
      <c r="A3885" s="2"/>
      <c r="B3885" s="3"/>
      <c r="C3885" s="2"/>
      <c r="D3885" s="1"/>
    </row>
    <row r="3886" spans="1:4" ht="15.75" customHeight="1" thickBot="1" x14ac:dyDescent="0.3">
      <c r="A3886" s="4"/>
      <c r="B3886" s="303"/>
      <c r="C3886" s="304"/>
      <c r="D3886" s="4"/>
    </row>
    <row r="3887" spans="1:4" ht="15.75" customHeight="1" thickBot="1" x14ac:dyDescent="0.3">
      <c r="A3887" s="4"/>
      <c r="B3887" s="303"/>
      <c r="C3887" s="304"/>
      <c r="D3887" s="18"/>
    </row>
    <row r="3888" spans="1:4" ht="15.75" customHeight="1" thickBot="1" x14ac:dyDescent="0.3">
      <c r="A3888" s="4"/>
      <c r="B3888" s="303"/>
      <c r="C3888" s="304"/>
      <c r="D3888" s="18"/>
    </row>
    <row r="3889" spans="1:4" ht="15.75" customHeight="1" thickBot="1" x14ac:dyDescent="0.3">
      <c r="A3889" s="4"/>
      <c r="B3889" s="303"/>
      <c r="C3889" s="304"/>
      <c r="D3889" s="18"/>
    </row>
    <row r="3890" spans="1:4" ht="15.75" customHeight="1" thickBot="1" x14ac:dyDescent="0.3">
      <c r="A3890" s="4"/>
      <c r="B3890" s="303"/>
      <c r="C3890" s="304"/>
      <c r="D3890" s="18"/>
    </row>
    <row r="3891" spans="1:4" ht="15.75" customHeight="1" thickBot="1" x14ac:dyDescent="0.3">
      <c r="A3891" s="4"/>
      <c r="B3891" s="303"/>
      <c r="C3891" s="304"/>
      <c r="D3891" s="18"/>
    </row>
    <row r="3892" spans="1:4" ht="15.75" customHeight="1" thickBot="1" x14ac:dyDescent="0.3">
      <c r="A3892" s="4"/>
      <c r="B3892" s="303"/>
      <c r="C3892" s="304"/>
      <c r="D3892" s="18"/>
    </row>
    <row r="3893" spans="1:4" ht="15.75" customHeight="1" thickBot="1" x14ac:dyDescent="0.3">
      <c r="A3893" s="4"/>
      <c r="B3893" s="303"/>
      <c r="C3893" s="304"/>
      <c r="D3893" s="18"/>
    </row>
    <row r="3894" spans="1:4" ht="15.75" customHeight="1" thickBot="1" x14ac:dyDescent="0.3">
      <c r="A3894" s="4"/>
      <c r="B3894" s="303"/>
      <c r="C3894" s="304"/>
      <c r="D3894" s="18"/>
    </row>
    <row r="3895" spans="1:4" ht="15.75" customHeight="1" thickBot="1" x14ac:dyDescent="0.3">
      <c r="A3895" s="2"/>
      <c r="B3895" s="3"/>
      <c r="C3895" s="2"/>
      <c r="D3895" s="1"/>
    </row>
    <row r="3896" spans="1:4" ht="15.75" customHeight="1" thickBot="1" x14ac:dyDescent="0.3">
      <c r="A3896" s="300"/>
      <c r="B3896" s="301"/>
      <c r="C3896" s="301"/>
      <c r="D3896" s="302"/>
    </row>
    <row r="3897" spans="1:4" ht="15.75" customHeight="1" x14ac:dyDescent="0.25">
      <c r="A3897" s="5"/>
      <c r="B3897" s="6"/>
      <c r="C3897" s="7"/>
      <c r="D3897" s="8"/>
    </row>
    <row r="3898" spans="1:4" ht="15.75" customHeight="1" thickBot="1" x14ac:dyDescent="0.3">
      <c r="A3898" s="9"/>
      <c r="B3898" s="10"/>
      <c r="C3898" s="10"/>
      <c r="D3898" s="11"/>
    </row>
    <row r="3899" spans="1:4" ht="15.75" customHeight="1" thickBot="1" x14ac:dyDescent="0.3">
      <c r="A3899" s="15"/>
      <c r="B3899" s="16"/>
      <c r="C3899" s="21"/>
      <c r="D3899" s="16"/>
    </row>
    <row r="3900" spans="1:4" ht="15.75" customHeight="1" thickBot="1" x14ac:dyDescent="0.3">
      <c r="A3900" s="12"/>
      <c r="B3900" s="305"/>
      <c r="C3900" s="306"/>
      <c r="D3900" s="54"/>
    </row>
    <row r="3901" spans="1:4" ht="15.75" customHeight="1" thickBot="1" x14ac:dyDescent="0.3">
      <c r="A3901" s="38"/>
      <c r="B3901" s="45"/>
      <c r="C3901" s="45"/>
      <c r="D3901" s="45"/>
    </row>
    <row r="3902" spans="1:4" ht="15.75" customHeight="1" thickBot="1" x14ac:dyDescent="0.3">
      <c r="A3902" s="19"/>
      <c r="B3902" s="20"/>
      <c r="C3902" s="50"/>
      <c r="D3902" s="51"/>
    </row>
    <row r="3903" spans="1:4" ht="15.75" customHeight="1" thickBot="1" x14ac:dyDescent="0.3">
      <c r="A3903" s="19"/>
      <c r="B3903" s="20"/>
      <c r="C3903" s="52"/>
      <c r="D3903" s="53"/>
    </row>
    <row r="3904" spans="1:4" ht="15.75" customHeight="1" thickBot="1" x14ac:dyDescent="0.3">
      <c r="A3904" s="19"/>
      <c r="B3904" s="20"/>
      <c r="C3904" s="13"/>
      <c r="D3904" s="14"/>
    </row>
    <row r="3905" spans="1:4" ht="15.75" customHeight="1" thickBot="1" x14ac:dyDescent="0.3">
      <c r="A3905" s="2"/>
      <c r="B3905" s="3"/>
      <c r="C3905" s="2"/>
      <c r="D3905" s="1"/>
    </row>
    <row r="3906" spans="1:4" ht="15.75" customHeight="1" thickBot="1" x14ac:dyDescent="0.3">
      <c r="A3906" s="4"/>
      <c r="B3906" s="303"/>
      <c r="C3906" s="304"/>
      <c r="D3906" s="4"/>
    </row>
    <row r="3907" spans="1:4" ht="15.75" customHeight="1" thickBot="1" x14ac:dyDescent="0.3">
      <c r="A3907" s="4"/>
      <c r="B3907" s="303"/>
      <c r="C3907" s="304"/>
      <c r="D3907" s="18"/>
    </row>
    <row r="3908" spans="1:4" ht="15.75" customHeight="1" thickBot="1" x14ac:dyDescent="0.3">
      <c r="A3908" s="4"/>
      <c r="B3908" s="303"/>
      <c r="C3908" s="304"/>
      <c r="D3908" s="18"/>
    </row>
    <row r="3909" spans="1:4" ht="15.75" customHeight="1" thickBot="1" x14ac:dyDescent="0.3">
      <c r="A3909" s="4"/>
      <c r="B3909" s="303"/>
      <c r="C3909" s="304"/>
      <c r="D3909" s="18"/>
    </row>
    <row r="3910" spans="1:4" ht="15.75" customHeight="1" thickBot="1" x14ac:dyDescent="0.3">
      <c r="A3910" s="4"/>
      <c r="B3910" s="303"/>
      <c r="C3910" s="304"/>
      <c r="D3910" s="18"/>
    </row>
    <row r="3911" spans="1:4" ht="15.75" customHeight="1" thickBot="1" x14ac:dyDescent="0.3">
      <c r="A3911" s="4"/>
      <c r="B3911" s="303"/>
      <c r="C3911" s="304"/>
      <c r="D3911" s="18"/>
    </row>
    <row r="3912" spans="1:4" ht="15.75" customHeight="1" thickBot="1" x14ac:dyDescent="0.3">
      <c r="A3912" s="4"/>
      <c r="B3912" s="303"/>
      <c r="C3912" s="304"/>
      <c r="D3912" s="18"/>
    </row>
    <row r="3913" spans="1:4" ht="15.75" customHeight="1" thickBot="1" x14ac:dyDescent="0.3">
      <c r="A3913" s="4"/>
      <c r="B3913" s="303"/>
      <c r="C3913" s="304"/>
      <c r="D3913" s="18"/>
    </row>
    <row r="3914" spans="1:4" ht="15.75" customHeight="1" thickBot="1" x14ac:dyDescent="0.3">
      <c r="A3914" s="4"/>
      <c r="B3914" s="303"/>
      <c r="C3914" s="304"/>
      <c r="D3914" s="18"/>
    </row>
    <row r="3915" spans="1:4" ht="15.75" customHeight="1" thickBot="1" x14ac:dyDescent="0.3">
      <c r="A3915" s="2"/>
      <c r="B3915" s="3"/>
      <c r="C3915" s="2"/>
      <c r="D3915" s="1"/>
    </row>
    <row r="3916" spans="1:4" ht="15.75" customHeight="1" thickBot="1" x14ac:dyDescent="0.3">
      <c r="A3916" s="300"/>
      <c r="B3916" s="301"/>
      <c r="C3916" s="301"/>
      <c r="D3916" s="302"/>
    </row>
    <row r="3917" spans="1:4" ht="15.75" customHeight="1" x14ac:dyDescent="0.25">
      <c r="A3917" s="5"/>
      <c r="B3917" s="6"/>
      <c r="C3917" s="7"/>
      <c r="D3917" s="8"/>
    </row>
    <row r="3918" spans="1:4" ht="15.75" customHeight="1" thickBot="1" x14ac:dyDescent="0.3">
      <c r="A3918" s="9"/>
      <c r="B3918" s="10"/>
      <c r="C3918" s="10"/>
      <c r="D3918" s="11"/>
    </row>
    <row r="3919" spans="1:4" ht="15.75" customHeight="1" x14ac:dyDescent="0.25"/>
    <row r="3920" spans="1:4" ht="15.75" customHeight="1" x14ac:dyDescent="0.25">
      <c r="B3920" s="90"/>
      <c r="D3920" s="90"/>
    </row>
    <row r="3921" spans="3:4" ht="15.75" customHeight="1" x14ac:dyDescent="0.25"/>
    <row r="3922" spans="3:4" ht="15.75" customHeight="1" x14ac:dyDescent="0.25">
      <c r="C3922" s="90"/>
      <c r="D3922" s="90"/>
    </row>
    <row r="3923" spans="3:4" ht="15.75" customHeight="1" x14ac:dyDescent="0.25"/>
    <row r="3924" spans="3:4" ht="15.75" customHeight="1" x14ac:dyDescent="0.25"/>
    <row r="3925" spans="3:4" ht="15.75" customHeight="1" x14ac:dyDescent="0.25"/>
    <row r="3926" spans="3:4" ht="15.75" customHeight="1" x14ac:dyDescent="0.25"/>
    <row r="3927" spans="3:4" ht="15.75" customHeight="1" x14ac:dyDescent="0.25"/>
    <row r="3928" spans="3:4" ht="15.75" customHeight="1" x14ac:dyDescent="0.25"/>
    <row r="3929" spans="3:4" ht="15.75" customHeight="1" x14ac:dyDescent="0.25"/>
    <row r="3930" spans="3:4" ht="15.75" customHeight="1" x14ac:dyDescent="0.25"/>
    <row r="3931" spans="3:4" ht="15.75" customHeight="1" x14ac:dyDescent="0.25"/>
    <row r="3932" spans="3:4" ht="15.75" customHeight="1" x14ac:dyDescent="0.25"/>
    <row r="3933" spans="3:4" ht="15.75" customHeight="1" x14ac:dyDescent="0.25"/>
    <row r="3934" spans="3:4" ht="15.75" customHeight="1" x14ac:dyDescent="0.25"/>
    <row r="3935" spans="3:4" ht="15.75" customHeight="1" x14ac:dyDescent="0.25"/>
    <row r="3936" spans="3:4" ht="15.75" customHeight="1" x14ac:dyDescent="0.25"/>
    <row r="3937" spans="2:4" ht="15.75" customHeight="1" x14ac:dyDescent="0.25"/>
    <row r="3938" spans="2:4" ht="15.75" customHeight="1" x14ac:dyDescent="0.25"/>
    <row r="3939" spans="2:4" ht="15.75" customHeight="1" x14ac:dyDescent="0.25"/>
    <row r="3940" spans="2:4" ht="15.75" customHeight="1" x14ac:dyDescent="0.25">
      <c r="B3940" s="90"/>
      <c r="D3940" s="90"/>
    </row>
    <row r="3941" spans="2:4" ht="15.75" customHeight="1" x14ac:dyDescent="0.25"/>
    <row r="3942" spans="2:4" ht="15.75" customHeight="1" x14ac:dyDescent="0.25">
      <c r="C3942" s="90"/>
      <c r="D3942" s="90"/>
    </row>
    <row r="3943" spans="2:4" ht="15.75" customHeight="1" x14ac:dyDescent="0.25"/>
    <row r="3944" spans="2:4" ht="15.75" customHeight="1" x14ac:dyDescent="0.25"/>
    <row r="3945" spans="2:4" ht="15.75" customHeight="1" x14ac:dyDescent="0.25"/>
    <row r="3946" spans="2:4" ht="15.75" customHeight="1" x14ac:dyDescent="0.25"/>
    <row r="3947" spans="2:4" ht="15.75" customHeight="1" x14ac:dyDescent="0.25"/>
    <row r="3948" spans="2:4" ht="15.75" customHeight="1" x14ac:dyDescent="0.25"/>
    <row r="3949" spans="2:4" ht="15.75" customHeight="1" x14ac:dyDescent="0.25"/>
    <row r="3950" spans="2:4" ht="15.75" customHeight="1" x14ac:dyDescent="0.25"/>
    <row r="3951" spans="2:4" ht="15.75" customHeight="1" x14ac:dyDescent="0.25"/>
    <row r="3952" spans="2:4" ht="15.75" customHeight="1" x14ac:dyDescent="0.25"/>
    <row r="3953" spans="2:4" ht="15.75" customHeight="1" x14ac:dyDescent="0.25"/>
    <row r="3954" spans="2:4" ht="15.75" customHeight="1" x14ac:dyDescent="0.25"/>
    <row r="3955" spans="2:4" ht="15.75" customHeight="1" x14ac:dyDescent="0.25"/>
    <row r="3956" spans="2:4" ht="15.75" customHeight="1" x14ac:dyDescent="0.25"/>
    <row r="3957" spans="2:4" ht="15.75" customHeight="1" x14ac:dyDescent="0.25"/>
    <row r="3958" spans="2:4" ht="15.75" customHeight="1" x14ac:dyDescent="0.25"/>
    <row r="3959" spans="2:4" ht="15.75" customHeight="1" x14ac:dyDescent="0.25"/>
    <row r="3960" spans="2:4" ht="15.75" customHeight="1" x14ac:dyDescent="0.25">
      <c r="B3960" s="90"/>
      <c r="D3960" s="90"/>
    </row>
    <row r="3961" spans="2:4" ht="15.75" customHeight="1" x14ac:dyDescent="0.25"/>
    <row r="3962" spans="2:4" ht="15.75" customHeight="1" x14ac:dyDescent="0.25">
      <c r="C3962" s="90"/>
      <c r="D3962" s="90"/>
    </row>
    <row r="3963" spans="2:4" ht="15.75" customHeight="1" x14ac:dyDescent="0.25"/>
    <row r="3964" spans="2:4" ht="15.75" customHeight="1" x14ac:dyDescent="0.25"/>
    <row r="3965" spans="2:4" ht="15.75" customHeight="1" x14ac:dyDescent="0.25"/>
    <row r="3966" spans="2:4" ht="15.75" customHeight="1" x14ac:dyDescent="0.25"/>
    <row r="3967" spans="2:4" ht="15.75" customHeight="1" x14ac:dyDescent="0.25"/>
    <row r="3968" spans="2:4" ht="15.75" customHeight="1" x14ac:dyDescent="0.25"/>
    <row r="3969" spans="2:4" ht="15.75" customHeight="1" x14ac:dyDescent="0.25"/>
    <row r="3970" spans="2:4" ht="15.75" customHeight="1" x14ac:dyDescent="0.25"/>
    <row r="3971" spans="2:4" ht="15.75" customHeight="1" x14ac:dyDescent="0.25"/>
    <row r="3972" spans="2:4" ht="15.75" customHeight="1" x14ac:dyDescent="0.25"/>
    <row r="3973" spans="2:4" ht="15.75" customHeight="1" x14ac:dyDescent="0.25"/>
    <row r="3974" spans="2:4" ht="15.75" customHeight="1" x14ac:dyDescent="0.25"/>
    <row r="3975" spans="2:4" ht="15.75" customHeight="1" x14ac:dyDescent="0.25"/>
    <row r="3976" spans="2:4" ht="15.75" customHeight="1" x14ac:dyDescent="0.25"/>
    <row r="3977" spans="2:4" ht="15.75" customHeight="1" x14ac:dyDescent="0.25"/>
    <row r="3978" spans="2:4" ht="15.75" customHeight="1" x14ac:dyDescent="0.25"/>
    <row r="3979" spans="2:4" ht="15.75" customHeight="1" x14ac:dyDescent="0.25"/>
    <row r="3980" spans="2:4" ht="15.75" customHeight="1" x14ac:dyDescent="0.25">
      <c r="B3980" s="90"/>
      <c r="D3980" s="90"/>
    </row>
    <row r="3981" spans="2:4" ht="15.75" customHeight="1" x14ac:dyDescent="0.25"/>
    <row r="3982" spans="2:4" ht="15.75" customHeight="1" x14ac:dyDescent="0.25">
      <c r="C3982" s="90"/>
      <c r="D3982" s="90"/>
    </row>
    <row r="3983" spans="2:4" ht="15.75" customHeight="1" x14ac:dyDescent="0.25"/>
    <row r="3984" spans="2:4" ht="15.75" customHeight="1" x14ac:dyDescent="0.25"/>
    <row r="3985" spans="2:4" ht="15.75" customHeight="1" x14ac:dyDescent="0.25"/>
    <row r="3986" spans="2:4" ht="15.75" customHeight="1" x14ac:dyDescent="0.25"/>
    <row r="3987" spans="2:4" ht="15.75" customHeight="1" x14ac:dyDescent="0.25"/>
    <row r="3988" spans="2:4" ht="15.75" customHeight="1" x14ac:dyDescent="0.25"/>
    <row r="3989" spans="2:4" ht="15.75" customHeight="1" x14ac:dyDescent="0.25"/>
    <row r="3990" spans="2:4" ht="15.75" customHeight="1" x14ac:dyDescent="0.25"/>
    <row r="3991" spans="2:4" ht="15.75" customHeight="1" x14ac:dyDescent="0.25"/>
    <row r="3992" spans="2:4" ht="15.75" customHeight="1" x14ac:dyDescent="0.25"/>
    <row r="3993" spans="2:4" ht="15.75" customHeight="1" x14ac:dyDescent="0.25"/>
    <row r="3994" spans="2:4" ht="15.75" customHeight="1" x14ac:dyDescent="0.25"/>
    <row r="3995" spans="2:4" ht="15.75" customHeight="1" x14ac:dyDescent="0.25"/>
    <row r="3996" spans="2:4" ht="15.75" customHeight="1" x14ac:dyDescent="0.25"/>
    <row r="3997" spans="2:4" ht="15.75" customHeight="1" x14ac:dyDescent="0.25"/>
    <row r="3998" spans="2:4" ht="15.75" customHeight="1" x14ac:dyDescent="0.25"/>
    <row r="3999" spans="2:4" ht="15.75" customHeight="1" x14ac:dyDescent="0.25"/>
    <row r="4000" spans="2:4" ht="15.75" customHeight="1" x14ac:dyDescent="0.25">
      <c r="B4000" s="90"/>
      <c r="D4000" s="90"/>
    </row>
    <row r="4001" spans="3:4" ht="15.75" customHeight="1" x14ac:dyDescent="0.25"/>
    <row r="4002" spans="3:4" ht="15.75" customHeight="1" x14ac:dyDescent="0.25">
      <c r="C4002" s="90"/>
      <c r="D4002" s="90"/>
    </row>
    <row r="4003" spans="3:4" ht="15.75" customHeight="1" x14ac:dyDescent="0.25"/>
    <row r="4004" spans="3:4" ht="15.75" customHeight="1" x14ac:dyDescent="0.25"/>
    <row r="4005" spans="3:4" ht="15.75" customHeight="1" x14ac:dyDescent="0.25"/>
    <row r="4006" spans="3:4" ht="15.75" customHeight="1" x14ac:dyDescent="0.25"/>
    <row r="4007" spans="3:4" ht="15.75" customHeight="1" x14ac:dyDescent="0.25"/>
    <row r="4008" spans="3:4" ht="15.75" customHeight="1" x14ac:dyDescent="0.25"/>
    <row r="4009" spans="3:4" ht="15.75" customHeight="1" x14ac:dyDescent="0.25"/>
    <row r="4010" spans="3:4" ht="15.75" customHeight="1" x14ac:dyDescent="0.25"/>
    <row r="4011" spans="3:4" ht="15.75" customHeight="1" x14ac:dyDescent="0.25"/>
    <row r="4012" spans="3:4" ht="15.75" customHeight="1" x14ac:dyDescent="0.25"/>
    <row r="4013" spans="3:4" ht="15.75" customHeight="1" x14ac:dyDescent="0.25"/>
    <row r="4014" spans="3:4" ht="15.75" customHeight="1" x14ac:dyDescent="0.25"/>
    <row r="4015" spans="3:4" ht="15.75" customHeight="1" x14ac:dyDescent="0.25"/>
    <row r="4016" spans="3:4" ht="15.75" customHeight="1" x14ac:dyDescent="0.25"/>
    <row r="4017" spans="2:4" ht="15.75" customHeight="1" x14ac:dyDescent="0.25"/>
    <row r="4018" spans="2:4" ht="15.75" customHeight="1" x14ac:dyDescent="0.25"/>
    <row r="4019" spans="2:4" ht="15.75" customHeight="1" x14ac:dyDescent="0.25"/>
    <row r="4020" spans="2:4" ht="15.75" customHeight="1" x14ac:dyDescent="0.25">
      <c r="B4020" s="90"/>
      <c r="D4020" s="90"/>
    </row>
    <row r="4021" spans="2:4" ht="15.75" customHeight="1" x14ac:dyDescent="0.25"/>
    <row r="4022" spans="2:4" ht="15.75" customHeight="1" x14ac:dyDescent="0.25">
      <c r="C4022" s="90"/>
      <c r="D4022" s="90"/>
    </row>
    <row r="4023" spans="2:4" ht="15.75" customHeight="1" x14ac:dyDescent="0.25"/>
    <row r="4024" spans="2:4" ht="15.75" customHeight="1" x14ac:dyDescent="0.25"/>
    <row r="4025" spans="2:4" ht="15.75" customHeight="1" x14ac:dyDescent="0.25"/>
    <row r="4026" spans="2:4" ht="15.75" customHeight="1" x14ac:dyDescent="0.25"/>
    <row r="4027" spans="2:4" ht="15.75" customHeight="1" x14ac:dyDescent="0.25"/>
    <row r="4028" spans="2:4" ht="15.75" customHeight="1" x14ac:dyDescent="0.25"/>
    <row r="4029" spans="2:4" ht="15.75" customHeight="1" x14ac:dyDescent="0.25"/>
    <row r="4030" spans="2:4" ht="15.75" customHeight="1" x14ac:dyDescent="0.25"/>
    <row r="4031" spans="2:4" ht="15.75" customHeight="1" x14ac:dyDescent="0.25"/>
    <row r="4032" spans="2:4" ht="15.75" customHeight="1" x14ac:dyDescent="0.25"/>
    <row r="4033" spans="2:4" ht="15.75" customHeight="1" x14ac:dyDescent="0.25"/>
    <row r="4034" spans="2:4" ht="15.75" customHeight="1" x14ac:dyDescent="0.25"/>
    <row r="4035" spans="2:4" ht="15.75" customHeight="1" x14ac:dyDescent="0.25"/>
    <row r="4036" spans="2:4" ht="15.75" customHeight="1" x14ac:dyDescent="0.25"/>
    <row r="4037" spans="2:4" ht="15.75" customHeight="1" x14ac:dyDescent="0.25"/>
    <row r="4038" spans="2:4" ht="15.75" customHeight="1" x14ac:dyDescent="0.25"/>
    <row r="4039" spans="2:4" ht="15.75" customHeight="1" x14ac:dyDescent="0.25"/>
    <row r="4040" spans="2:4" ht="15.75" customHeight="1" x14ac:dyDescent="0.25">
      <c r="B4040" s="90"/>
      <c r="D4040" s="90"/>
    </row>
    <row r="4041" spans="2:4" ht="15.75" customHeight="1" x14ac:dyDescent="0.25"/>
    <row r="4042" spans="2:4" ht="15.75" customHeight="1" x14ac:dyDescent="0.25">
      <c r="C4042" s="90"/>
      <c r="D4042" s="90"/>
    </row>
    <row r="4043" spans="2:4" ht="15.75" customHeight="1" x14ac:dyDescent="0.25"/>
    <row r="4044" spans="2:4" ht="15.75" customHeight="1" x14ac:dyDescent="0.25"/>
    <row r="4045" spans="2:4" ht="15.75" customHeight="1" x14ac:dyDescent="0.25"/>
    <row r="4046" spans="2:4" ht="15.75" customHeight="1" x14ac:dyDescent="0.25"/>
    <row r="4047" spans="2:4" ht="15.75" customHeight="1" x14ac:dyDescent="0.25"/>
    <row r="4048" spans="2:4" ht="15.75" customHeight="1" x14ac:dyDescent="0.25"/>
    <row r="4049" spans="2:4" ht="15.75" customHeight="1" x14ac:dyDescent="0.25"/>
    <row r="4050" spans="2:4" ht="15.75" customHeight="1" x14ac:dyDescent="0.25"/>
    <row r="4051" spans="2:4" ht="15.75" customHeight="1" x14ac:dyDescent="0.25"/>
    <row r="4052" spans="2:4" ht="15.75" customHeight="1" x14ac:dyDescent="0.25"/>
    <row r="4053" spans="2:4" ht="15.75" customHeight="1" x14ac:dyDescent="0.25"/>
    <row r="4054" spans="2:4" ht="15.75" customHeight="1" x14ac:dyDescent="0.25"/>
    <row r="4055" spans="2:4" ht="15.75" customHeight="1" x14ac:dyDescent="0.25"/>
    <row r="4056" spans="2:4" ht="15.75" customHeight="1" x14ac:dyDescent="0.25"/>
    <row r="4057" spans="2:4" ht="15.75" customHeight="1" x14ac:dyDescent="0.25"/>
    <row r="4058" spans="2:4" ht="15.75" customHeight="1" x14ac:dyDescent="0.25"/>
    <row r="4059" spans="2:4" ht="15.75" customHeight="1" x14ac:dyDescent="0.25"/>
    <row r="4060" spans="2:4" ht="15.75" customHeight="1" x14ac:dyDescent="0.25">
      <c r="B4060" s="90"/>
      <c r="D4060" s="90"/>
    </row>
    <row r="4061" spans="2:4" ht="15.75" customHeight="1" x14ac:dyDescent="0.25"/>
    <row r="4062" spans="2:4" ht="15.75" customHeight="1" x14ac:dyDescent="0.25">
      <c r="C4062" s="90"/>
      <c r="D4062" s="90"/>
    </row>
    <row r="4063" spans="2:4" ht="15.75" customHeight="1" x14ac:dyDescent="0.25"/>
    <row r="4064" spans="2:4" ht="15.75" customHeight="1" x14ac:dyDescent="0.25"/>
    <row r="4065" spans="2:4" ht="15.75" customHeight="1" x14ac:dyDescent="0.25"/>
    <row r="4066" spans="2:4" ht="15.75" customHeight="1" x14ac:dyDescent="0.25"/>
    <row r="4067" spans="2:4" ht="15.75" customHeight="1" x14ac:dyDescent="0.25"/>
    <row r="4068" spans="2:4" ht="15.75" customHeight="1" x14ac:dyDescent="0.25"/>
    <row r="4069" spans="2:4" ht="15.75" customHeight="1" x14ac:dyDescent="0.25"/>
    <row r="4070" spans="2:4" ht="15.75" customHeight="1" x14ac:dyDescent="0.25"/>
    <row r="4071" spans="2:4" ht="15.75" customHeight="1" x14ac:dyDescent="0.25"/>
    <row r="4072" spans="2:4" ht="15.75" customHeight="1" x14ac:dyDescent="0.25"/>
    <row r="4073" spans="2:4" ht="15.75" customHeight="1" x14ac:dyDescent="0.25"/>
    <row r="4074" spans="2:4" ht="15.75" customHeight="1" x14ac:dyDescent="0.25"/>
    <row r="4075" spans="2:4" ht="15.75" customHeight="1" x14ac:dyDescent="0.25"/>
    <row r="4076" spans="2:4" ht="15.75" customHeight="1" x14ac:dyDescent="0.25"/>
    <row r="4077" spans="2:4" ht="15.75" customHeight="1" x14ac:dyDescent="0.25"/>
    <row r="4078" spans="2:4" ht="15.75" customHeight="1" x14ac:dyDescent="0.25"/>
    <row r="4079" spans="2:4" ht="15.75" customHeight="1" x14ac:dyDescent="0.25"/>
    <row r="4080" spans="2:4" ht="15.75" customHeight="1" x14ac:dyDescent="0.25">
      <c r="B4080" s="90"/>
      <c r="D4080" s="90"/>
    </row>
    <row r="4081" spans="3:4" ht="15.75" customHeight="1" x14ac:dyDescent="0.25"/>
    <row r="4082" spans="3:4" ht="15.75" customHeight="1" x14ac:dyDescent="0.25">
      <c r="C4082" s="90"/>
      <c r="D4082" s="90"/>
    </row>
    <row r="4083" spans="3:4" ht="15.75" customHeight="1" x14ac:dyDescent="0.25"/>
    <row r="4084" spans="3:4" ht="15.75" customHeight="1" x14ac:dyDescent="0.25"/>
    <row r="4085" spans="3:4" ht="15.75" customHeight="1" x14ac:dyDescent="0.25"/>
    <row r="4086" spans="3:4" ht="15.75" customHeight="1" x14ac:dyDescent="0.25"/>
    <row r="4087" spans="3:4" ht="15.75" customHeight="1" x14ac:dyDescent="0.25"/>
    <row r="4088" spans="3:4" ht="15.75" customHeight="1" x14ac:dyDescent="0.25"/>
    <row r="4089" spans="3:4" ht="15.75" customHeight="1" x14ac:dyDescent="0.25"/>
    <row r="4090" spans="3:4" ht="15.75" customHeight="1" x14ac:dyDescent="0.25"/>
    <row r="4091" spans="3:4" ht="15.75" customHeight="1" x14ac:dyDescent="0.25"/>
    <row r="4092" spans="3:4" ht="15.75" customHeight="1" x14ac:dyDescent="0.25"/>
    <row r="4093" spans="3:4" ht="15.75" customHeight="1" x14ac:dyDescent="0.25"/>
    <row r="4094" spans="3:4" ht="15.75" customHeight="1" x14ac:dyDescent="0.25"/>
    <row r="4095" spans="3:4" ht="15.75" customHeight="1" x14ac:dyDescent="0.25"/>
    <row r="4096" spans="3:4" ht="15.75" customHeight="1" x14ac:dyDescent="0.25"/>
    <row r="4097" spans="2:4" ht="15.75" customHeight="1" x14ac:dyDescent="0.25"/>
    <row r="4098" spans="2:4" ht="15.75" customHeight="1" x14ac:dyDescent="0.25"/>
    <row r="4099" spans="2:4" ht="15.75" customHeight="1" x14ac:dyDescent="0.25"/>
    <row r="4100" spans="2:4" ht="15.75" customHeight="1" x14ac:dyDescent="0.25">
      <c r="B4100" s="90"/>
      <c r="D4100" s="90"/>
    </row>
    <row r="4101" spans="2:4" ht="15.75" customHeight="1" x14ac:dyDescent="0.25"/>
    <row r="4102" spans="2:4" ht="15.75" customHeight="1" x14ac:dyDescent="0.25">
      <c r="C4102" s="90"/>
      <c r="D4102" s="90"/>
    </row>
    <row r="4103" spans="2:4" ht="15.75" customHeight="1" x14ac:dyDescent="0.25"/>
    <row r="4104" spans="2:4" ht="15.75" customHeight="1" x14ac:dyDescent="0.25"/>
    <row r="4105" spans="2:4" ht="15.75" customHeight="1" x14ac:dyDescent="0.25"/>
    <row r="4106" spans="2:4" ht="15.75" customHeight="1" x14ac:dyDescent="0.25"/>
    <row r="4107" spans="2:4" ht="15.75" customHeight="1" x14ac:dyDescent="0.25"/>
    <row r="4108" spans="2:4" ht="15.75" customHeight="1" x14ac:dyDescent="0.25"/>
    <row r="4109" spans="2:4" ht="15.75" customHeight="1" x14ac:dyDescent="0.25"/>
    <row r="4110" spans="2:4" ht="15.75" customHeight="1" x14ac:dyDescent="0.25"/>
    <row r="4111" spans="2:4" ht="15.75" customHeight="1" x14ac:dyDescent="0.25"/>
    <row r="4112" spans="2:4" ht="15.75" customHeight="1" x14ac:dyDescent="0.25"/>
    <row r="4113" spans="2:4" ht="15.75" customHeight="1" x14ac:dyDescent="0.25"/>
    <row r="4114" spans="2:4" ht="15.75" customHeight="1" x14ac:dyDescent="0.25"/>
    <row r="4115" spans="2:4" ht="15.75" customHeight="1" x14ac:dyDescent="0.25"/>
    <row r="4116" spans="2:4" ht="15.75" customHeight="1" x14ac:dyDescent="0.25"/>
    <row r="4117" spans="2:4" ht="15.75" customHeight="1" x14ac:dyDescent="0.25"/>
    <row r="4118" spans="2:4" ht="15.75" customHeight="1" x14ac:dyDescent="0.25"/>
    <row r="4119" spans="2:4" ht="15.75" customHeight="1" x14ac:dyDescent="0.25"/>
    <row r="4120" spans="2:4" ht="15.75" customHeight="1" x14ac:dyDescent="0.25">
      <c r="B4120" s="90"/>
      <c r="D4120" s="90"/>
    </row>
    <row r="4121" spans="2:4" ht="15.75" customHeight="1" x14ac:dyDescent="0.25"/>
    <row r="4122" spans="2:4" ht="15.75" customHeight="1" x14ac:dyDescent="0.25">
      <c r="C4122" s="90"/>
      <c r="D4122" s="90"/>
    </row>
    <row r="4123" spans="2:4" ht="15.75" customHeight="1" x14ac:dyDescent="0.25"/>
    <row r="4124" spans="2:4" ht="15.75" customHeight="1" x14ac:dyDescent="0.25"/>
    <row r="4125" spans="2:4" ht="15.75" customHeight="1" x14ac:dyDescent="0.25"/>
    <row r="4126" spans="2:4" ht="15.75" customHeight="1" x14ac:dyDescent="0.25"/>
    <row r="4127" spans="2:4" ht="15.75" customHeight="1" x14ac:dyDescent="0.25"/>
    <row r="4128" spans="2:4" ht="15.75" customHeight="1" x14ac:dyDescent="0.25"/>
    <row r="4129" spans="2:4" ht="15.75" customHeight="1" x14ac:dyDescent="0.25"/>
    <row r="4130" spans="2:4" ht="15.75" customHeight="1" x14ac:dyDescent="0.25"/>
    <row r="4131" spans="2:4" ht="15.75" customHeight="1" x14ac:dyDescent="0.25"/>
    <row r="4132" spans="2:4" ht="15.75" customHeight="1" x14ac:dyDescent="0.25"/>
    <row r="4133" spans="2:4" ht="15.75" customHeight="1" x14ac:dyDescent="0.25"/>
    <row r="4134" spans="2:4" ht="15.75" customHeight="1" x14ac:dyDescent="0.25"/>
    <row r="4135" spans="2:4" ht="15.75" customHeight="1" x14ac:dyDescent="0.25"/>
    <row r="4136" spans="2:4" ht="15.75" customHeight="1" x14ac:dyDescent="0.25"/>
    <row r="4137" spans="2:4" ht="15.75" customHeight="1" x14ac:dyDescent="0.25"/>
    <row r="4138" spans="2:4" ht="15.75" customHeight="1" x14ac:dyDescent="0.25"/>
    <row r="4139" spans="2:4" ht="15.75" customHeight="1" x14ac:dyDescent="0.25"/>
    <row r="4140" spans="2:4" ht="15.75" customHeight="1" x14ac:dyDescent="0.25">
      <c r="B4140" s="90"/>
      <c r="D4140" s="90"/>
    </row>
    <row r="4141" spans="2:4" ht="15.75" customHeight="1" x14ac:dyDescent="0.25"/>
    <row r="4142" spans="2:4" ht="15.75" customHeight="1" x14ac:dyDescent="0.25">
      <c r="C4142" s="90"/>
      <c r="D4142" s="90"/>
    </row>
    <row r="4143" spans="2:4" ht="15.75" customHeight="1" x14ac:dyDescent="0.25"/>
    <row r="4144" spans="2:4" ht="15.75" customHeight="1" x14ac:dyDescent="0.25"/>
    <row r="4145" spans="2:4" ht="15.75" customHeight="1" x14ac:dyDescent="0.25"/>
    <row r="4146" spans="2:4" ht="15.75" customHeight="1" x14ac:dyDescent="0.25"/>
    <row r="4147" spans="2:4" ht="15.75" customHeight="1" x14ac:dyDescent="0.25"/>
    <row r="4148" spans="2:4" ht="15.75" customHeight="1" x14ac:dyDescent="0.25"/>
    <row r="4149" spans="2:4" ht="15.75" customHeight="1" x14ac:dyDescent="0.25"/>
    <row r="4150" spans="2:4" ht="15.75" customHeight="1" x14ac:dyDescent="0.25"/>
    <row r="4151" spans="2:4" ht="15.75" customHeight="1" x14ac:dyDescent="0.25"/>
    <row r="4152" spans="2:4" ht="15.75" customHeight="1" x14ac:dyDescent="0.25"/>
    <row r="4153" spans="2:4" ht="15.75" customHeight="1" x14ac:dyDescent="0.25"/>
    <row r="4154" spans="2:4" ht="15.75" customHeight="1" x14ac:dyDescent="0.25"/>
    <row r="4155" spans="2:4" ht="15.75" customHeight="1" x14ac:dyDescent="0.25"/>
    <row r="4156" spans="2:4" ht="15.75" customHeight="1" x14ac:dyDescent="0.25"/>
    <row r="4157" spans="2:4" ht="15.75" customHeight="1" x14ac:dyDescent="0.25"/>
    <row r="4158" spans="2:4" ht="15.75" customHeight="1" x14ac:dyDescent="0.25"/>
    <row r="4159" spans="2:4" ht="15.75" customHeight="1" x14ac:dyDescent="0.25"/>
    <row r="4160" spans="2:4" ht="15.75" customHeight="1" x14ac:dyDescent="0.25">
      <c r="B4160" s="90"/>
      <c r="D4160" s="90"/>
    </row>
    <row r="4161" spans="3:4" ht="15.75" customHeight="1" x14ac:dyDescent="0.25"/>
    <row r="4162" spans="3:4" ht="15.75" customHeight="1" x14ac:dyDescent="0.25">
      <c r="C4162" s="90"/>
      <c r="D4162" s="90"/>
    </row>
    <row r="4163" spans="3:4" ht="15.75" customHeight="1" x14ac:dyDescent="0.25"/>
    <row r="4164" spans="3:4" ht="15.75" customHeight="1" x14ac:dyDescent="0.25"/>
    <row r="4165" spans="3:4" ht="15.75" customHeight="1" x14ac:dyDescent="0.25"/>
    <row r="4166" spans="3:4" ht="15.75" customHeight="1" x14ac:dyDescent="0.25"/>
    <row r="4167" spans="3:4" ht="15.75" customHeight="1" x14ac:dyDescent="0.25"/>
    <row r="4168" spans="3:4" ht="15.75" customHeight="1" x14ac:dyDescent="0.25"/>
    <row r="4169" spans="3:4" ht="15.75" customHeight="1" x14ac:dyDescent="0.25"/>
    <row r="4170" spans="3:4" ht="15.75" customHeight="1" x14ac:dyDescent="0.25"/>
    <row r="4171" spans="3:4" ht="15.75" customHeight="1" x14ac:dyDescent="0.25"/>
    <row r="4172" spans="3:4" ht="15.75" customHeight="1" x14ac:dyDescent="0.25"/>
    <row r="4173" spans="3:4" ht="15.75" customHeight="1" x14ac:dyDescent="0.25"/>
    <row r="4174" spans="3:4" ht="15.75" customHeight="1" x14ac:dyDescent="0.25"/>
    <row r="4175" spans="3:4" ht="15.75" customHeight="1" x14ac:dyDescent="0.25"/>
    <row r="4176" spans="3:4" ht="15.75" customHeight="1" x14ac:dyDescent="0.25"/>
    <row r="4177" spans="2:4" ht="15.75" customHeight="1" x14ac:dyDescent="0.25"/>
    <row r="4178" spans="2:4" ht="15.75" customHeight="1" x14ac:dyDescent="0.25"/>
    <row r="4179" spans="2:4" ht="15.75" customHeight="1" x14ac:dyDescent="0.25"/>
    <row r="4180" spans="2:4" ht="15.75" customHeight="1" x14ac:dyDescent="0.25">
      <c r="B4180" s="90"/>
      <c r="D4180" s="90"/>
    </row>
    <row r="4181" spans="2:4" ht="15.75" customHeight="1" x14ac:dyDescent="0.25"/>
    <row r="4182" spans="2:4" ht="15.75" customHeight="1" x14ac:dyDescent="0.25">
      <c r="C4182" s="90"/>
      <c r="D4182" s="90"/>
    </row>
    <row r="4183" spans="2:4" ht="15.75" customHeight="1" x14ac:dyDescent="0.25"/>
    <row r="4184" spans="2:4" ht="15.75" customHeight="1" x14ac:dyDescent="0.25"/>
    <row r="4185" spans="2:4" ht="15.75" customHeight="1" x14ac:dyDescent="0.25"/>
    <row r="4186" spans="2:4" ht="15.75" customHeight="1" x14ac:dyDescent="0.25"/>
    <row r="4187" spans="2:4" ht="15.75" customHeight="1" x14ac:dyDescent="0.25"/>
    <row r="4188" spans="2:4" ht="15.75" customHeight="1" x14ac:dyDescent="0.25"/>
    <row r="4189" spans="2:4" ht="15.75" customHeight="1" x14ac:dyDescent="0.25"/>
    <row r="4190" spans="2:4" ht="15.75" customHeight="1" x14ac:dyDescent="0.25"/>
    <row r="4191" spans="2:4" ht="15.75" customHeight="1" x14ac:dyDescent="0.25"/>
    <row r="4192" spans="2:4" ht="15.75" customHeight="1" x14ac:dyDescent="0.25"/>
    <row r="4193" spans="2:4" ht="15.75" customHeight="1" x14ac:dyDescent="0.25"/>
    <row r="4194" spans="2:4" ht="15.75" customHeight="1" x14ac:dyDescent="0.25"/>
    <row r="4195" spans="2:4" ht="15.75" customHeight="1" x14ac:dyDescent="0.25"/>
    <row r="4196" spans="2:4" ht="15.75" customHeight="1" x14ac:dyDescent="0.25"/>
    <row r="4197" spans="2:4" ht="15.75" customHeight="1" x14ac:dyDescent="0.25"/>
    <row r="4198" spans="2:4" ht="15.75" customHeight="1" x14ac:dyDescent="0.25"/>
    <row r="4199" spans="2:4" ht="15.75" customHeight="1" x14ac:dyDescent="0.25"/>
    <row r="4200" spans="2:4" ht="15.75" customHeight="1" x14ac:dyDescent="0.25">
      <c r="B4200" s="90"/>
      <c r="D4200" s="90"/>
    </row>
    <row r="4201" spans="2:4" ht="15.75" customHeight="1" x14ac:dyDescent="0.25"/>
    <row r="4202" spans="2:4" ht="15.75" customHeight="1" x14ac:dyDescent="0.25">
      <c r="C4202" s="90"/>
      <c r="D4202" s="90"/>
    </row>
    <row r="4203" spans="2:4" ht="15.75" customHeight="1" x14ac:dyDescent="0.25"/>
    <row r="4204" spans="2:4" ht="15.75" customHeight="1" x14ac:dyDescent="0.25"/>
    <row r="4205" spans="2:4" ht="15.75" customHeight="1" x14ac:dyDescent="0.25"/>
    <row r="4206" spans="2:4" ht="15.75" customHeight="1" x14ac:dyDescent="0.25"/>
    <row r="4207" spans="2:4" ht="15.75" customHeight="1" x14ac:dyDescent="0.25"/>
    <row r="4208" spans="2:4" ht="15.75" customHeight="1" x14ac:dyDescent="0.25"/>
    <row r="4209" spans="2:4" ht="15.75" customHeight="1" x14ac:dyDescent="0.25"/>
    <row r="4210" spans="2:4" ht="15.75" customHeight="1" x14ac:dyDescent="0.25"/>
    <row r="4211" spans="2:4" ht="15.75" customHeight="1" x14ac:dyDescent="0.25"/>
    <row r="4212" spans="2:4" ht="15.75" customHeight="1" x14ac:dyDescent="0.25"/>
    <row r="4213" spans="2:4" ht="15.75" customHeight="1" x14ac:dyDescent="0.25"/>
    <row r="4214" spans="2:4" ht="15.75" customHeight="1" x14ac:dyDescent="0.25"/>
    <row r="4215" spans="2:4" ht="15.75" customHeight="1" x14ac:dyDescent="0.25"/>
    <row r="4216" spans="2:4" ht="15.75" customHeight="1" x14ac:dyDescent="0.25"/>
    <row r="4217" spans="2:4" ht="15.75" customHeight="1" x14ac:dyDescent="0.25"/>
    <row r="4218" spans="2:4" ht="15.75" customHeight="1" x14ac:dyDescent="0.25"/>
    <row r="4219" spans="2:4" ht="15.75" customHeight="1" x14ac:dyDescent="0.25"/>
    <row r="4220" spans="2:4" ht="15.75" customHeight="1" x14ac:dyDescent="0.25">
      <c r="B4220" s="90"/>
      <c r="D4220" s="90"/>
    </row>
    <row r="4221" spans="2:4" ht="15.75" customHeight="1" x14ac:dyDescent="0.25"/>
    <row r="4222" spans="2:4" ht="15.75" customHeight="1" x14ac:dyDescent="0.25">
      <c r="C4222" s="90"/>
      <c r="D4222" s="90"/>
    </row>
    <row r="4223" spans="2:4" ht="15.75" customHeight="1" x14ac:dyDescent="0.25"/>
    <row r="4224" spans="2:4" ht="15.75" customHeight="1" x14ac:dyDescent="0.25"/>
    <row r="4225" spans="2:4" ht="15.75" customHeight="1" x14ac:dyDescent="0.25"/>
    <row r="4226" spans="2:4" ht="15.75" customHeight="1" x14ac:dyDescent="0.25"/>
    <row r="4227" spans="2:4" ht="15.75" customHeight="1" x14ac:dyDescent="0.25"/>
    <row r="4228" spans="2:4" ht="15.75" customHeight="1" x14ac:dyDescent="0.25"/>
    <row r="4229" spans="2:4" ht="15.75" customHeight="1" x14ac:dyDescent="0.25"/>
    <row r="4230" spans="2:4" ht="15.75" customHeight="1" x14ac:dyDescent="0.25"/>
    <row r="4231" spans="2:4" ht="15.75" customHeight="1" x14ac:dyDescent="0.25"/>
    <row r="4232" spans="2:4" ht="15.75" customHeight="1" x14ac:dyDescent="0.25"/>
    <row r="4233" spans="2:4" ht="15.75" customHeight="1" x14ac:dyDescent="0.25"/>
    <row r="4234" spans="2:4" ht="15.75" customHeight="1" x14ac:dyDescent="0.25"/>
    <row r="4235" spans="2:4" ht="15.75" customHeight="1" x14ac:dyDescent="0.25"/>
    <row r="4236" spans="2:4" ht="15.75" customHeight="1" x14ac:dyDescent="0.25"/>
    <row r="4237" spans="2:4" ht="15.75" customHeight="1" x14ac:dyDescent="0.25"/>
    <row r="4238" spans="2:4" ht="15.75" customHeight="1" x14ac:dyDescent="0.25"/>
    <row r="4239" spans="2:4" ht="15.75" customHeight="1" x14ac:dyDescent="0.25"/>
    <row r="4240" spans="2:4" ht="15.75" customHeight="1" x14ac:dyDescent="0.25">
      <c r="B4240" s="90"/>
      <c r="D4240" s="90"/>
    </row>
    <row r="4241" spans="3:4" ht="15.75" customHeight="1" x14ac:dyDescent="0.25"/>
    <row r="4242" spans="3:4" ht="15.75" customHeight="1" x14ac:dyDescent="0.25">
      <c r="C4242" s="90"/>
      <c r="D4242" s="90"/>
    </row>
    <row r="4243" spans="3:4" ht="15.75" customHeight="1" x14ac:dyDescent="0.25"/>
    <row r="4244" spans="3:4" ht="15.75" customHeight="1" x14ac:dyDescent="0.25"/>
    <row r="4245" spans="3:4" ht="15.75" customHeight="1" x14ac:dyDescent="0.25"/>
    <row r="4246" spans="3:4" ht="15.75" customHeight="1" x14ac:dyDescent="0.25"/>
    <row r="4247" spans="3:4" ht="15.75" customHeight="1" x14ac:dyDescent="0.25"/>
    <row r="4248" spans="3:4" ht="15.75" customHeight="1" x14ac:dyDescent="0.25"/>
    <row r="4249" spans="3:4" ht="15.75" customHeight="1" x14ac:dyDescent="0.25"/>
    <row r="4250" spans="3:4" ht="15.75" customHeight="1" x14ac:dyDescent="0.25"/>
    <row r="4251" spans="3:4" ht="15.75" customHeight="1" x14ac:dyDescent="0.25"/>
    <row r="4252" spans="3:4" ht="15.75" customHeight="1" x14ac:dyDescent="0.25"/>
    <row r="4253" spans="3:4" ht="15.75" customHeight="1" x14ac:dyDescent="0.25"/>
    <row r="4254" spans="3:4" ht="15.75" customHeight="1" x14ac:dyDescent="0.25"/>
    <row r="4255" spans="3:4" ht="15.75" customHeight="1" x14ac:dyDescent="0.25"/>
    <row r="4256" spans="3:4" ht="15.75" customHeight="1" x14ac:dyDescent="0.25"/>
    <row r="4257" spans="2:4" ht="15.75" customHeight="1" x14ac:dyDescent="0.25"/>
    <row r="4258" spans="2:4" ht="15.75" customHeight="1" x14ac:dyDescent="0.25"/>
    <row r="4259" spans="2:4" ht="15.75" customHeight="1" x14ac:dyDescent="0.25"/>
    <row r="4260" spans="2:4" ht="15.75" customHeight="1" x14ac:dyDescent="0.25">
      <c r="B4260" s="90"/>
      <c r="D4260" s="90"/>
    </row>
    <row r="4261" spans="2:4" ht="15.75" customHeight="1" x14ac:dyDescent="0.25"/>
    <row r="4262" spans="2:4" ht="15.75" customHeight="1" x14ac:dyDescent="0.25">
      <c r="C4262" s="90"/>
      <c r="D4262" s="90"/>
    </row>
    <row r="4263" spans="2:4" ht="15.75" customHeight="1" x14ac:dyDescent="0.25"/>
    <row r="4264" spans="2:4" ht="15.75" customHeight="1" x14ac:dyDescent="0.25"/>
    <row r="4265" spans="2:4" ht="15.75" customHeight="1" x14ac:dyDescent="0.25"/>
    <row r="4266" spans="2:4" ht="15.75" customHeight="1" x14ac:dyDescent="0.25"/>
    <row r="4267" spans="2:4" ht="15.75" customHeight="1" x14ac:dyDescent="0.25"/>
    <row r="4268" spans="2:4" ht="15.75" customHeight="1" x14ac:dyDescent="0.25"/>
    <row r="4269" spans="2:4" ht="15.75" customHeight="1" x14ac:dyDescent="0.25"/>
    <row r="4270" spans="2:4" ht="15.75" customHeight="1" x14ac:dyDescent="0.25"/>
    <row r="4271" spans="2:4" ht="15.75" customHeight="1" x14ac:dyDescent="0.25"/>
    <row r="4272" spans="2:4" ht="15.75" customHeight="1" x14ac:dyDescent="0.25"/>
    <row r="4273" spans="2:4" ht="15.75" customHeight="1" x14ac:dyDescent="0.25"/>
    <row r="4274" spans="2:4" ht="15.75" customHeight="1" x14ac:dyDescent="0.25"/>
    <row r="4275" spans="2:4" ht="15.75" customHeight="1" x14ac:dyDescent="0.25"/>
    <row r="4276" spans="2:4" ht="15.75" customHeight="1" x14ac:dyDescent="0.25"/>
    <row r="4277" spans="2:4" ht="15.75" customHeight="1" x14ac:dyDescent="0.25"/>
    <row r="4278" spans="2:4" ht="15.75" customHeight="1" x14ac:dyDescent="0.25"/>
    <row r="4279" spans="2:4" ht="15.75" customHeight="1" x14ac:dyDescent="0.25"/>
    <row r="4280" spans="2:4" ht="15.75" customHeight="1" x14ac:dyDescent="0.25">
      <c r="B4280" s="90"/>
      <c r="D4280" s="90"/>
    </row>
    <row r="4281" spans="2:4" ht="15.75" customHeight="1" x14ac:dyDescent="0.25"/>
    <row r="4282" spans="2:4" ht="15.75" customHeight="1" x14ac:dyDescent="0.25">
      <c r="C4282" s="90"/>
      <c r="D4282" s="90"/>
    </row>
    <row r="4283" spans="2:4" ht="15.75" customHeight="1" x14ac:dyDescent="0.25"/>
    <row r="4284" spans="2:4" ht="15.75" customHeight="1" x14ac:dyDescent="0.25"/>
    <row r="4285" spans="2:4" ht="15.75" customHeight="1" x14ac:dyDescent="0.25"/>
    <row r="4286" spans="2:4" ht="15.75" customHeight="1" x14ac:dyDescent="0.25"/>
    <row r="4287" spans="2:4" ht="15.75" customHeight="1" x14ac:dyDescent="0.25"/>
    <row r="4288" spans="2:4" ht="15.75" customHeight="1" x14ac:dyDescent="0.25"/>
    <row r="4289" spans="2:4" ht="15.75" customHeight="1" x14ac:dyDescent="0.25"/>
    <row r="4290" spans="2:4" ht="15.75" customHeight="1" x14ac:dyDescent="0.25"/>
    <row r="4291" spans="2:4" ht="15.75" customHeight="1" x14ac:dyDescent="0.25"/>
    <row r="4292" spans="2:4" ht="15.75" customHeight="1" x14ac:dyDescent="0.25"/>
    <row r="4293" spans="2:4" ht="15.75" customHeight="1" x14ac:dyDescent="0.25"/>
    <row r="4294" spans="2:4" ht="15.75" customHeight="1" x14ac:dyDescent="0.25"/>
    <row r="4295" spans="2:4" ht="15.75" customHeight="1" x14ac:dyDescent="0.25"/>
    <row r="4296" spans="2:4" ht="15.75" customHeight="1" x14ac:dyDescent="0.25"/>
    <row r="4297" spans="2:4" ht="15.75" customHeight="1" x14ac:dyDescent="0.25"/>
    <row r="4298" spans="2:4" ht="15.75" customHeight="1" x14ac:dyDescent="0.25"/>
    <row r="4299" spans="2:4" ht="15.75" customHeight="1" x14ac:dyDescent="0.25"/>
    <row r="4300" spans="2:4" ht="15.75" customHeight="1" x14ac:dyDescent="0.25">
      <c r="B4300" s="90"/>
      <c r="D4300" s="90"/>
    </row>
    <row r="4301" spans="2:4" ht="15.75" customHeight="1" x14ac:dyDescent="0.25"/>
    <row r="4302" spans="2:4" ht="15.75" customHeight="1" x14ac:dyDescent="0.25">
      <c r="C4302" s="90"/>
      <c r="D4302" s="90"/>
    </row>
    <row r="4303" spans="2:4" ht="15.75" customHeight="1" x14ac:dyDescent="0.25"/>
    <row r="4304" spans="2:4" ht="15.75" customHeight="1" x14ac:dyDescent="0.25"/>
    <row r="4305" spans="2:4" ht="15.75" customHeight="1" x14ac:dyDescent="0.25"/>
    <row r="4306" spans="2:4" ht="15.75" customHeight="1" x14ac:dyDescent="0.25"/>
    <row r="4307" spans="2:4" ht="15.75" customHeight="1" x14ac:dyDescent="0.25"/>
    <row r="4308" spans="2:4" ht="15.75" customHeight="1" x14ac:dyDescent="0.25"/>
    <row r="4309" spans="2:4" ht="15.75" customHeight="1" x14ac:dyDescent="0.25"/>
    <row r="4310" spans="2:4" ht="15.75" customHeight="1" x14ac:dyDescent="0.25"/>
    <row r="4311" spans="2:4" ht="15.75" customHeight="1" x14ac:dyDescent="0.25"/>
    <row r="4312" spans="2:4" ht="15.75" customHeight="1" x14ac:dyDescent="0.25"/>
    <row r="4313" spans="2:4" ht="15.75" customHeight="1" x14ac:dyDescent="0.25"/>
    <row r="4314" spans="2:4" ht="15.75" customHeight="1" x14ac:dyDescent="0.25"/>
    <row r="4315" spans="2:4" ht="15.75" customHeight="1" x14ac:dyDescent="0.25"/>
    <row r="4316" spans="2:4" ht="15.75" customHeight="1" x14ac:dyDescent="0.25"/>
    <row r="4317" spans="2:4" ht="15.75" customHeight="1" x14ac:dyDescent="0.25"/>
    <row r="4318" spans="2:4" ht="15.75" customHeight="1" x14ac:dyDescent="0.25"/>
    <row r="4319" spans="2:4" ht="15.75" customHeight="1" x14ac:dyDescent="0.25"/>
    <row r="4320" spans="2:4" ht="15.75" customHeight="1" x14ac:dyDescent="0.25">
      <c r="B4320" s="90"/>
      <c r="D4320" s="90"/>
    </row>
    <row r="4321" spans="3:4" ht="15.75" customHeight="1" x14ac:dyDescent="0.25"/>
    <row r="4322" spans="3:4" ht="15.75" customHeight="1" x14ac:dyDescent="0.25">
      <c r="C4322" s="90"/>
      <c r="D4322" s="90"/>
    </row>
    <row r="4323" spans="3:4" ht="15.75" customHeight="1" x14ac:dyDescent="0.25"/>
    <row r="4324" spans="3:4" ht="15.75" customHeight="1" x14ac:dyDescent="0.25"/>
    <row r="4325" spans="3:4" ht="15.75" customHeight="1" x14ac:dyDescent="0.25"/>
    <row r="4326" spans="3:4" ht="15.75" customHeight="1" x14ac:dyDescent="0.25"/>
    <row r="4327" spans="3:4" ht="15.75" customHeight="1" x14ac:dyDescent="0.25"/>
    <row r="4328" spans="3:4" ht="15.75" customHeight="1" x14ac:dyDescent="0.25"/>
    <row r="4329" spans="3:4" ht="15.75" customHeight="1" x14ac:dyDescent="0.25"/>
    <row r="4330" spans="3:4" ht="15.75" customHeight="1" x14ac:dyDescent="0.25"/>
    <row r="4331" spans="3:4" ht="15.75" customHeight="1" x14ac:dyDescent="0.25"/>
    <row r="4332" spans="3:4" ht="15.75" customHeight="1" x14ac:dyDescent="0.25"/>
    <row r="4333" spans="3:4" ht="15.75" customHeight="1" x14ac:dyDescent="0.25"/>
    <row r="4334" spans="3:4" ht="15.75" customHeight="1" x14ac:dyDescent="0.25"/>
    <row r="4335" spans="3:4" ht="15.75" customHeight="1" x14ac:dyDescent="0.25"/>
    <row r="4336" spans="3:4" ht="15.75" customHeight="1" x14ac:dyDescent="0.25"/>
    <row r="4337" spans="2:4" ht="15.75" customHeight="1" x14ac:dyDescent="0.25"/>
    <row r="4338" spans="2:4" ht="15.75" customHeight="1" x14ac:dyDescent="0.25"/>
    <row r="4339" spans="2:4" ht="15.75" customHeight="1" x14ac:dyDescent="0.25"/>
    <row r="4340" spans="2:4" ht="15.75" customHeight="1" x14ac:dyDescent="0.25">
      <c r="B4340" s="90"/>
      <c r="D4340" s="90"/>
    </row>
    <row r="4341" spans="2:4" ht="15.75" customHeight="1" x14ac:dyDescent="0.25"/>
    <row r="4342" spans="2:4" ht="15.75" customHeight="1" x14ac:dyDescent="0.25">
      <c r="C4342" s="90"/>
      <c r="D4342" s="90"/>
    </row>
    <row r="4343" spans="2:4" ht="15.75" customHeight="1" x14ac:dyDescent="0.25"/>
    <row r="4344" spans="2:4" ht="15.75" customHeight="1" x14ac:dyDescent="0.25"/>
    <row r="4345" spans="2:4" ht="15.75" customHeight="1" x14ac:dyDescent="0.25"/>
    <row r="4346" spans="2:4" ht="15.75" customHeight="1" x14ac:dyDescent="0.25"/>
    <row r="4347" spans="2:4" ht="15.75" customHeight="1" x14ac:dyDescent="0.25"/>
    <row r="4348" spans="2:4" ht="15.75" customHeight="1" x14ac:dyDescent="0.25"/>
    <row r="4349" spans="2:4" ht="15.75" customHeight="1" x14ac:dyDescent="0.25"/>
    <row r="4350" spans="2:4" ht="15.75" customHeight="1" x14ac:dyDescent="0.25"/>
    <row r="4351" spans="2:4" ht="15.75" customHeight="1" x14ac:dyDescent="0.25"/>
    <row r="4352" spans="2:4" ht="15.75" customHeight="1" x14ac:dyDescent="0.25"/>
    <row r="4353" spans="2:4" ht="15.75" customHeight="1" x14ac:dyDescent="0.25"/>
    <row r="4354" spans="2:4" ht="15.75" customHeight="1" x14ac:dyDescent="0.25"/>
    <row r="4355" spans="2:4" ht="15.75" customHeight="1" x14ac:dyDescent="0.25"/>
    <row r="4356" spans="2:4" ht="15.75" customHeight="1" x14ac:dyDescent="0.25"/>
    <row r="4357" spans="2:4" ht="15.75" customHeight="1" x14ac:dyDescent="0.25"/>
    <row r="4358" spans="2:4" ht="15.75" customHeight="1" x14ac:dyDescent="0.25"/>
    <row r="4359" spans="2:4" ht="15.75" customHeight="1" x14ac:dyDescent="0.25"/>
    <row r="4360" spans="2:4" ht="15.75" customHeight="1" x14ac:dyDescent="0.25">
      <c r="B4360" s="90"/>
      <c r="D4360" s="90"/>
    </row>
    <row r="4361" spans="2:4" ht="15.75" customHeight="1" x14ac:dyDescent="0.25"/>
    <row r="4362" spans="2:4" ht="15.75" customHeight="1" x14ac:dyDescent="0.25">
      <c r="C4362" s="90"/>
      <c r="D4362" s="90"/>
    </row>
    <row r="4363" spans="2:4" ht="15.75" customHeight="1" x14ac:dyDescent="0.25"/>
    <row r="4364" spans="2:4" ht="15.75" customHeight="1" x14ac:dyDescent="0.25"/>
    <row r="4365" spans="2:4" ht="15.75" customHeight="1" x14ac:dyDescent="0.25"/>
    <row r="4366" spans="2:4" ht="15.75" customHeight="1" x14ac:dyDescent="0.25"/>
    <row r="4367" spans="2:4" ht="15.75" customHeight="1" x14ac:dyDescent="0.25"/>
    <row r="4368" spans="2:4" ht="15.75" customHeight="1" x14ac:dyDescent="0.25"/>
    <row r="4369" spans="2:4" ht="15.75" customHeight="1" x14ac:dyDescent="0.25"/>
    <row r="4370" spans="2:4" ht="15.75" customHeight="1" x14ac:dyDescent="0.25"/>
    <row r="4371" spans="2:4" ht="15.75" customHeight="1" x14ac:dyDescent="0.25"/>
    <row r="4372" spans="2:4" ht="15.75" customHeight="1" x14ac:dyDescent="0.25"/>
    <row r="4373" spans="2:4" ht="15.75" customHeight="1" x14ac:dyDescent="0.25"/>
    <row r="4374" spans="2:4" ht="15.75" customHeight="1" x14ac:dyDescent="0.25"/>
    <row r="4375" spans="2:4" ht="15.75" customHeight="1" x14ac:dyDescent="0.25"/>
    <row r="4376" spans="2:4" ht="15.75" customHeight="1" x14ac:dyDescent="0.25"/>
    <row r="4377" spans="2:4" ht="15.75" customHeight="1" x14ac:dyDescent="0.25"/>
    <row r="4378" spans="2:4" ht="15.75" customHeight="1" x14ac:dyDescent="0.25"/>
    <row r="4379" spans="2:4" ht="15.75" customHeight="1" x14ac:dyDescent="0.25"/>
    <row r="4380" spans="2:4" ht="15.75" customHeight="1" x14ac:dyDescent="0.25">
      <c r="B4380" s="90"/>
      <c r="D4380" s="90"/>
    </row>
    <row r="4381" spans="2:4" ht="15.75" customHeight="1" x14ac:dyDescent="0.25"/>
    <row r="4382" spans="2:4" ht="15.75" customHeight="1" x14ac:dyDescent="0.25">
      <c r="C4382" s="90"/>
      <c r="D4382" s="90"/>
    </row>
    <row r="4383" spans="2:4" ht="15.75" customHeight="1" x14ac:dyDescent="0.25"/>
    <row r="4384" spans="2:4" ht="15.75" customHeight="1" x14ac:dyDescent="0.25"/>
    <row r="4385" spans="2:4" ht="15.75" customHeight="1" x14ac:dyDescent="0.25"/>
    <row r="4386" spans="2:4" ht="15.75" customHeight="1" x14ac:dyDescent="0.25"/>
    <row r="4387" spans="2:4" ht="15.75" customHeight="1" x14ac:dyDescent="0.25"/>
    <row r="4388" spans="2:4" ht="15.75" customHeight="1" x14ac:dyDescent="0.25"/>
    <row r="4389" spans="2:4" ht="15.75" customHeight="1" x14ac:dyDescent="0.25"/>
    <row r="4390" spans="2:4" ht="15.75" customHeight="1" x14ac:dyDescent="0.25"/>
    <row r="4391" spans="2:4" ht="15.75" customHeight="1" x14ac:dyDescent="0.25"/>
    <row r="4392" spans="2:4" ht="15.75" customHeight="1" x14ac:dyDescent="0.25"/>
    <row r="4393" spans="2:4" ht="15.75" customHeight="1" x14ac:dyDescent="0.25"/>
    <row r="4394" spans="2:4" ht="15.75" customHeight="1" x14ac:dyDescent="0.25"/>
    <row r="4395" spans="2:4" ht="15.75" customHeight="1" x14ac:dyDescent="0.25"/>
    <row r="4396" spans="2:4" ht="15.75" customHeight="1" x14ac:dyDescent="0.25"/>
    <row r="4397" spans="2:4" ht="15.75" customHeight="1" x14ac:dyDescent="0.25"/>
    <row r="4398" spans="2:4" ht="15.75" customHeight="1" x14ac:dyDescent="0.25"/>
    <row r="4399" spans="2:4" ht="15.75" customHeight="1" x14ac:dyDescent="0.25"/>
    <row r="4400" spans="2:4" ht="15.75" customHeight="1" x14ac:dyDescent="0.25">
      <c r="B4400" s="90"/>
      <c r="D4400" s="90"/>
    </row>
    <row r="4401" spans="3:4" ht="15.75" customHeight="1" x14ac:dyDescent="0.25"/>
    <row r="4402" spans="3:4" ht="15.75" customHeight="1" x14ac:dyDescent="0.25">
      <c r="C4402" s="90"/>
      <c r="D4402" s="90"/>
    </row>
    <row r="4403" spans="3:4" ht="15.75" customHeight="1" x14ac:dyDescent="0.25"/>
    <row r="4404" spans="3:4" ht="15.75" customHeight="1" x14ac:dyDescent="0.25"/>
    <row r="4405" spans="3:4" ht="15.75" customHeight="1" x14ac:dyDescent="0.25"/>
    <row r="4406" spans="3:4" ht="15.75" customHeight="1" x14ac:dyDescent="0.25"/>
    <row r="4407" spans="3:4" ht="15.75" customHeight="1" x14ac:dyDescent="0.25"/>
    <row r="4408" spans="3:4" ht="15.75" customHeight="1" x14ac:dyDescent="0.25"/>
    <row r="4409" spans="3:4" ht="15.75" customHeight="1" x14ac:dyDescent="0.25"/>
    <row r="4410" spans="3:4" ht="15.75" customHeight="1" x14ac:dyDescent="0.25"/>
    <row r="4411" spans="3:4" ht="15.75" customHeight="1" x14ac:dyDescent="0.25"/>
    <row r="4412" spans="3:4" ht="15.75" customHeight="1" x14ac:dyDescent="0.25"/>
    <row r="4413" spans="3:4" ht="15.75" customHeight="1" x14ac:dyDescent="0.25"/>
    <row r="4414" spans="3:4" ht="15.75" customHeight="1" x14ac:dyDescent="0.25"/>
    <row r="4415" spans="3:4" ht="15.75" customHeight="1" x14ac:dyDescent="0.25"/>
    <row r="4416" spans="3:4" ht="15.75" customHeight="1" x14ac:dyDescent="0.25"/>
    <row r="4417" spans="2:4" ht="15.75" customHeight="1" x14ac:dyDescent="0.25"/>
    <row r="4418" spans="2:4" ht="15.75" customHeight="1" x14ac:dyDescent="0.25"/>
    <row r="4419" spans="2:4" ht="15.75" customHeight="1" x14ac:dyDescent="0.25"/>
    <row r="4420" spans="2:4" ht="15.75" customHeight="1" x14ac:dyDescent="0.25">
      <c r="B4420" s="90"/>
      <c r="D4420" s="90"/>
    </row>
    <row r="4421" spans="2:4" ht="15.75" customHeight="1" x14ac:dyDescent="0.25"/>
    <row r="4422" spans="2:4" ht="15.75" customHeight="1" x14ac:dyDescent="0.25">
      <c r="C4422" s="90"/>
      <c r="D4422" s="90"/>
    </row>
    <row r="4423" spans="2:4" ht="15.75" customHeight="1" x14ac:dyDescent="0.25"/>
    <row r="4424" spans="2:4" ht="15.75" customHeight="1" x14ac:dyDescent="0.25"/>
    <row r="4425" spans="2:4" ht="15.75" customHeight="1" x14ac:dyDescent="0.25"/>
    <row r="4426" spans="2:4" ht="15.75" customHeight="1" x14ac:dyDescent="0.25"/>
    <row r="4427" spans="2:4" ht="15.75" customHeight="1" x14ac:dyDescent="0.25"/>
    <row r="4428" spans="2:4" ht="15.75" customHeight="1" x14ac:dyDescent="0.25"/>
    <row r="4429" spans="2:4" ht="15.75" customHeight="1" x14ac:dyDescent="0.25"/>
    <row r="4430" spans="2:4" ht="15.75" customHeight="1" x14ac:dyDescent="0.25"/>
    <row r="4431" spans="2:4" ht="15.75" customHeight="1" x14ac:dyDescent="0.25"/>
    <row r="4432" spans="2:4" ht="15.75" customHeight="1" x14ac:dyDescent="0.25"/>
    <row r="4433" spans="2:4" ht="15.75" customHeight="1" x14ac:dyDescent="0.25"/>
    <row r="4434" spans="2:4" ht="15.75" customHeight="1" x14ac:dyDescent="0.25"/>
    <row r="4435" spans="2:4" ht="15.75" customHeight="1" x14ac:dyDescent="0.25"/>
    <row r="4436" spans="2:4" ht="15.75" customHeight="1" x14ac:dyDescent="0.25"/>
    <row r="4437" spans="2:4" ht="15.75" customHeight="1" x14ac:dyDescent="0.25"/>
    <row r="4438" spans="2:4" ht="15.75" customHeight="1" x14ac:dyDescent="0.25"/>
    <row r="4439" spans="2:4" ht="15.75" customHeight="1" x14ac:dyDescent="0.25"/>
    <row r="4440" spans="2:4" ht="15.75" customHeight="1" x14ac:dyDescent="0.25">
      <c r="B4440" s="90"/>
      <c r="D4440" s="90"/>
    </row>
    <row r="4441" spans="2:4" ht="15.75" customHeight="1" x14ac:dyDescent="0.25"/>
    <row r="4442" spans="2:4" ht="15.75" customHeight="1" x14ac:dyDescent="0.25">
      <c r="C4442" s="90"/>
      <c r="D4442" s="90"/>
    </row>
    <row r="4443" spans="2:4" ht="15.75" customHeight="1" x14ac:dyDescent="0.25"/>
    <row r="4444" spans="2:4" ht="15.75" customHeight="1" x14ac:dyDescent="0.25"/>
    <row r="4445" spans="2:4" ht="15.75" customHeight="1" x14ac:dyDescent="0.25"/>
    <row r="4446" spans="2:4" ht="15.75" customHeight="1" x14ac:dyDescent="0.25"/>
    <row r="4447" spans="2:4" ht="15.75" customHeight="1" x14ac:dyDescent="0.25"/>
    <row r="4448" spans="2:4" ht="15.75" customHeight="1" x14ac:dyDescent="0.25"/>
    <row r="4449" spans="2:4" ht="15.75" customHeight="1" x14ac:dyDescent="0.25"/>
    <row r="4450" spans="2:4" ht="15.75" customHeight="1" x14ac:dyDescent="0.25"/>
    <row r="4451" spans="2:4" ht="15.75" customHeight="1" x14ac:dyDescent="0.25"/>
    <row r="4452" spans="2:4" ht="15.75" customHeight="1" x14ac:dyDescent="0.25"/>
    <row r="4453" spans="2:4" ht="15.75" customHeight="1" x14ac:dyDescent="0.25"/>
    <row r="4454" spans="2:4" ht="15.75" customHeight="1" x14ac:dyDescent="0.25"/>
    <row r="4455" spans="2:4" ht="15.75" customHeight="1" x14ac:dyDescent="0.25"/>
    <row r="4456" spans="2:4" ht="15.75" customHeight="1" x14ac:dyDescent="0.25"/>
    <row r="4457" spans="2:4" ht="15.75" customHeight="1" x14ac:dyDescent="0.25"/>
    <row r="4458" spans="2:4" ht="15.75" customHeight="1" x14ac:dyDescent="0.25"/>
    <row r="4459" spans="2:4" ht="15.75" customHeight="1" x14ac:dyDescent="0.25"/>
    <row r="4460" spans="2:4" ht="15.75" customHeight="1" x14ac:dyDescent="0.25">
      <c r="B4460" s="90"/>
      <c r="D4460" s="90"/>
    </row>
    <row r="4461" spans="2:4" ht="15.75" customHeight="1" x14ac:dyDescent="0.25"/>
    <row r="4462" spans="2:4" ht="15.75" customHeight="1" x14ac:dyDescent="0.25">
      <c r="C4462" s="90"/>
      <c r="D4462" s="90"/>
    </row>
    <row r="4463" spans="2:4" ht="15.75" customHeight="1" x14ac:dyDescent="0.25"/>
    <row r="4464" spans="2:4" ht="15.75" customHeight="1" x14ac:dyDescent="0.25"/>
    <row r="4465" spans="2:4" ht="15.75" customHeight="1" x14ac:dyDescent="0.25"/>
    <row r="4466" spans="2:4" ht="15.75" customHeight="1" x14ac:dyDescent="0.25"/>
    <row r="4467" spans="2:4" ht="15.75" customHeight="1" x14ac:dyDescent="0.25"/>
    <row r="4468" spans="2:4" ht="15.75" customHeight="1" x14ac:dyDescent="0.25"/>
    <row r="4469" spans="2:4" ht="15.75" customHeight="1" x14ac:dyDescent="0.25"/>
    <row r="4470" spans="2:4" ht="15.75" customHeight="1" x14ac:dyDescent="0.25"/>
    <row r="4471" spans="2:4" ht="15.75" customHeight="1" x14ac:dyDescent="0.25"/>
    <row r="4472" spans="2:4" ht="15.75" customHeight="1" x14ac:dyDescent="0.25"/>
    <row r="4473" spans="2:4" ht="15.75" customHeight="1" x14ac:dyDescent="0.25"/>
    <row r="4474" spans="2:4" ht="15.75" customHeight="1" x14ac:dyDescent="0.25"/>
    <row r="4475" spans="2:4" ht="15.75" customHeight="1" x14ac:dyDescent="0.25"/>
    <row r="4476" spans="2:4" ht="15.75" customHeight="1" x14ac:dyDescent="0.25"/>
    <row r="4477" spans="2:4" ht="15.75" customHeight="1" x14ac:dyDescent="0.25"/>
    <row r="4478" spans="2:4" ht="15.75" customHeight="1" x14ac:dyDescent="0.25"/>
    <row r="4479" spans="2:4" ht="15.75" customHeight="1" x14ac:dyDescent="0.25"/>
    <row r="4480" spans="2:4" ht="15.75" customHeight="1" x14ac:dyDescent="0.25">
      <c r="B4480" s="90"/>
      <c r="D4480" s="90"/>
    </row>
    <row r="4481" ht="15.75" customHeight="1" x14ac:dyDescent="0.25"/>
    <row r="4482" ht="15.75" customHeight="1" x14ac:dyDescent="0.25"/>
    <row r="4483" ht="15.75" customHeight="1" x14ac:dyDescent="0.25"/>
    <row r="4484" ht="15.75" customHeight="1" x14ac:dyDescent="0.25"/>
    <row r="4485" ht="15.75" customHeight="1" x14ac:dyDescent="0.25"/>
    <row r="4486" ht="15.75" customHeight="1" x14ac:dyDescent="0.25"/>
    <row r="4487" ht="15.75" customHeight="1" x14ac:dyDescent="0.25"/>
    <row r="4488" ht="15.75" customHeight="1" x14ac:dyDescent="0.25"/>
    <row r="4489" ht="15.75" customHeight="1" x14ac:dyDescent="0.25"/>
    <row r="4490" ht="15.75" customHeight="1" x14ac:dyDescent="0.25"/>
    <row r="4491" ht="15.75" customHeight="1" x14ac:dyDescent="0.25"/>
    <row r="4492" ht="15.75" customHeight="1" x14ac:dyDescent="0.25"/>
    <row r="4493" ht="15.75" customHeight="1" x14ac:dyDescent="0.25"/>
    <row r="4494" ht="15.75" customHeight="1" x14ac:dyDescent="0.25"/>
    <row r="4495" ht="15.75" customHeight="1" x14ac:dyDescent="0.25"/>
    <row r="4496" ht="15.75" customHeight="1" x14ac:dyDescent="0.25"/>
    <row r="4497" ht="15.75" customHeight="1" x14ac:dyDescent="0.25"/>
    <row r="4498" ht="15.75" customHeight="1" x14ac:dyDescent="0.25"/>
    <row r="4499" ht="15.75" customHeight="1" x14ac:dyDescent="0.25"/>
    <row r="4500" ht="15.75" customHeight="1" x14ac:dyDescent="0.25"/>
    <row r="4501" ht="15.75" customHeight="1" x14ac:dyDescent="0.25"/>
    <row r="4502" ht="15.75" customHeight="1" x14ac:dyDescent="0.25"/>
    <row r="4503" ht="15.75" customHeight="1" x14ac:dyDescent="0.25"/>
    <row r="4504" ht="15.75" customHeight="1" x14ac:dyDescent="0.25"/>
    <row r="4505" ht="15.75" customHeight="1" x14ac:dyDescent="0.25"/>
    <row r="4506" ht="15.75" customHeight="1" x14ac:dyDescent="0.25"/>
    <row r="4507" ht="15.75" customHeight="1" x14ac:dyDescent="0.25"/>
    <row r="4508" ht="15.75" customHeight="1" x14ac:dyDescent="0.25"/>
    <row r="4509" ht="15.75" customHeight="1" x14ac:dyDescent="0.25"/>
    <row r="4510" ht="15.75" customHeight="1" x14ac:dyDescent="0.25"/>
    <row r="4511" ht="15.75" customHeight="1" x14ac:dyDescent="0.25"/>
    <row r="4512" ht="15.75" customHeight="1" x14ac:dyDescent="0.25"/>
    <row r="4513" ht="15.75" customHeight="1" x14ac:dyDescent="0.25"/>
    <row r="4514" ht="15.75" customHeight="1" x14ac:dyDescent="0.25"/>
    <row r="4515" ht="15.75" customHeight="1" x14ac:dyDescent="0.25"/>
    <row r="4516" ht="15.75" customHeight="1" x14ac:dyDescent="0.25"/>
    <row r="4517" ht="15.75" customHeight="1" x14ac:dyDescent="0.25"/>
    <row r="4518" ht="15.75" customHeight="1" x14ac:dyDescent="0.25"/>
    <row r="4519" ht="15.75" customHeight="1" x14ac:dyDescent="0.25"/>
    <row r="4520" ht="15.75" customHeight="1" x14ac:dyDescent="0.25"/>
    <row r="4521" ht="15.75" customHeight="1" x14ac:dyDescent="0.25"/>
    <row r="4522" ht="15.75" customHeight="1" x14ac:dyDescent="0.25"/>
    <row r="4523" ht="15.75" customHeight="1" x14ac:dyDescent="0.25"/>
    <row r="4524" ht="15.75" customHeight="1" x14ac:dyDescent="0.25"/>
    <row r="4525" ht="15.75" customHeight="1" x14ac:dyDescent="0.25"/>
    <row r="4526" ht="15.75" customHeight="1" x14ac:dyDescent="0.25"/>
    <row r="4527" ht="15.75" customHeight="1" x14ac:dyDescent="0.25"/>
    <row r="4528" ht="15.75" customHeight="1" x14ac:dyDescent="0.25"/>
    <row r="4529" ht="15.75" customHeight="1" x14ac:dyDescent="0.25"/>
    <row r="4530" ht="15.75" customHeight="1" x14ac:dyDescent="0.25"/>
    <row r="4531" ht="15.75" customHeight="1" x14ac:dyDescent="0.25"/>
    <row r="4532" ht="15.75" customHeight="1" x14ac:dyDescent="0.25"/>
    <row r="4533" ht="15.75" customHeight="1" x14ac:dyDescent="0.25"/>
    <row r="4534" ht="15.75" customHeight="1" x14ac:dyDescent="0.25"/>
    <row r="4535" ht="15.75" customHeight="1" x14ac:dyDescent="0.25"/>
    <row r="4536" ht="15.75" customHeight="1" x14ac:dyDescent="0.25"/>
    <row r="4537" ht="15.75" customHeight="1" x14ac:dyDescent="0.25"/>
    <row r="4538" ht="15.75" customHeight="1" x14ac:dyDescent="0.25"/>
    <row r="4539" ht="15.75" customHeight="1" x14ac:dyDescent="0.25"/>
    <row r="4540" ht="15.75" customHeight="1" x14ac:dyDescent="0.25"/>
    <row r="4541" ht="15.75" customHeight="1" x14ac:dyDescent="0.25"/>
    <row r="4542" ht="15.75" customHeight="1" x14ac:dyDescent="0.25"/>
    <row r="4543" ht="15.75" customHeight="1" x14ac:dyDescent="0.25"/>
    <row r="4544" ht="15.75" customHeight="1" x14ac:dyDescent="0.25"/>
    <row r="4545" ht="15.75" customHeight="1" x14ac:dyDescent="0.25"/>
    <row r="4546" ht="15.75" customHeight="1" x14ac:dyDescent="0.25"/>
    <row r="4547" ht="15.75" customHeight="1" x14ac:dyDescent="0.25"/>
    <row r="4548" ht="15.75" customHeight="1" x14ac:dyDescent="0.25"/>
    <row r="4549" ht="15.75" customHeight="1" x14ac:dyDescent="0.25"/>
    <row r="4550" ht="15.75" customHeight="1" x14ac:dyDescent="0.25"/>
    <row r="4551" ht="15.75" customHeight="1" x14ac:dyDescent="0.25"/>
    <row r="4552" ht="15.75" customHeight="1" x14ac:dyDescent="0.25"/>
    <row r="4553" ht="15.75" customHeight="1" x14ac:dyDescent="0.25"/>
    <row r="4554" ht="15.75" customHeight="1" x14ac:dyDescent="0.25"/>
    <row r="4555" ht="15.75" customHeight="1" x14ac:dyDescent="0.25"/>
    <row r="4556" ht="15.75" customHeight="1" x14ac:dyDescent="0.25"/>
    <row r="4557" ht="15.75" customHeight="1" x14ac:dyDescent="0.25"/>
    <row r="4558" ht="15.75" customHeight="1" x14ac:dyDescent="0.25"/>
    <row r="4559" ht="15.75" customHeight="1" x14ac:dyDescent="0.25"/>
    <row r="4560" ht="15.75" customHeight="1" x14ac:dyDescent="0.25"/>
    <row r="4561" ht="15.75" customHeight="1" x14ac:dyDescent="0.25"/>
    <row r="4562" ht="15.75" customHeight="1" x14ac:dyDescent="0.25"/>
    <row r="4563" ht="15.75" customHeight="1" x14ac:dyDescent="0.25"/>
    <row r="4564" ht="15.75" customHeight="1" x14ac:dyDescent="0.25"/>
    <row r="4565" ht="15.75" customHeight="1" x14ac:dyDescent="0.25"/>
    <row r="4566" ht="15.75" customHeight="1" x14ac:dyDescent="0.25"/>
    <row r="4567" ht="15.75" customHeight="1" x14ac:dyDescent="0.25"/>
    <row r="4568" ht="15.75" customHeight="1" x14ac:dyDescent="0.25"/>
    <row r="4569" ht="15.75" customHeight="1" x14ac:dyDescent="0.25"/>
    <row r="4570" ht="15.75" customHeight="1" x14ac:dyDescent="0.25"/>
    <row r="4571" ht="15.75" customHeight="1" x14ac:dyDescent="0.25"/>
    <row r="4572" ht="15.75" customHeight="1" x14ac:dyDescent="0.25"/>
    <row r="4573" ht="15.75" customHeight="1" x14ac:dyDescent="0.25"/>
    <row r="4574" ht="15.75" customHeight="1" x14ac:dyDescent="0.25"/>
    <row r="4575" ht="15.75" customHeight="1" x14ac:dyDescent="0.25"/>
    <row r="4576" ht="15.75" customHeight="1" x14ac:dyDescent="0.25"/>
    <row r="4577" ht="15.75" customHeight="1" x14ac:dyDescent="0.25"/>
    <row r="4578" ht="15.75" customHeight="1" x14ac:dyDescent="0.25"/>
    <row r="4579" ht="15.75" customHeight="1" x14ac:dyDescent="0.25"/>
    <row r="4580" ht="15.75" customHeight="1" x14ac:dyDescent="0.25"/>
    <row r="4581" ht="15.75" customHeight="1" x14ac:dyDescent="0.25"/>
    <row r="4582" ht="15.75" customHeight="1" x14ac:dyDescent="0.25"/>
    <row r="4583" ht="15.75" customHeight="1" x14ac:dyDescent="0.25"/>
    <row r="4584" ht="15.75" customHeight="1" x14ac:dyDescent="0.25"/>
    <row r="4585" ht="15.75" customHeight="1" x14ac:dyDescent="0.25"/>
    <row r="4586" ht="15.75" customHeight="1" x14ac:dyDescent="0.25"/>
    <row r="4587" ht="15.75" customHeight="1" x14ac:dyDescent="0.25"/>
    <row r="4588" ht="15.75" customHeight="1" x14ac:dyDescent="0.25"/>
    <row r="4589" ht="15.75" customHeight="1" x14ac:dyDescent="0.25"/>
    <row r="4590" ht="15.75" customHeight="1" x14ac:dyDescent="0.25"/>
    <row r="4591" ht="15.75" customHeight="1" x14ac:dyDescent="0.25"/>
    <row r="4592" ht="15.75" customHeight="1" x14ac:dyDescent="0.25"/>
    <row r="4593" ht="15.75" customHeight="1" x14ac:dyDescent="0.25"/>
    <row r="4594" ht="15.75" customHeight="1" x14ac:dyDescent="0.25"/>
    <row r="4595" ht="15.75" customHeight="1" x14ac:dyDescent="0.25"/>
    <row r="4596" ht="15.75" customHeight="1" x14ac:dyDescent="0.25"/>
    <row r="4597" ht="15.75" customHeight="1" x14ac:dyDescent="0.25"/>
    <row r="4598" ht="15.75" customHeight="1" x14ac:dyDescent="0.25"/>
    <row r="4599" ht="15.75" customHeight="1" x14ac:dyDescent="0.25"/>
    <row r="4600" ht="15.75" customHeight="1" x14ac:dyDescent="0.25"/>
    <row r="4601" ht="15.75" customHeight="1" x14ac:dyDescent="0.25"/>
    <row r="4602" ht="15.75" customHeight="1" x14ac:dyDescent="0.25"/>
    <row r="4603" ht="15.75" customHeight="1" x14ac:dyDescent="0.25"/>
    <row r="4604" ht="15.75" customHeight="1" x14ac:dyDescent="0.25"/>
    <row r="4605" ht="15.75" customHeight="1" x14ac:dyDescent="0.25"/>
    <row r="4606" ht="15.75" customHeight="1" x14ac:dyDescent="0.25"/>
    <row r="4607" ht="15.75" customHeight="1" x14ac:dyDescent="0.25"/>
    <row r="4608" ht="15.75" customHeight="1" x14ac:dyDescent="0.25"/>
    <row r="4609" ht="15.75" customHeight="1" x14ac:dyDescent="0.25"/>
    <row r="4610" ht="15.75" customHeight="1" x14ac:dyDescent="0.25"/>
    <row r="4611" ht="15.75" customHeight="1" x14ac:dyDescent="0.25"/>
    <row r="4612" ht="15.75" customHeight="1" x14ac:dyDescent="0.25"/>
    <row r="4613" ht="15.75" customHeight="1" x14ac:dyDescent="0.25"/>
    <row r="4614" ht="15.75" customHeight="1" x14ac:dyDescent="0.25"/>
    <row r="4615" ht="15.75" customHeight="1" x14ac:dyDescent="0.25"/>
    <row r="4616" ht="15.75" customHeight="1" x14ac:dyDescent="0.25"/>
    <row r="4617" ht="15.75" customHeight="1" x14ac:dyDescent="0.25"/>
    <row r="4618" ht="15.75" customHeight="1" x14ac:dyDescent="0.25"/>
    <row r="4619" ht="15.75" customHeight="1" x14ac:dyDescent="0.25"/>
    <row r="4620" ht="15.75" customHeight="1" x14ac:dyDescent="0.25"/>
    <row r="4621" ht="15.75" customHeight="1" x14ac:dyDescent="0.25"/>
    <row r="4622" ht="15.75" customHeight="1" x14ac:dyDescent="0.25"/>
    <row r="4623" ht="15.75" customHeight="1" x14ac:dyDescent="0.25"/>
    <row r="4624" ht="15.75" customHeight="1" x14ac:dyDescent="0.25"/>
    <row r="4625" ht="15.75" customHeight="1" x14ac:dyDescent="0.25"/>
    <row r="4626" ht="15.75" customHeight="1" x14ac:dyDescent="0.25"/>
    <row r="4627" ht="15.75" customHeight="1" x14ac:dyDescent="0.25"/>
    <row r="4628" ht="15.75" customHeight="1" x14ac:dyDescent="0.25"/>
    <row r="4629" ht="15.75" customHeight="1" x14ac:dyDescent="0.25"/>
    <row r="4630" ht="15.75" customHeight="1" x14ac:dyDescent="0.25"/>
    <row r="4631" ht="15.75" customHeight="1" x14ac:dyDescent="0.25"/>
    <row r="4632" ht="15.75" customHeight="1" x14ac:dyDescent="0.25"/>
    <row r="4633" ht="15.75" customHeight="1" x14ac:dyDescent="0.25"/>
    <row r="4634" ht="15.75" customHeight="1" x14ac:dyDescent="0.25"/>
    <row r="4635" ht="15.75" customHeight="1" x14ac:dyDescent="0.25"/>
    <row r="4636" ht="15.75" customHeight="1" x14ac:dyDescent="0.25"/>
    <row r="4637" ht="15.75" customHeight="1" x14ac:dyDescent="0.25"/>
    <row r="4638" ht="15.75" customHeight="1" x14ac:dyDescent="0.25"/>
    <row r="4639" ht="15.75" customHeight="1" x14ac:dyDescent="0.25"/>
    <row r="4640" ht="15.75" customHeight="1" x14ac:dyDescent="0.25"/>
    <row r="4641" ht="15.75" customHeight="1" x14ac:dyDescent="0.25"/>
    <row r="4642" ht="15.75" customHeight="1" x14ac:dyDescent="0.25"/>
    <row r="4643" ht="15.75" customHeight="1" x14ac:dyDescent="0.25"/>
    <row r="4644" ht="15.75" customHeight="1" x14ac:dyDescent="0.25"/>
    <row r="4645" ht="15.75" customHeight="1" x14ac:dyDescent="0.25"/>
    <row r="4646" ht="15.75" customHeight="1" x14ac:dyDescent="0.25"/>
    <row r="4647" ht="15.75" customHeight="1" x14ac:dyDescent="0.25"/>
    <row r="4648" ht="15.75" customHeight="1" x14ac:dyDescent="0.25"/>
    <row r="4649" ht="15.75" customHeight="1" x14ac:dyDescent="0.25"/>
    <row r="4650" ht="15.75" customHeight="1" x14ac:dyDescent="0.25"/>
    <row r="4651" ht="15.75" customHeight="1" x14ac:dyDescent="0.25"/>
    <row r="4652" ht="15.75" customHeight="1" x14ac:dyDescent="0.25"/>
    <row r="4653" ht="15.75" customHeight="1" x14ac:dyDescent="0.25"/>
    <row r="4654" ht="15.75" customHeight="1" x14ac:dyDescent="0.25"/>
    <row r="4655" ht="15.75" customHeight="1" x14ac:dyDescent="0.25"/>
    <row r="4656" ht="15.75" customHeight="1" x14ac:dyDescent="0.25"/>
    <row r="4657" ht="15.75" customHeight="1" x14ac:dyDescent="0.25"/>
    <row r="4658" ht="15.75" customHeight="1" x14ac:dyDescent="0.25"/>
    <row r="4659" ht="15.75" customHeight="1" x14ac:dyDescent="0.25"/>
    <row r="4660" ht="15.75" customHeight="1" x14ac:dyDescent="0.25"/>
    <row r="4661" ht="15.75" customHeight="1" x14ac:dyDescent="0.25"/>
    <row r="4662" ht="15.75" customHeight="1" x14ac:dyDescent="0.25"/>
    <row r="4663" ht="15.75" customHeight="1" x14ac:dyDescent="0.25"/>
    <row r="4664" ht="15.75" customHeight="1" x14ac:dyDescent="0.25"/>
    <row r="4665" ht="15.75" customHeight="1" x14ac:dyDescent="0.25"/>
    <row r="4666" ht="15.75" customHeight="1" x14ac:dyDescent="0.25"/>
    <row r="4667" ht="15.75" customHeight="1" x14ac:dyDescent="0.25"/>
    <row r="4668" ht="15.75" customHeight="1" x14ac:dyDescent="0.25"/>
    <row r="4669" ht="15.75" customHeight="1" x14ac:dyDescent="0.25"/>
    <row r="4670" ht="15.75" customHeight="1" x14ac:dyDescent="0.25"/>
    <row r="4671" ht="15.75" customHeight="1" x14ac:dyDescent="0.25"/>
    <row r="4672" ht="15.75" customHeight="1" x14ac:dyDescent="0.25"/>
    <row r="4673" ht="15.75" customHeight="1" x14ac:dyDescent="0.25"/>
    <row r="4674" ht="15.75" customHeight="1" x14ac:dyDescent="0.25"/>
    <row r="4675" ht="15.75" customHeight="1" x14ac:dyDescent="0.25"/>
    <row r="4676" ht="15.75" customHeight="1" x14ac:dyDescent="0.25"/>
    <row r="4677" ht="15.75" customHeight="1" x14ac:dyDescent="0.25"/>
    <row r="4678" ht="15.75" customHeight="1" x14ac:dyDescent="0.25"/>
    <row r="4679" ht="15.75" customHeight="1" x14ac:dyDescent="0.25"/>
    <row r="4680" ht="15.75" customHeight="1" x14ac:dyDescent="0.25"/>
    <row r="4681" ht="15.75" customHeight="1" x14ac:dyDescent="0.25"/>
    <row r="4682" ht="15.75" customHeight="1" x14ac:dyDescent="0.25"/>
    <row r="4683" ht="15.75" customHeight="1" x14ac:dyDescent="0.25"/>
    <row r="4684" ht="15.75" customHeight="1" x14ac:dyDescent="0.25"/>
    <row r="4685" ht="15.75" customHeight="1" x14ac:dyDescent="0.25"/>
    <row r="4686" ht="15.75" customHeight="1" x14ac:dyDescent="0.25"/>
    <row r="4687" ht="15.75" customHeight="1" x14ac:dyDescent="0.25"/>
    <row r="4688" ht="15.75" customHeight="1" x14ac:dyDescent="0.25"/>
    <row r="4689" ht="15.75" customHeight="1" x14ac:dyDescent="0.25"/>
    <row r="4690" ht="15.75" customHeight="1" x14ac:dyDescent="0.25"/>
    <row r="4691" ht="15.75" customHeight="1" x14ac:dyDescent="0.25"/>
    <row r="4692" ht="15.75" customHeight="1" x14ac:dyDescent="0.25"/>
    <row r="4693" ht="15.75" customHeight="1" x14ac:dyDescent="0.25"/>
    <row r="4694" ht="15.75" customHeight="1" x14ac:dyDescent="0.25"/>
    <row r="4695" ht="15.75" customHeight="1" x14ac:dyDescent="0.25"/>
    <row r="4696" ht="15.75" customHeight="1" x14ac:dyDescent="0.25"/>
    <row r="4697" ht="15.75" customHeight="1" x14ac:dyDescent="0.25"/>
    <row r="4698" ht="15.75" customHeight="1" x14ac:dyDescent="0.25"/>
    <row r="4699" ht="15.75" customHeight="1" x14ac:dyDescent="0.25"/>
    <row r="4700" ht="15.75" customHeight="1" x14ac:dyDescent="0.25"/>
    <row r="4701" ht="15.75" customHeight="1" x14ac:dyDescent="0.25"/>
    <row r="4702" ht="15.75" customHeight="1" x14ac:dyDescent="0.25"/>
    <row r="4703" ht="15.75" customHeight="1" x14ac:dyDescent="0.25"/>
    <row r="4704" ht="15.75" customHeight="1" x14ac:dyDescent="0.25"/>
    <row r="4705" ht="15.75" customHeight="1" x14ac:dyDescent="0.25"/>
    <row r="4706" ht="15.75" customHeight="1" x14ac:dyDescent="0.25"/>
    <row r="4707" ht="15.75" customHeight="1" x14ac:dyDescent="0.25"/>
    <row r="4708" ht="15.75" customHeight="1" x14ac:dyDescent="0.25"/>
    <row r="4709" ht="15.75" customHeight="1" x14ac:dyDescent="0.25"/>
    <row r="4710" ht="15.75" customHeight="1" x14ac:dyDescent="0.25"/>
    <row r="4711" ht="15.75" customHeight="1" x14ac:dyDescent="0.25"/>
    <row r="4712" ht="15.75" customHeight="1" x14ac:dyDescent="0.25"/>
    <row r="4713" ht="15.75" customHeight="1" x14ac:dyDescent="0.25"/>
    <row r="4714" ht="15.75" customHeight="1" x14ac:dyDescent="0.25"/>
    <row r="4715" ht="15.75" customHeight="1" x14ac:dyDescent="0.25"/>
    <row r="4716" ht="15.75" customHeight="1" x14ac:dyDescent="0.25"/>
    <row r="4717" ht="15.75" customHeight="1" x14ac:dyDescent="0.25"/>
    <row r="4718" ht="15.75" customHeight="1" x14ac:dyDescent="0.25"/>
    <row r="4719" ht="15.75" customHeight="1" x14ac:dyDescent="0.25"/>
    <row r="4720" ht="15.75" customHeight="1" x14ac:dyDescent="0.25"/>
    <row r="4721" ht="15.75" customHeight="1" x14ac:dyDescent="0.25"/>
    <row r="4722" ht="15.75" customHeight="1" x14ac:dyDescent="0.25"/>
    <row r="4723" ht="15.75" customHeight="1" x14ac:dyDescent="0.25"/>
    <row r="4724" ht="15.75" customHeight="1" x14ac:dyDescent="0.25"/>
    <row r="4725" ht="15.75" customHeight="1" x14ac:dyDescent="0.25"/>
    <row r="4726" ht="15.75" customHeight="1" x14ac:dyDescent="0.25"/>
    <row r="4727" ht="15.75" customHeight="1" x14ac:dyDescent="0.25"/>
    <row r="4728" ht="15.75" customHeight="1" x14ac:dyDescent="0.25"/>
    <row r="4729" ht="15.75" customHeight="1" x14ac:dyDescent="0.25"/>
    <row r="4730" ht="15.75" customHeight="1" x14ac:dyDescent="0.25"/>
    <row r="4731" ht="15.75" customHeight="1" x14ac:dyDescent="0.25"/>
    <row r="4732" ht="15.75" customHeight="1" x14ac:dyDescent="0.25"/>
    <row r="4733" ht="15.75" customHeight="1" x14ac:dyDescent="0.25"/>
    <row r="4734" ht="15.75" customHeight="1" x14ac:dyDescent="0.25"/>
    <row r="4735" ht="15.75" customHeight="1" x14ac:dyDescent="0.25"/>
    <row r="4736" ht="15.75" customHeight="1" x14ac:dyDescent="0.25"/>
    <row r="4737" ht="15.75" customHeight="1" x14ac:dyDescent="0.25"/>
    <row r="4738" ht="15.75" customHeight="1" x14ac:dyDescent="0.25"/>
    <row r="4739" ht="15.75" customHeight="1" x14ac:dyDescent="0.25"/>
    <row r="4740" ht="15.75" customHeight="1" x14ac:dyDescent="0.25"/>
    <row r="4741" ht="15.75" customHeight="1" x14ac:dyDescent="0.25"/>
    <row r="4742" ht="15.75" customHeight="1" x14ac:dyDescent="0.25"/>
    <row r="4743" ht="15.75" customHeight="1" x14ac:dyDescent="0.25"/>
    <row r="4744" ht="15.75" customHeight="1" x14ac:dyDescent="0.25"/>
    <row r="4745" ht="15.75" customHeight="1" x14ac:dyDescent="0.25"/>
    <row r="4746" ht="15.75" customHeight="1" x14ac:dyDescent="0.25"/>
    <row r="4747" ht="15.75" customHeight="1" x14ac:dyDescent="0.25"/>
    <row r="4748" ht="15.75" customHeight="1" x14ac:dyDescent="0.25"/>
    <row r="4749" ht="15.75" customHeight="1" x14ac:dyDescent="0.25"/>
    <row r="4750" ht="15.75" customHeight="1" x14ac:dyDescent="0.25"/>
    <row r="4751" ht="15.75" customHeight="1" x14ac:dyDescent="0.25"/>
    <row r="4752" ht="15.75" customHeight="1" x14ac:dyDescent="0.25"/>
    <row r="4753" ht="15.75" customHeight="1" x14ac:dyDescent="0.25"/>
    <row r="4754" ht="15.75" customHeight="1" x14ac:dyDescent="0.25"/>
    <row r="4755" ht="15.75" customHeight="1" x14ac:dyDescent="0.25"/>
    <row r="4756" ht="15.75" customHeight="1" x14ac:dyDescent="0.25"/>
    <row r="4757" ht="15.75" customHeight="1" x14ac:dyDescent="0.25"/>
    <row r="4758" ht="15.75" customHeight="1" x14ac:dyDescent="0.25"/>
    <row r="4759" ht="15.75" customHeight="1" x14ac:dyDescent="0.25"/>
    <row r="4760" ht="15.75" customHeight="1" x14ac:dyDescent="0.25"/>
    <row r="4761" ht="15.75" customHeight="1" x14ac:dyDescent="0.25"/>
    <row r="4762" ht="15.75" customHeight="1" x14ac:dyDescent="0.25"/>
    <row r="4763" ht="15.75" customHeight="1" x14ac:dyDescent="0.25"/>
    <row r="4764" ht="15.75" customHeight="1" x14ac:dyDescent="0.25"/>
    <row r="4765" ht="15.75" customHeight="1" x14ac:dyDescent="0.25"/>
    <row r="4766" ht="15.75" customHeight="1" x14ac:dyDescent="0.25"/>
    <row r="4767" ht="15.75" customHeight="1" x14ac:dyDescent="0.25"/>
    <row r="4768" ht="15.75" customHeight="1" x14ac:dyDescent="0.25"/>
    <row r="4769" ht="15.75" customHeight="1" x14ac:dyDescent="0.25"/>
    <row r="4770" ht="15.75" customHeight="1" x14ac:dyDescent="0.25"/>
    <row r="4771" ht="15.75" customHeight="1" x14ac:dyDescent="0.25"/>
    <row r="4772" ht="15.75" customHeight="1" x14ac:dyDescent="0.25"/>
    <row r="4773" ht="15.75" customHeight="1" x14ac:dyDescent="0.25"/>
    <row r="4774" ht="15.75" customHeight="1" x14ac:dyDescent="0.25"/>
    <row r="4775" ht="15.75" customHeight="1" x14ac:dyDescent="0.25"/>
    <row r="4776" ht="15.75" customHeight="1" x14ac:dyDescent="0.25"/>
    <row r="4777" ht="15.75" customHeight="1" x14ac:dyDescent="0.25"/>
    <row r="4778" ht="15.75" customHeight="1" x14ac:dyDescent="0.25"/>
    <row r="4779" ht="15.75" customHeight="1" x14ac:dyDescent="0.25"/>
    <row r="4780" ht="15.75" customHeight="1" x14ac:dyDescent="0.25"/>
    <row r="4781" ht="15.75" customHeight="1" x14ac:dyDescent="0.25"/>
    <row r="4782" ht="15.75" customHeight="1" x14ac:dyDescent="0.25"/>
    <row r="4783" ht="15.75" customHeight="1" x14ac:dyDescent="0.25"/>
    <row r="4784" ht="15.75" customHeight="1" x14ac:dyDescent="0.25"/>
    <row r="4785" ht="15.75" customHeight="1" x14ac:dyDescent="0.25"/>
    <row r="4786" ht="15.75" customHeight="1" x14ac:dyDescent="0.25"/>
    <row r="4787" ht="15.75" customHeight="1" x14ac:dyDescent="0.25"/>
    <row r="4788" ht="15.75" customHeight="1" x14ac:dyDescent="0.25"/>
    <row r="4789" ht="15.75" customHeight="1" x14ac:dyDescent="0.25"/>
    <row r="4790" ht="15.75" customHeight="1" x14ac:dyDescent="0.25"/>
    <row r="4791" ht="15.75" customHeight="1" x14ac:dyDescent="0.25"/>
    <row r="4792" ht="15.75" customHeight="1" x14ac:dyDescent="0.25"/>
    <row r="4793" ht="15.75" customHeight="1" x14ac:dyDescent="0.25"/>
    <row r="4794" ht="15.75" customHeight="1" x14ac:dyDescent="0.25"/>
    <row r="4795" ht="15.75" customHeight="1" x14ac:dyDescent="0.25"/>
    <row r="4796" ht="15.75" customHeight="1" x14ac:dyDescent="0.25"/>
    <row r="4797" ht="15.75" customHeight="1" x14ac:dyDescent="0.25"/>
    <row r="4798" ht="15.75" customHeight="1" x14ac:dyDescent="0.25"/>
    <row r="4799" ht="15.75" customHeight="1" x14ac:dyDescent="0.25"/>
    <row r="4800" ht="15.75" customHeight="1" x14ac:dyDescent="0.25"/>
    <row r="4801" ht="15.75" customHeight="1" x14ac:dyDescent="0.25"/>
    <row r="4802" ht="15.75" customHeight="1" x14ac:dyDescent="0.25"/>
    <row r="4803" ht="15.75" customHeight="1" x14ac:dyDescent="0.25"/>
    <row r="4804" ht="15.75" customHeight="1" x14ac:dyDescent="0.25"/>
    <row r="4805" ht="15.75" customHeight="1" x14ac:dyDescent="0.25"/>
    <row r="4806" ht="15.75" customHeight="1" x14ac:dyDescent="0.25"/>
    <row r="4807" ht="15.75" customHeight="1" x14ac:dyDescent="0.25"/>
    <row r="4808" ht="15.75" customHeight="1" x14ac:dyDescent="0.25"/>
    <row r="4809" ht="15.75" customHeight="1" x14ac:dyDescent="0.25"/>
    <row r="4810" ht="15.75" customHeight="1" x14ac:dyDescent="0.25"/>
    <row r="4811" ht="15.75" customHeight="1" x14ac:dyDescent="0.25"/>
    <row r="4812" ht="15.75" customHeight="1" x14ac:dyDescent="0.25"/>
    <row r="4813" ht="15.75" customHeight="1" x14ac:dyDescent="0.25"/>
    <row r="4814" ht="15.75" customHeight="1" x14ac:dyDescent="0.25"/>
    <row r="4815" ht="15.75" customHeight="1" x14ac:dyDescent="0.25"/>
    <row r="4816" ht="15.75" customHeight="1" x14ac:dyDescent="0.25"/>
    <row r="4817" ht="15.75" customHeight="1" x14ac:dyDescent="0.25"/>
    <row r="4818" ht="15.75" customHeight="1" x14ac:dyDescent="0.25"/>
    <row r="4819" ht="15.75" customHeight="1" x14ac:dyDescent="0.25"/>
    <row r="4820" ht="15.75" customHeight="1" x14ac:dyDescent="0.25"/>
    <row r="4821" ht="15.75" customHeight="1" x14ac:dyDescent="0.25"/>
    <row r="4822" ht="15.75" customHeight="1" x14ac:dyDescent="0.25"/>
    <row r="4823" ht="15.75" customHeight="1" x14ac:dyDescent="0.25"/>
    <row r="4824" ht="15.75" customHeight="1" x14ac:dyDescent="0.25"/>
    <row r="4825" ht="15.75" customHeight="1" x14ac:dyDescent="0.25"/>
    <row r="4826" ht="15.75" customHeight="1" x14ac:dyDescent="0.25"/>
    <row r="4827" ht="15.75" customHeight="1" x14ac:dyDescent="0.25"/>
    <row r="4828" ht="15.75" customHeight="1" x14ac:dyDescent="0.25"/>
    <row r="4829" ht="15.75" customHeight="1" x14ac:dyDescent="0.25"/>
    <row r="4830" ht="15.75" customHeight="1" x14ac:dyDescent="0.25"/>
    <row r="4831" ht="15.75" customHeight="1" x14ac:dyDescent="0.25"/>
    <row r="4832" ht="15.75" customHeight="1" x14ac:dyDescent="0.25"/>
    <row r="4833" ht="15.75" customHeight="1" x14ac:dyDescent="0.25"/>
    <row r="4834" ht="15.75" customHeight="1" x14ac:dyDescent="0.25"/>
    <row r="4835" ht="15.75" customHeight="1" x14ac:dyDescent="0.25"/>
    <row r="4836" ht="15.75" customHeight="1" x14ac:dyDescent="0.25"/>
    <row r="4837" ht="15.75" customHeight="1" x14ac:dyDescent="0.25"/>
    <row r="4838" ht="15.75" customHeight="1" x14ac:dyDescent="0.25"/>
    <row r="4839" ht="15.75" customHeight="1" x14ac:dyDescent="0.25"/>
    <row r="4840" ht="15.75" customHeight="1" x14ac:dyDescent="0.25"/>
    <row r="4841" ht="15.75" customHeight="1" x14ac:dyDescent="0.25"/>
    <row r="4842" ht="15.75" customHeight="1" x14ac:dyDescent="0.25"/>
    <row r="4843" ht="15.75" customHeight="1" x14ac:dyDescent="0.25"/>
    <row r="4844" ht="15.75" customHeight="1" x14ac:dyDescent="0.25"/>
    <row r="4845" ht="15.75" customHeight="1" x14ac:dyDescent="0.25"/>
    <row r="4846" ht="15.75" customHeight="1" x14ac:dyDescent="0.25"/>
    <row r="4847" ht="15.75" customHeight="1" x14ac:dyDescent="0.25"/>
    <row r="4848" ht="15.75" customHeight="1" x14ac:dyDescent="0.25"/>
    <row r="4849" ht="15.75" customHeight="1" x14ac:dyDescent="0.25"/>
    <row r="4850" ht="15.75" customHeight="1" x14ac:dyDescent="0.25"/>
    <row r="4851" ht="15.75" customHeight="1" x14ac:dyDescent="0.25"/>
    <row r="4852" ht="15.75" customHeight="1" x14ac:dyDescent="0.25"/>
    <row r="4853" ht="15.75" customHeight="1" x14ac:dyDescent="0.25"/>
    <row r="4854" ht="15.75" customHeight="1" x14ac:dyDescent="0.25"/>
    <row r="4855" ht="15.75" customHeight="1" x14ac:dyDescent="0.25"/>
    <row r="4856" ht="15.75" customHeight="1" x14ac:dyDescent="0.25"/>
    <row r="4857" ht="15.75" customHeight="1" x14ac:dyDescent="0.25"/>
    <row r="4858" ht="15.75" customHeight="1" x14ac:dyDescent="0.25"/>
    <row r="4859" ht="15.75" customHeight="1" x14ac:dyDescent="0.25"/>
    <row r="4860" ht="15.75" customHeight="1" x14ac:dyDescent="0.25"/>
    <row r="4861" ht="15.75" customHeight="1" x14ac:dyDescent="0.25"/>
    <row r="4862" ht="15.75" customHeight="1" x14ac:dyDescent="0.25"/>
    <row r="4863" ht="15.75" customHeight="1" x14ac:dyDescent="0.25"/>
    <row r="4864" ht="15.75" customHeight="1" x14ac:dyDescent="0.25"/>
    <row r="4865" ht="15.75" customHeight="1" x14ac:dyDescent="0.25"/>
    <row r="4866" ht="15.75" customHeight="1" x14ac:dyDescent="0.25"/>
    <row r="4867" ht="15.75" customHeight="1" x14ac:dyDescent="0.25"/>
    <row r="4868" ht="15.75" customHeight="1" x14ac:dyDescent="0.25"/>
    <row r="4869" ht="15.75" customHeight="1" x14ac:dyDescent="0.25"/>
    <row r="4870" ht="15.75" customHeight="1" x14ac:dyDescent="0.25"/>
    <row r="4871" ht="15.75" customHeight="1" x14ac:dyDescent="0.25"/>
    <row r="4872" ht="15.75" customHeight="1" x14ac:dyDescent="0.25"/>
    <row r="4873" ht="15.75" customHeight="1" x14ac:dyDescent="0.25"/>
    <row r="4874" ht="15.75" customHeight="1" x14ac:dyDescent="0.25"/>
    <row r="4875" ht="15.75" customHeight="1" x14ac:dyDescent="0.25"/>
    <row r="4876" ht="15.75" customHeight="1" x14ac:dyDescent="0.25"/>
    <row r="4877" ht="15.75" customHeight="1" x14ac:dyDescent="0.25"/>
    <row r="4878" ht="15.75" customHeight="1" x14ac:dyDescent="0.25"/>
    <row r="4879" ht="15.75" customHeight="1" x14ac:dyDescent="0.25"/>
    <row r="4880" ht="15.75" customHeight="1" x14ac:dyDescent="0.25"/>
    <row r="4881" ht="15.75" customHeight="1" x14ac:dyDescent="0.25"/>
    <row r="4882" ht="15.75" customHeight="1" x14ac:dyDescent="0.25"/>
    <row r="4883" ht="15.75" customHeight="1" x14ac:dyDescent="0.25"/>
    <row r="4884" ht="15.75" customHeight="1" x14ac:dyDescent="0.25"/>
    <row r="4885" ht="15.75" customHeight="1" x14ac:dyDescent="0.25"/>
    <row r="4886" ht="15.75" customHeight="1" x14ac:dyDescent="0.25"/>
    <row r="4887" ht="15.75" customHeight="1" x14ac:dyDescent="0.25"/>
    <row r="4888" ht="15.75" customHeight="1" x14ac:dyDescent="0.25"/>
    <row r="4889" ht="15.75" customHeight="1" x14ac:dyDescent="0.25"/>
    <row r="4890" ht="15.75" customHeight="1" x14ac:dyDescent="0.25"/>
    <row r="4891" ht="15.75" customHeight="1" x14ac:dyDescent="0.25"/>
    <row r="4892" ht="15.75" customHeight="1" x14ac:dyDescent="0.25"/>
    <row r="4893" ht="15.75" customHeight="1" x14ac:dyDescent="0.25"/>
    <row r="4894" ht="15.75" customHeight="1" x14ac:dyDescent="0.25"/>
    <row r="4895" ht="15.75" customHeight="1" x14ac:dyDescent="0.25"/>
    <row r="4896" ht="15.75" customHeight="1" x14ac:dyDescent="0.25"/>
    <row r="4897" ht="15.75" customHeight="1" x14ac:dyDescent="0.25"/>
    <row r="4898" ht="15.75" customHeight="1" x14ac:dyDescent="0.25"/>
    <row r="4899" ht="15.75" customHeight="1" x14ac:dyDescent="0.25"/>
    <row r="4900" ht="15.75" customHeight="1" x14ac:dyDescent="0.25"/>
    <row r="4901" ht="15.75" customHeight="1" x14ac:dyDescent="0.25"/>
    <row r="4902" ht="15.75" customHeight="1" x14ac:dyDescent="0.25"/>
    <row r="4903" ht="15.75" customHeight="1" x14ac:dyDescent="0.25"/>
    <row r="4904" ht="15.75" customHeight="1" x14ac:dyDescent="0.25"/>
    <row r="4905" ht="15.75" customHeight="1" x14ac:dyDescent="0.25"/>
    <row r="4906" ht="15.75" customHeight="1" x14ac:dyDescent="0.25"/>
    <row r="4907" ht="15.75" customHeight="1" x14ac:dyDescent="0.25"/>
    <row r="4908" ht="15.75" customHeight="1" x14ac:dyDescent="0.25"/>
    <row r="4909" ht="15.75" customHeight="1" x14ac:dyDescent="0.25"/>
    <row r="4910" ht="15.75" customHeight="1" x14ac:dyDescent="0.25"/>
    <row r="4911" ht="15.75" customHeight="1" x14ac:dyDescent="0.25"/>
    <row r="4912" ht="15.75" customHeight="1" x14ac:dyDescent="0.25"/>
    <row r="4913" ht="15.75" customHeight="1" x14ac:dyDescent="0.25"/>
    <row r="4914" ht="15.75" customHeight="1" x14ac:dyDescent="0.25"/>
    <row r="4915" ht="15.75" customHeight="1" x14ac:dyDescent="0.25"/>
    <row r="4916" ht="15.75" customHeight="1" x14ac:dyDescent="0.25"/>
    <row r="4917" ht="15.75" customHeight="1" x14ac:dyDescent="0.25"/>
    <row r="4918" ht="15.75" customHeight="1" x14ac:dyDescent="0.25"/>
    <row r="4919" ht="15.75" customHeight="1" x14ac:dyDescent="0.25"/>
    <row r="4920" ht="15.75" customHeight="1" x14ac:dyDescent="0.25"/>
    <row r="4921" ht="15.75" customHeight="1" x14ac:dyDescent="0.25"/>
    <row r="4922" ht="15.75" customHeight="1" x14ac:dyDescent="0.25"/>
    <row r="4923" ht="15.75" customHeight="1" x14ac:dyDescent="0.25"/>
    <row r="4924" ht="15.75" customHeight="1" x14ac:dyDescent="0.25"/>
    <row r="4925" ht="15.75" customHeight="1" x14ac:dyDescent="0.25"/>
    <row r="4926" ht="15.75" customHeight="1" x14ac:dyDescent="0.25"/>
    <row r="4927" ht="15.75" customHeight="1" x14ac:dyDescent="0.25"/>
    <row r="4928" ht="15.75" customHeight="1" x14ac:dyDescent="0.25"/>
    <row r="4929" ht="15.75" customHeight="1" x14ac:dyDescent="0.25"/>
    <row r="4930" ht="15.75" customHeight="1" x14ac:dyDescent="0.25"/>
    <row r="4931" ht="15.75" customHeight="1" x14ac:dyDescent="0.25"/>
    <row r="4932" ht="15.75" customHeight="1" x14ac:dyDescent="0.25"/>
    <row r="4933" ht="15.75" customHeight="1" x14ac:dyDescent="0.25"/>
    <row r="4934" ht="15.75" customHeight="1" x14ac:dyDescent="0.25"/>
    <row r="4935" ht="15.75" customHeight="1" x14ac:dyDescent="0.25"/>
    <row r="4936" ht="15.75" customHeight="1" x14ac:dyDescent="0.25"/>
    <row r="4937" ht="15.75" customHeight="1" x14ac:dyDescent="0.25"/>
    <row r="4938" ht="15.75" customHeight="1" x14ac:dyDescent="0.25"/>
    <row r="4939" ht="15.75" customHeight="1" x14ac:dyDescent="0.25"/>
    <row r="4940" ht="15.75" customHeight="1" x14ac:dyDescent="0.25"/>
    <row r="4941" ht="15.75" customHeight="1" x14ac:dyDescent="0.25"/>
    <row r="4942" ht="15.75" customHeight="1" x14ac:dyDescent="0.25"/>
    <row r="4943" ht="15.75" customHeight="1" x14ac:dyDescent="0.25"/>
    <row r="4944" ht="15.75" customHeight="1" x14ac:dyDescent="0.25"/>
    <row r="4945" ht="15.75" customHeight="1" x14ac:dyDescent="0.25"/>
    <row r="4946" ht="15.75" customHeight="1" x14ac:dyDescent="0.25"/>
    <row r="4947" ht="15.75" customHeight="1" x14ac:dyDescent="0.25"/>
    <row r="4948" ht="15.75" customHeight="1" x14ac:dyDescent="0.25"/>
    <row r="4949" ht="15.75" customHeight="1" x14ac:dyDescent="0.25"/>
    <row r="4950" ht="15.75" customHeight="1" x14ac:dyDescent="0.25"/>
    <row r="4951" ht="15.75" customHeight="1" x14ac:dyDescent="0.25"/>
    <row r="4952" ht="15.75" customHeight="1" x14ac:dyDescent="0.25"/>
    <row r="4953" ht="15.75" customHeight="1" x14ac:dyDescent="0.25"/>
    <row r="4954" ht="15.75" customHeight="1" x14ac:dyDescent="0.25"/>
    <row r="4955" ht="15.75" customHeight="1" x14ac:dyDescent="0.25"/>
    <row r="4956" ht="15.75" customHeight="1" x14ac:dyDescent="0.25"/>
    <row r="4957" ht="15.75" customHeight="1" x14ac:dyDescent="0.25"/>
    <row r="4958" ht="15.75" customHeight="1" x14ac:dyDescent="0.25"/>
    <row r="4959" ht="15.75" customHeight="1" x14ac:dyDescent="0.25"/>
    <row r="4960" ht="15.75" customHeight="1" x14ac:dyDescent="0.25"/>
    <row r="4961" ht="15.75" customHeight="1" x14ac:dyDescent="0.25"/>
    <row r="4962" ht="15.75" customHeight="1" x14ac:dyDescent="0.25"/>
    <row r="4963" ht="15.75" customHeight="1" x14ac:dyDescent="0.25"/>
    <row r="4964" ht="15.75" customHeight="1" x14ac:dyDescent="0.25"/>
    <row r="4965" ht="15.75" customHeight="1" x14ac:dyDescent="0.25"/>
    <row r="4966" ht="15.75" customHeight="1" x14ac:dyDescent="0.25"/>
    <row r="4967" ht="15.75" customHeight="1" x14ac:dyDescent="0.25"/>
    <row r="4968" ht="15.75" customHeight="1" x14ac:dyDescent="0.25"/>
    <row r="4969" ht="15.75" customHeight="1" x14ac:dyDescent="0.25"/>
    <row r="4970" ht="15.75" customHeight="1" x14ac:dyDescent="0.25"/>
    <row r="4971" ht="15.75" customHeight="1" x14ac:dyDescent="0.25"/>
    <row r="4972" ht="15.75" customHeight="1" x14ac:dyDescent="0.25"/>
    <row r="4973" ht="15.75" customHeight="1" x14ac:dyDescent="0.25"/>
    <row r="4974" ht="15.75" customHeight="1" x14ac:dyDescent="0.25"/>
    <row r="4975" ht="15.75" customHeight="1" x14ac:dyDescent="0.25"/>
    <row r="4976" ht="15.75" customHeight="1" x14ac:dyDescent="0.25"/>
    <row r="4977" ht="15.75" customHeight="1" x14ac:dyDescent="0.25"/>
    <row r="4978" ht="15.75" customHeight="1" x14ac:dyDescent="0.25"/>
    <row r="4979" ht="15.75" customHeight="1" x14ac:dyDescent="0.25"/>
    <row r="4980" ht="15.75" customHeight="1" x14ac:dyDescent="0.25"/>
    <row r="4981" ht="15.75" customHeight="1" x14ac:dyDescent="0.25"/>
    <row r="4982" ht="15.75" customHeight="1" x14ac:dyDescent="0.25"/>
    <row r="4983" ht="15.75" customHeight="1" x14ac:dyDescent="0.25"/>
    <row r="4984" ht="15.75" customHeight="1" x14ac:dyDescent="0.25"/>
    <row r="4985" ht="15.75" customHeight="1" x14ac:dyDescent="0.25"/>
    <row r="4986" ht="15.75" customHeight="1" x14ac:dyDescent="0.25"/>
    <row r="4987" ht="15.75" customHeight="1" x14ac:dyDescent="0.25"/>
    <row r="4988" ht="15.75" customHeight="1" x14ac:dyDescent="0.25"/>
    <row r="4989" ht="15.75" customHeight="1" x14ac:dyDescent="0.25"/>
    <row r="4990" ht="15.75" customHeight="1" x14ac:dyDescent="0.25"/>
    <row r="4991" ht="15.75" customHeight="1" x14ac:dyDescent="0.25"/>
    <row r="4992" ht="15.75" customHeight="1" x14ac:dyDescent="0.25"/>
    <row r="4993" ht="15.75" customHeight="1" x14ac:dyDescent="0.25"/>
    <row r="4994" ht="15.75" customHeight="1" x14ac:dyDescent="0.25"/>
    <row r="4995" ht="15.75" customHeight="1" x14ac:dyDescent="0.25"/>
    <row r="4996" ht="15.75" customHeight="1" x14ac:dyDescent="0.25"/>
    <row r="4997" ht="15.75" customHeight="1" x14ac:dyDescent="0.25"/>
    <row r="4998" ht="15.75" customHeight="1" x14ac:dyDescent="0.25"/>
    <row r="4999" ht="15.75" customHeight="1" x14ac:dyDescent="0.25"/>
    <row r="5000" ht="15.75" customHeight="1" x14ac:dyDescent="0.25"/>
    <row r="5001" ht="15.75" customHeight="1" x14ac:dyDescent="0.25"/>
    <row r="5002" ht="15.75" customHeight="1" x14ac:dyDescent="0.25"/>
    <row r="5003" ht="15.75" customHeight="1" x14ac:dyDescent="0.25"/>
    <row r="5004" ht="15.75" customHeight="1" x14ac:dyDescent="0.25"/>
    <row r="5005" ht="15.75" customHeight="1" x14ac:dyDescent="0.25"/>
    <row r="5006" ht="15.75" customHeight="1" x14ac:dyDescent="0.25"/>
    <row r="5007" ht="15.75" customHeight="1" x14ac:dyDescent="0.25"/>
    <row r="5008" ht="15.75" customHeight="1" x14ac:dyDescent="0.25"/>
    <row r="5009" ht="15.75" customHeight="1" x14ac:dyDescent="0.25"/>
    <row r="5010" ht="15.75" customHeight="1" x14ac:dyDescent="0.25"/>
    <row r="5011" ht="15.75" customHeight="1" x14ac:dyDescent="0.25"/>
    <row r="5012" ht="15.75" customHeight="1" x14ac:dyDescent="0.25"/>
    <row r="5013" ht="15.75" customHeight="1" x14ac:dyDescent="0.25"/>
    <row r="5014" ht="15.75" customHeight="1" x14ac:dyDescent="0.25"/>
    <row r="5015" ht="15.75" customHeight="1" x14ac:dyDescent="0.25"/>
    <row r="5016" ht="15.75" customHeight="1" x14ac:dyDescent="0.25"/>
    <row r="5017" ht="15.75" customHeight="1" x14ac:dyDescent="0.25"/>
    <row r="5018" ht="15.75" customHeight="1" x14ac:dyDescent="0.25"/>
    <row r="5019" ht="15.75" customHeight="1" x14ac:dyDescent="0.25"/>
    <row r="5020" ht="15.75" customHeight="1" x14ac:dyDescent="0.25"/>
    <row r="5021" ht="15.75" customHeight="1" x14ac:dyDescent="0.25"/>
    <row r="5022" ht="15.75" customHeight="1" x14ac:dyDescent="0.25"/>
    <row r="5023" ht="15.75" customHeight="1" x14ac:dyDescent="0.25"/>
    <row r="5024" ht="15.75" customHeight="1" x14ac:dyDescent="0.25"/>
    <row r="5025" ht="15.75" customHeight="1" x14ac:dyDescent="0.25"/>
    <row r="5026" ht="15.75" customHeight="1" x14ac:dyDescent="0.25"/>
    <row r="5027" ht="15.75" customHeight="1" x14ac:dyDescent="0.25"/>
    <row r="5028" ht="15.75" customHeight="1" x14ac:dyDescent="0.25"/>
    <row r="5029" ht="15.75" customHeight="1" x14ac:dyDescent="0.25"/>
    <row r="5030" ht="15.75" customHeight="1" x14ac:dyDescent="0.25"/>
    <row r="5031" ht="15.75" customHeight="1" x14ac:dyDescent="0.25"/>
    <row r="5032" ht="15.75" customHeight="1" x14ac:dyDescent="0.25"/>
    <row r="5033" ht="15.75" customHeight="1" x14ac:dyDescent="0.25"/>
    <row r="5034" ht="15.75" customHeight="1" x14ac:dyDescent="0.25"/>
    <row r="5035" ht="15.75" customHeight="1" x14ac:dyDescent="0.25"/>
    <row r="5036" ht="15.75" customHeight="1" x14ac:dyDescent="0.25"/>
    <row r="5037" ht="15.75" customHeight="1" x14ac:dyDescent="0.25"/>
    <row r="5038" ht="15.75" customHeight="1" x14ac:dyDescent="0.25"/>
    <row r="5039" ht="15.75" customHeight="1" x14ac:dyDescent="0.25"/>
    <row r="5040" ht="15.75" customHeight="1" x14ac:dyDescent="0.25"/>
    <row r="5041" ht="15.75" customHeight="1" x14ac:dyDescent="0.25"/>
    <row r="5042" ht="15.75" customHeight="1" x14ac:dyDescent="0.25"/>
    <row r="5043" ht="15.75" customHeight="1" x14ac:dyDescent="0.25"/>
    <row r="5044" ht="15.75" customHeight="1" x14ac:dyDescent="0.25"/>
    <row r="5045" ht="15.75" customHeight="1" x14ac:dyDescent="0.25"/>
    <row r="5046" ht="15.75" customHeight="1" x14ac:dyDescent="0.25"/>
    <row r="5047" ht="15.75" customHeight="1" x14ac:dyDescent="0.25"/>
    <row r="5048" ht="15.75" customHeight="1" x14ac:dyDescent="0.25"/>
    <row r="5049" ht="15.75" customHeight="1" x14ac:dyDescent="0.25"/>
    <row r="5050" ht="15.75" customHeight="1" x14ac:dyDescent="0.25"/>
    <row r="5051" ht="15.75" customHeight="1" x14ac:dyDescent="0.25"/>
    <row r="5052" ht="15.75" customHeight="1" x14ac:dyDescent="0.25"/>
    <row r="5053" ht="15.75" customHeight="1" x14ac:dyDescent="0.25"/>
    <row r="5054" ht="15.75" customHeight="1" x14ac:dyDescent="0.25"/>
    <row r="5055" ht="15.75" customHeight="1" x14ac:dyDescent="0.25"/>
    <row r="5056" ht="15.75" customHeight="1" x14ac:dyDescent="0.25"/>
    <row r="5057" ht="15.75" customHeight="1" x14ac:dyDescent="0.25"/>
    <row r="5058" ht="15.75" customHeight="1" x14ac:dyDescent="0.25"/>
    <row r="5059" ht="15.75" customHeight="1" x14ac:dyDescent="0.25"/>
    <row r="5060" ht="15.75" customHeight="1" x14ac:dyDescent="0.25"/>
    <row r="5061" ht="15.75" customHeight="1" x14ac:dyDescent="0.25"/>
    <row r="5062" ht="15.75" customHeight="1" x14ac:dyDescent="0.25"/>
    <row r="5063" ht="15.75" customHeight="1" x14ac:dyDescent="0.25"/>
    <row r="5064" ht="15.75" customHeight="1" x14ac:dyDescent="0.25"/>
    <row r="5065" ht="15.75" customHeight="1" x14ac:dyDescent="0.25"/>
    <row r="5066" ht="15.75" customHeight="1" x14ac:dyDescent="0.25"/>
    <row r="5067" ht="15.75" customHeight="1" x14ac:dyDescent="0.25"/>
    <row r="5068" ht="15.75" customHeight="1" x14ac:dyDescent="0.25"/>
    <row r="5069" ht="15.75" customHeight="1" x14ac:dyDescent="0.25"/>
    <row r="5070" ht="15.75" customHeight="1" x14ac:dyDescent="0.25"/>
    <row r="5071" ht="15.75" customHeight="1" x14ac:dyDescent="0.25"/>
    <row r="5072" ht="15.75" customHeight="1" x14ac:dyDescent="0.25"/>
    <row r="5073" ht="15.75" customHeight="1" x14ac:dyDescent="0.25"/>
    <row r="5074" ht="15.75" customHeight="1" x14ac:dyDescent="0.25"/>
    <row r="5075" ht="15.75" customHeight="1" x14ac:dyDescent="0.25"/>
    <row r="5076" ht="15.75" customHeight="1" x14ac:dyDescent="0.25"/>
    <row r="5077" ht="15.75" customHeight="1" x14ac:dyDescent="0.25"/>
    <row r="5078" ht="15.75" customHeight="1" x14ac:dyDescent="0.25"/>
    <row r="5079" ht="15.75" customHeight="1" x14ac:dyDescent="0.25"/>
    <row r="5080" ht="15.75" customHeight="1" x14ac:dyDescent="0.25"/>
    <row r="5081" ht="15.75" customHeight="1" x14ac:dyDescent="0.25"/>
    <row r="5082" ht="15.75" customHeight="1" x14ac:dyDescent="0.25"/>
    <row r="5083" ht="15.75" customHeight="1" x14ac:dyDescent="0.25"/>
    <row r="5084" ht="15.75" customHeight="1" x14ac:dyDescent="0.25"/>
    <row r="5085" ht="15.75" customHeight="1" x14ac:dyDescent="0.25"/>
    <row r="5086" ht="15.75" customHeight="1" x14ac:dyDescent="0.25"/>
    <row r="5087" ht="15.75" customHeight="1" x14ac:dyDescent="0.25"/>
    <row r="5088" ht="15.75" customHeight="1" x14ac:dyDescent="0.25"/>
    <row r="5089" ht="15.75" customHeight="1" x14ac:dyDescent="0.25"/>
    <row r="5090" ht="15.75" customHeight="1" x14ac:dyDescent="0.25"/>
    <row r="5091" ht="15.75" customHeight="1" x14ac:dyDescent="0.25"/>
    <row r="5092" ht="15.75" customHeight="1" x14ac:dyDescent="0.25"/>
    <row r="5093" ht="15.75" customHeight="1" x14ac:dyDescent="0.25"/>
    <row r="5094" ht="15.75" customHeight="1" x14ac:dyDescent="0.25"/>
    <row r="5095" ht="15.75" customHeight="1" x14ac:dyDescent="0.25"/>
    <row r="5096" ht="15.75" customHeight="1" x14ac:dyDescent="0.25"/>
    <row r="5097" ht="15.75" customHeight="1" x14ac:dyDescent="0.25"/>
    <row r="5098" ht="15.75" customHeight="1" x14ac:dyDescent="0.25"/>
    <row r="5099" ht="15.75" customHeight="1" x14ac:dyDescent="0.25"/>
    <row r="5100" ht="15.75" customHeight="1" x14ac:dyDescent="0.25"/>
    <row r="5101" ht="15.75" customHeight="1" x14ac:dyDescent="0.25"/>
    <row r="5102" ht="15.75" customHeight="1" x14ac:dyDescent="0.25"/>
    <row r="5103" ht="15.75" customHeight="1" x14ac:dyDescent="0.25"/>
    <row r="5104" ht="15.75" customHeight="1" x14ac:dyDescent="0.25"/>
    <row r="5105" ht="15.75" customHeight="1" x14ac:dyDescent="0.25"/>
    <row r="5106" ht="15.75" customHeight="1" x14ac:dyDescent="0.25"/>
    <row r="5107" ht="15.75" customHeight="1" x14ac:dyDescent="0.25"/>
    <row r="5108" ht="15.75" customHeight="1" x14ac:dyDescent="0.25"/>
    <row r="5109" ht="15.75" customHeight="1" x14ac:dyDescent="0.25"/>
    <row r="5110" ht="15.75" customHeight="1" x14ac:dyDescent="0.25"/>
    <row r="5111" ht="15.75" customHeight="1" x14ac:dyDescent="0.25"/>
    <row r="5112" ht="15.75" customHeight="1" x14ac:dyDescent="0.25"/>
    <row r="5113" ht="15.75" customHeight="1" x14ac:dyDescent="0.25"/>
    <row r="5114" ht="15.75" customHeight="1" x14ac:dyDescent="0.25"/>
    <row r="5115" ht="15.75" customHeight="1" x14ac:dyDescent="0.25"/>
    <row r="5116" ht="15.75" customHeight="1" x14ac:dyDescent="0.25"/>
    <row r="5117" ht="15.75" customHeight="1" x14ac:dyDescent="0.25"/>
    <row r="5118" ht="15.75" customHeight="1" x14ac:dyDescent="0.25"/>
    <row r="5119" ht="15.75" customHeight="1" x14ac:dyDescent="0.25"/>
    <row r="5120" ht="15.75" customHeight="1" x14ac:dyDescent="0.25"/>
    <row r="5121" ht="15.75" customHeight="1" x14ac:dyDescent="0.25"/>
    <row r="5122" ht="15.75" customHeight="1" x14ac:dyDescent="0.25"/>
    <row r="5123" ht="15.75" customHeight="1" x14ac:dyDescent="0.25"/>
    <row r="5124" ht="15.75" customHeight="1" x14ac:dyDescent="0.25"/>
    <row r="5125" ht="15.75" customHeight="1" x14ac:dyDescent="0.25"/>
    <row r="5126" ht="15.75" customHeight="1" x14ac:dyDescent="0.25"/>
    <row r="5127" ht="15.75" customHeight="1" x14ac:dyDescent="0.25"/>
    <row r="5128" ht="15.75" customHeight="1" x14ac:dyDescent="0.25"/>
    <row r="5129" ht="15.75" customHeight="1" x14ac:dyDescent="0.25"/>
    <row r="5130" ht="15.75" customHeight="1" x14ac:dyDescent="0.25"/>
    <row r="5131" ht="15.75" customHeight="1" x14ac:dyDescent="0.25"/>
    <row r="5132" ht="15.75" customHeight="1" x14ac:dyDescent="0.25"/>
    <row r="5133" ht="15.75" customHeight="1" x14ac:dyDescent="0.25"/>
    <row r="5134" ht="15.75" customHeight="1" x14ac:dyDescent="0.25"/>
    <row r="5135" ht="15.75" customHeight="1" x14ac:dyDescent="0.25"/>
    <row r="5136" ht="15.75" customHeight="1" x14ac:dyDescent="0.25"/>
    <row r="5137" ht="15.75" customHeight="1" x14ac:dyDescent="0.25"/>
    <row r="5138" ht="15.75" customHeight="1" x14ac:dyDescent="0.25"/>
    <row r="5139" ht="15.75" customHeight="1" x14ac:dyDescent="0.25"/>
    <row r="5140" ht="15.75" customHeight="1" x14ac:dyDescent="0.25"/>
    <row r="5141" ht="15.75" customHeight="1" x14ac:dyDescent="0.25"/>
    <row r="5142" ht="15.75" customHeight="1" x14ac:dyDescent="0.25"/>
    <row r="5143" ht="15.75" customHeight="1" x14ac:dyDescent="0.25"/>
    <row r="5144" ht="15.75" customHeight="1" x14ac:dyDescent="0.25"/>
    <row r="5145" ht="15.75" customHeight="1" x14ac:dyDescent="0.25"/>
    <row r="5146" ht="15.75" customHeight="1" x14ac:dyDescent="0.25"/>
    <row r="5147" ht="15.75" customHeight="1" x14ac:dyDescent="0.25"/>
    <row r="5148" ht="15.75" customHeight="1" x14ac:dyDescent="0.25"/>
    <row r="5149" ht="15.75" customHeight="1" x14ac:dyDescent="0.25"/>
    <row r="5150" ht="15.75" customHeight="1" x14ac:dyDescent="0.25"/>
    <row r="5151" ht="15.75" customHeight="1" x14ac:dyDescent="0.25"/>
    <row r="5152" ht="15.75" customHeight="1" x14ac:dyDescent="0.25"/>
    <row r="5153" ht="15.75" customHeight="1" x14ac:dyDescent="0.25"/>
    <row r="5154" ht="15.75" customHeight="1" x14ac:dyDescent="0.25"/>
    <row r="5155" ht="15.75" customHeight="1" x14ac:dyDescent="0.25"/>
    <row r="5156" ht="15.75" customHeight="1" x14ac:dyDescent="0.25"/>
    <row r="5157" ht="15.75" customHeight="1" x14ac:dyDescent="0.25"/>
    <row r="5158" ht="15.75" customHeight="1" x14ac:dyDescent="0.25"/>
    <row r="5159" ht="15.75" customHeight="1" x14ac:dyDescent="0.25"/>
    <row r="5160" ht="15.75" customHeight="1" x14ac:dyDescent="0.25"/>
    <row r="5161" ht="15.75" customHeight="1" x14ac:dyDescent="0.25"/>
    <row r="5162" ht="15.75" customHeight="1" x14ac:dyDescent="0.25"/>
    <row r="5163" ht="15.75" customHeight="1" x14ac:dyDescent="0.25"/>
    <row r="5164" ht="15.75" customHeight="1" x14ac:dyDescent="0.25"/>
    <row r="5165" ht="15.75" customHeight="1" x14ac:dyDescent="0.25"/>
    <row r="5166" ht="15.75" customHeight="1" x14ac:dyDescent="0.25"/>
    <row r="5167" ht="15.75" customHeight="1" x14ac:dyDescent="0.25"/>
    <row r="5168" ht="15.75" customHeight="1" x14ac:dyDescent="0.25"/>
    <row r="5169" ht="15.75" customHeight="1" x14ac:dyDescent="0.25"/>
    <row r="5170" ht="15.75" customHeight="1" x14ac:dyDescent="0.25"/>
    <row r="5171" ht="15.75" customHeight="1" x14ac:dyDescent="0.25"/>
    <row r="5172" ht="15.75" customHeight="1" x14ac:dyDescent="0.25"/>
    <row r="5173" ht="15.75" customHeight="1" x14ac:dyDescent="0.25"/>
    <row r="5174" ht="15.75" customHeight="1" x14ac:dyDescent="0.25"/>
    <row r="5175" ht="15.75" customHeight="1" x14ac:dyDescent="0.25"/>
    <row r="5176" ht="15.75" customHeight="1" x14ac:dyDescent="0.25"/>
    <row r="5177" ht="15.75" customHeight="1" x14ac:dyDescent="0.25"/>
    <row r="5178" ht="15.75" customHeight="1" x14ac:dyDescent="0.25"/>
    <row r="5179" ht="15.75" customHeight="1" x14ac:dyDescent="0.25"/>
    <row r="5180" ht="15.75" customHeight="1" x14ac:dyDescent="0.25"/>
    <row r="5181" ht="15.75" customHeight="1" x14ac:dyDescent="0.25"/>
    <row r="5182" ht="15.75" customHeight="1" x14ac:dyDescent="0.25"/>
    <row r="5183" ht="15.75" customHeight="1" x14ac:dyDescent="0.25"/>
    <row r="5184" ht="15.75" customHeight="1" x14ac:dyDescent="0.25"/>
    <row r="5185" ht="15.75" customHeight="1" x14ac:dyDescent="0.25"/>
    <row r="5186" ht="15.75" customHeight="1" x14ac:dyDescent="0.25"/>
    <row r="5187" ht="15.75" customHeight="1" x14ac:dyDescent="0.25"/>
    <row r="5188" ht="15.75" customHeight="1" x14ac:dyDescent="0.25"/>
    <row r="5189" ht="15.75" customHeight="1" x14ac:dyDescent="0.25"/>
    <row r="5190" ht="15.75" customHeight="1" x14ac:dyDescent="0.25"/>
    <row r="5191" ht="15.75" customHeight="1" x14ac:dyDescent="0.25"/>
    <row r="5192" ht="15.75" customHeight="1" x14ac:dyDescent="0.25"/>
    <row r="5193" ht="15.75" customHeight="1" x14ac:dyDescent="0.25"/>
    <row r="5194" ht="15.75" customHeight="1" x14ac:dyDescent="0.25"/>
    <row r="5195" ht="15.75" customHeight="1" x14ac:dyDescent="0.25"/>
    <row r="5196" ht="15.75" customHeight="1" x14ac:dyDescent="0.25"/>
    <row r="5197" ht="15.75" customHeight="1" x14ac:dyDescent="0.25"/>
    <row r="5198" ht="15.75" customHeight="1" x14ac:dyDescent="0.25"/>
    <row r="5199" ht="15.75" customHeight="1" x14ac:dyDescent="0.25"/>
    <row r="5200" ht="15.75" customHeight="1" x14ac:dyDescent="0.25"/>
    <row r="5201" ht="15.75" customHeight="1" x14ac:dyDescent="0.25"/>
    <row r="5202" ht="15.75" customHeight="1" x14ac:dyDescent="0.25"/>
    <row r="5203" ht="15.75" customHeight="1" x14ac:dyDescent="0.25"/>
    <row r="5204" ht="15.75" customHeight="1" x14ac:dyDescent="0.25"/>
    <row r="5205" ht="15.75" customHeight="1" x14ac:dyDescent="0.25"/>
    <row r="5206" ht="15.75" customHeight="1" x14ac:dyDescent="0.25"/>
    <row r="5207" ht="15.75" customHeight="1" x14ac:dyDescent="0.25"/>
    <row r="5208" ht="15.75" customHeight="1" x14ac:dyDescent="0.25"/>
    <row r="5209" ht="15.75" customHeight="1" x14ac:dyDescent="0.25"/>
    <row r="5210" ht="15.75" customHeight="1" x14ac:dyDescent="0.25"/>
    <row r="5211" ht="15.75" customHeight="1" x14ac:dyDescent="0.25"/>
    <row r="5212" ht="15.75" customHeight="1" x14ac:dyDescent="0.25"/>
    <row r="5213" ht="15.75" customHeight="1" x14ac:dyDescent="0.25"/>
    <row r="5214" ht="15.75" customHeight="1" x14ac:dyDescent="0.25"/>
    <row r="5215" ht="15.75" customHeight="1" x14ac:dyDescent="0.25"/>
    <row r="5216" ht="15.75" customHeight="1" x14ac:dyDescent="0.25"/>
    <row r="5217" ht="15.75" customHeight="1" x14ac:dyDescent="0.25"/>
    <row r="5218" ht="15.75" customHeight="1" x14ac:dyDescent="0.25"/>
    <row r="5219" ht="15.75" customHeight="1" x14ac:dyDescent="0.25"/>
    <row r="5220" ht="15.75" customHeight="1" x14ac:dyDescent="0.25"/>
    <row r="5221" ht="15.75" customHeight="1" x14ac:dyDescent="0.25"/>
    <row r="5222" ht="15.75" customHeight="1" x14ac:dyDescent="0.25"/>
    <row r="5223" ht="15.75" customHeight="1" x14ac:dyDescent="0.25"/>
    <row r="5224" ht="15.75" customHeight="1" x14ac:dyDescent="0.25"/>
    <row r="5225" ht="15.75" customHeight="1" x14ac:dyDescent="0.25"/>
    <row r="5226" ht="15.75" customHeight="1" x14ac:dyDescent="0.25"/>
    <row r="5227" ht="15.75" customHeight="1" x14ac:dyDescent="0.25"/>
    <row r="5228" ht="15.75" customHeight="1" x14ac:dyDescent="0.25"/>
    <row r="5229" ht="15.75" customHeight="1" x14ac:dyDescent="0.25"/>
    <row r="5230" ht="15.75" customHeight="1" x14ac:dyDescent="0.25"/>
    <row r="5231" ht="15.75" customHeight="1" x14ac:dyDescent="0.25"/>
    <row r="5232" ht="15.75" customHeight="1" x14ac:dyDescent="0.25"/>
    <row r="5233" ht="15.75" customHeight="1" x14ac:dyDescent="0.25"/>
    <row r="5234" ht="15.75" customHeight="1" x14ac:dyDescent="0.25"/>
    <row r="5235" ht="15.75" customHeight="1" x14ac:dyDescent="0.25"/>
    <row r="5236" ht="15.75" customHeight="1" x14ac:dyDescent="0.25"/>
    <row r="5237" ht="15.75" customHeight="1" x14ac:dyDescent="0.25"/>
    <row r="5238" ht="15.75" customHeight="1" x14ac:dyDescent="0.25"/>
    <row r="5239" ht="15.75" customHeight="1" x14ac:dyDescent="0.25"/>
    <row r="5240" ht="15.75" customHeight="1" x14ac:dyDescent="0.25"/>
    <row r="5241" ht="15.75" customHeight="1" x14ac:dyDescent="0.25"/>
    <row r="5242" ht="15.75" customHeight="1" x14ac:dyDescent="0.25"/>
    <row r="5243" ht="15.75" customHeight="1" x14ac:dyDescent="0.25"/>
    <row r="5244" ht="15.75" customHeight="1" x14ac:dyDescent="0.25"/>
    <row r="5245" ht="15.75" customHeight="1" x14ac:dyDescent="0.25"/>
    <row r="5246" ht="15.75" customHeight="1" x14ac:dyDescent="0.25"/>
    <row r="5247" ht="15.75" customHeight="1" x14ac:dyDescent="0.25"/>
    <row r="5248" ht="15.75" customHeight="1" x14ac:dyDescent="0.25"/>
    <row r="5249" ht="15.75" customHeight="1" x14ac:dyDescent="0.25"/>
    <row r="5250" ht="15.75" customHeight="1" x14ac:dyDescent="0.25"/>
    <row r="5251" ht="15.75" customHeight="1" x14ac:dyDescent="0.25"/>
    <row r="5252" ht="15.75" customHeight="1" x14ac:dyDescent="0.25"/>
    <row r="5253" ht="15.75" customHeight="1" x14ac:dyDescent="0.25"/>
    <row r="5254" ht="15.75" customHeight="1" x14ac:dyDescent="0.25"/>
    <row r="5255" ht="15.75" customHeight="1" x14ac:dyDescent="0.25"/>
    <row r="5256" ht="15.75" customHeight="1" x14ac:dyDescent="0.25"/>
    <row r="5257" ht="15.75" customHeight="1" x14ac:dyDescent="0.25"/>
    <row r="5258" ht="15.75" customHeight="1" x14ac:dyDescent="0.25"/>
    <row r="5259" ht="15.75" customHeight="1" x14ac:dyDescent="0.25"/>
    <row r="5260" ht="15.75" customHeight="1" x14ac:dyDescent="0.25"/>
    <row r="5261" ht="15.75" customHeight="1" x14ac:dyDescent="0.25"/>
    <row r="5262" ht="15.75" customHeight="1" x14ac:dyDescent="0.25"/>
    <row r="5263" ht="15.75" customHeight="1" x14ac:dyDescent="0.25"/>
    <row r="5264" ht="15.75" customHeight="1" x14ac:dyDescent="0.25"/>
    <row r="5265" ht="15.75" customHeight="1" x14ac:dyDescent="0.25"/>
    <row r="5266" ht="15.75" customHeight="1" x14ac:dyDescent="0.25"/>
    <row r="5267" ht="15.75" customHeight="1" x14ac:dyDescent="0.25"/>
    <row r="5268" ht="15.75" customHeight="1" x14ac:dyDescent="0.25"/>
    <row r="5269" ht="15.75" customHeight="1" x14ac:dyDescent="0.25"/>
    <row r="5270" ht="15.75" customHeight="1" x14ac:dyDescent="0.25"/>
    <row r="5271" ht="15.75" customHeight="1" x14ac:dyDescent="0.25"/>
    <row r="5272" ht="15.75" customHeight="1" x14ac:dyDescent="0.25"/>
    <row r="5273" ht="15.75" customHeight="1" x14ac:dyDescent="0.25"/>
    <row r="5274" ht="15.75" customHeight="1" x14ac:dyDescent="0.25"/>
    <row r="5275" ht="15.75" customHeight="1" x14ac:dyDescent="0.25"/>
    <row r="5276" ht="15.75" customHeight="1" x14ac:dyDescent="0.25"/>
    <row r="5277" ht="15.75" customHeight="1" x14ac:dyDescent="0.25"/>
    <row r="5278" ht="15.75" customHeight="1" x14ac:dyDescent="0.25"/>
    <row r="5279" ht="15.75" customHeight="1" x14ac:dyDescent="0.25"/>
    <row r="5280" ht="15.75" customHeight="1" x14ac:dyDescent="0.25"/>
    <row r="5281" ht="15.75" customHeight="1" x14ac:dyDescent="0.25"/>
    <row r="5282" ht="15.75" customHeight="1" x14ac:dyDescent="0.25"/>
    <row r="5283" ht="15.75" customHeight="1" x14ac:dyDescent="0.25"/>
    <row r="5284" ht="15.75" customHeight="1" x14ac:dyDescent="0.25"/>
    <row r="5285" ht="15.75" customHeight="1" x14ac:dyDescent="0.25"/>
    <row r="5286" ht="15.75" customHeight="1" x14ac:dyDescent="0.25"/>
    <row r="5287" ht="15.75" customHeight="1" x14ac:dyDescent="0.25"/>
    <row r="5288" ht="15.75" customHeight="1" x14ac:dyDescent="0.25"/>
    <row r="5289" ht="15.75" customHeight="1" x14ac:dyDescent="0.25"/>
    <row r="5290" ht="15.75" customHeight="1" x14ac:dyDescent="0.25"/>
    <row r="5291" ht="15.75" customHeight="1" x14ac:dyDescent="0.25"/>
    <row r="5292" ht="15.75" customHeight="1" x14ac:dyDescent="0.25"/>
    <row r="5293" ht="15.75" customHeight="1" x14ac:dyDescent="0.25"/>
    <row r="5294" ht="15.75" customHeight="1" x14ac:dyDescent="0.25"/>
    <row r="5295" ht="15.75" customHeight="1" x14ac:dyDescent="0.25"/>
    <row r="5296" ht="15.75" customHeight="1" x14ac:dyDescent="0.25"/>
    <row r="5297" ht="15.75" customHeight="1" x14ac:dyDescent="0.25"/>
    <row r="5298" ht="15.75" customHeight="1" x14ac:dyDescent="0.25"/>
    <row r="5299" ht="15.75" customHeight="1" x14ac:dyDescent="0.25"/>
    <row r="5300" ht="15.75" customHeight="1" x14ac:dyDescent="0.25"/>
    <row r="5301" ht="15.75" customHeight="1" x14ac:dyDescent="0.25"/>
    <row r="5302" ht="15.75" customHeight="1" x14ac:dyDescent="0.25"/>
    <row r="5303" ht="15.75" customHeight="1" x14ac:dyDescent="0.25"/>
    <row r="5304" ht="15.75" customHeight="1" x14ac:dyDescent="0.25"/>
    <row r="5305" ht="15.75" customHeight="1" x14ac:dyDescent="0.25"/>
    <row r="5306" ht="15.75" customHeight="1" x14ac:dyDescent="0.25"/>
    <row r="5307" ht="15.75" customHeight="1" x14ac:dyDescent="0.25"/>
    <row r="5308" ht="15.75" customHeight="1" x14ac:dyDescent="0.25"/>
    <row r="5309" ht="15.75" customHeight="1" x14ac:dyDescent="0.25"/>
    <row r="5310" ht="15.75" customHeight="1" x14ac:dyDescent="0.25"/>
    <row r="5311" ht="15.75" customHeight="1" x14ac:dyDescent="0.25"/>
    <row r="5312" ht="15.75" customHeight="1" x14ac:dyDescent="0.25"/>
    <row r="5313" ht="15.75" customHeight="1" x14ac:dyDescent="0.25"/>
    <row r="5314" ht="15.75" customHeight="1" x14ac:dyDescent="0.25"/>
    <row r="5315" ht="15.75" customHeight="1" x14ac:dyDescent="0.25"/>
    <row r="5316" ht="15.75" customHeight="1" x14ac:dyDescent="0.25"/>
    <row r="5317" ht="15.75" customHeight="1" x14ac:dyDescent="0.25"/>
    <row r="5318" ht="15.75" customHeight="1" x14ac:dyDescent="0.25"/>
    <row r="5319" ht="15.75" customHeight="1" x14ac:dyDescent="0.25"/>
    <row r="5320" ht="15.75" customHeight="1" x14ac:dyDescent="0.25"/>
    <row r="5321" ht="15.75" customHeight="1" x14ac:dyDescent="0.25"/>
    <row r="5322" ht="15.75" customHeight="1" x14ac:dyDescent="0.25"/>
    <row r="5323" ht="15.75" customHeight="1" x14ac:dyDescent="0.25"/>
    <row r="5324" ht="15.75" customHeight="1" x14ac:dyDescent="0.25"/>
    <row r="5325" ht="15.75" customHeight="1" x14ac:dyDescent="0.25"/>
    <row r="5326" ht="15.75" customHeight="1" x14ac:dyDescent="0.25"/>
    <row r="5327" ht="15.75" customHeight="1" x14ac:dyDescent="0.25"/>
    <row r="5328" ht="15.75" customHeight="1" x14ac:dyDescent="0.25"/>
    <row r="5329" ht="15.75" customHeight="1" x14ac:dyDescent="0.25"/>
    <row r="5330" ht="15.75" customHeight="1" x14ac:dyDescent="0.25"/>
    <row r="5331" ht="15.75" customHeight="1" x14ac:dyDescent="0.25"/>
    <row r="5332" ht="15.75" customHeight="1" x14ac:dyDescent="0.25"/>
    <row r="5333" ht="15.75" customHeight="1" x14ac:dyDescent="0.25"/>
    <row r="5334" ht="15.75" customHeight="1" x14ac:dyDescent="0.25"/>
    <row r="5335" ht="15.75" customHeight="1" x14ac:dyDescent="0.25"/>
    <row r="5336" ht="15.75" customHeight="1" x14ac:dyDescent="0.25"/>
    <row r="5337" ht="15.75" customHeight="1" x14ac:dyDescent="0.25"/>
    <row r="5338" ht="15.75" customHeight="1" x14ac:dyDescent="0.25"/>
    <row r="5339" ht="15.75" customHeight="1" x14ac:dyDescent="0.25"/>
    <row r="5340" ht="15.75" customHeight="1" x14ac:dyDescent="0.25"/>
    <row r="5341" ht="15.75" customHeight="1" x14ac:dyDescent="0.25"/>
    <row r="5342" ht="15.75" customHeight="1" x14ac:dyDescent="0.25"/>
    <row r="5343" ht="15.75" customHeight="1" x14ac:dyDescent="0.25"/>
    <row r="5344" ht="15.75" customHeight="1" x14ac:dyDescent="0.25"/>
    <row r="5345" ht="15.75" customHeight="1" x14ac:dyDescent="0.25"/>
    <row r="5346" ht="15.75" customHeight="1" x14ac:dyDescent="0.25"/>
    <row r="5347" ht="15.75" customHeight="1" x14ac:dyDescent="0.25"/>
    <row r="5348" ht="15.75" customHeight="1" x14ac:dyDescent="0.25"/>
    <row r="5349" ht="15.75" customHeight="1" x14ac:dyDescent="0.25"/>
    <row r="5350" ht="15.75" customHeight="1" x14ac:dyDescent="0.25"/>
    <row r="5351" ht="15.75" customHeight="1" x14ac:dyDescent="0.25"/>
    <row r="5352" ht="15.75" customHeight="1" x14ac:dyDescent="0.25"/>
    <row r="5353" ht="15.75" customHeight="1" x14ac:dyDescent="0.25"/>
    <row r="5354" ht="15.75" customHeight="1" x14ac:dyDescent="0.25"/>
    <row r="5355" ht="15.75" customHeight="1" x14ac:dyDescent="0.25"/>
    <row r="5356" ht="15.75" customHeight="1" x14ac:dyDescent="0.25"/>
    <row r="5357" ht="15.75" customHeight="1" x14ac:dyDescent="0.25"/>
    <row r="5358" ht="15.75" customHeight="1" x14ac:dyDescent="0.25"/>
    <row r="5359" ht="15.75" customHeight="1" x14ac:dyDescent="0.25"/>
    <row r="5360" ht="15.75" customHeight="1" x14ac:dyDescent="0.25"/>
    <row r="5361" ht="15.75" customHeight="1" x14ac:dyDescent="0.25"/>
    <row r="5362" ht="15.75" customHeight="1" x14ac:dyDescent="0.25"/>
    <row r="5363" ht="15.75" customHeight="1" x14ac:dyDescent="0.25"/>
    <row r="5364" ht="15.75" customHeight="1" x14ac:dyDescent="0.25"/>
    <row r="5365" ht="15.75" customHeight="1" x14ac:dyDescent="0.25"/>
    <row r="5366" ht="15.75" customHeight="1" x14ac:dyDescent="0.25"/>
    <row r="5367" ht="15.75" customHeight="1" x14ac:dyDescent="0.25"/>
    <row r="5368" ht="15.75" customHeight="1" x14ac:dyDescent="0.25"/>
    <row r="5369" ht="15.75" customHeight="1" x14ac:dyDescent="0.25"/>
    <row r="5370" ht="15.75" customHeight="1" x14ac:dyDescent="0.25"/>
    <row r="5371" ht="15.75" customHeight="1" x14ac:dyDescent="0.25"/>
    <row r="5372" ht="15.75" customHeight="1" x14ac:dyDescent="0.25"/>
    <row r="5373" ht="15.75" customHeight="1" x14ac:dyDescent="0.25"/>
    <row r="5374" ht="15.75" customHeight="1" x14ac:dyDescent="0.25"/>
    <row r="5375" ht="15.75" customHeight="1" x14ac:dyDescent="0.25"/>
    <row r="5376" ht="15.75" customHeight="1" x14ac:dyDescent="0.25"/>
    <row r="5377" ht="15.75" customHeight="1" x14ac:dyDescent="0.25"/>
    <row r="5378" ht="15.75" customHeight="1" x14ac:dyDescent="0.25"/>
    <row r="5379" ht="15.75" customHeight="1" x14ac:dyDescent="0.25"/>
    <row r="5380" ht="15.75" customHeight="1" x14ac:dyDescent="0.25"/>
    <row r="5381" ht="15.75" customHeight="1" x14ac:dyDescent="0.25"/>
    <row r="5382" ht="15.75" customHeight="1" x14ac:dyDescent="0.25"/>
    <row r="5383" ht="15.75" customHeight="1" x14ac:dyDescent="0.25"/>
    <row r="5384" ht="15.75" customHeight="1" x14ac:dyDescent="0.25"/>
    <row r="5385" ht="15.75" customHeight="1" x14ac:dyDescent="0.25"/>
    <row r="5386" ht="15.75" customHeight="1" x14ac:dyDescent="0.25"/>
    <row r="5387" ht="15.75" customHeight="1" x14ac:dyDescent="0.25"/>
    <row r="5388" ht="15.75" customHeight="1" x14ac:dyDescent="0.25"/>
    <row r="5389" ht="15.75" customHeight="1" x14ac:dyDescent="0.25"/>
    <row r="5390" ht="15.75" customHeight="1" x14ac:dyDescent="0.25"/>
    <row r="5391" ht="15.75" customHeight="1" x14ac:dyDescent="0.25"/>
    <row r="5392" ht="15.75" customHeight="1" x14ac:dyDescent="0.25"/>
    <row r="5393" ht="15.75" customHeight="1" x14ac:dyDescent="0.25"/>
    <row r="5394" ht="15.75" customHeight="1" x14ac:dyDescent="0.25"/>
    <row r="5395" ht="15.75" customHeight="1" x14ac:dyDescent="0.25"/>
    <row r="5396" ht="15.75" customHeight="1" x14ac:dyDescent="0.25"/>
    <row r="5397" ht="15.75" customHeight="1" x14ac:dyDescent="0.25"/>
    <row r="5398" ht="15.75" customHeight="1" x14ac:dyDescent="0.25"/>
    <row r="5399" ht="15.75" customHeight="1" x14ac:dyDescent="0.25"/>
    <row r="5400" ht="15.75" customHeight="1" x14ac:dyDescent="0.25"/>
    <row r="5401" ht="15.75" customHeight="1" x14ac:dyDescent="0.25"/>
    <row r="5402" ht="15.75" customHeight="1" x14ac:dyDescent="0.25"/>
    <row r="5403" ht="15.75" customHeight="1" x14ac:dyDescent="0.25"/>
    <row r="5404" ht="15.75" customHeight="1" x14ac:dyDescent="0.25"/>
    <row r="5405" ht="15.75" customHeight="1" x14ac:dyDescent="0.25"/>
    <row r="5406" ht="15.75" customHeight="1" x14ac:dyDescent="0.25"/>
    <row r="5407" ht="15.75" customHeight="1" x14ac:dyDescent="0.25"/>
    <row r="5408" ht="15.75" customHeight="1" x14ac:dyDescent="0.25"/>
    <row r="5409" ht="15.75" customHeight="1" x14ac:dyDescent="0.25"/>
    <row r="5410" ht="15.75" customHeight="1" x14ac:dyDescent="0.25"/>
    <row r="5411" ht="15.75" customHeight="1" x14ac:dyDescent="0.25"/>
    <row r="5412" ht="15.75" customHeight="1" x14ac:dyDescent="0.25"/>
    <row r="5413" ht="15.75" customHeight="1" x14ac:dyDescent="0.25"/>
    <row r="5414" ht="15.75" customHeight="1" x14ac:dyDescent="0.25"/>
    <row r="5415" ht="15.75" customHeight="1" x14ac:dyDescent="0.25"/>
    <row r="5416" ht="15.75" customHeight="1" x14ac:dyDescent="0.25"/>
    <row r="5417" ht="15.75" customHeight="1" x14ac:dyDescent="0.25"/>
    <row r="5418" ht="15.75" customHeight="1" x14ac:dyDescent="0.25"/>
    <row r="5419" ht="15.75" customHeight="1" x14ac:dyDescent="0.25"/>
    <row r="5420" ht="15.75" customHeight="1" x14ac:dyDescent="0.25"/>
    <row r="5421" ht="15.75" customHeight="1" x14ac:dyDescent="0.25"/>
    <row r="5422" ht="15.75" customHeight="1" x14ac:dyDescent="0.25"/>
    <row r="5423" ht="15.75" customHeight="1" x14ac:dyDescent="0.25"/>
    <row r="5424" ht="15.75" customHeight="1" x14ac:dyDescent="0.25"/>
    <row r="5425" ht="15.75" customHeight="1" x14ac:dyDescent="0.25"/>
    <row r="5426" ht="15.75" customHeight="1" x14ac:dyDescent="0.25"/>
    <row r="5427" ht="15.75" customHeight="1" x14ac:dyDescent="0.25"/>
    <row r="5428" ht="15.75" customHeight="1" x14ac:dyDescent="0.25"/>
    <row r="5429" ht="15.75" customHeight="1" x14ac:dyDescent="0.25"/>
    <row r="5430" ht="15.75" customHeight="1" x14ac:dyDescent="0.25"/>
    <row r="5431" ht="15.75" customHeight="1" x14ac:dyDescent="0.25"/>
    <row r="5432" ht="15.75" customHeight="1" x14ac:dyDescent="0.25"/>
    <row r="5433" ht="15.75" customHeight="1" x14ac:dyDescent="0.25"/>
    <row r="5434" ht="15.75" customHeight="1" x14ac:dyDescent="0.25"/>
    <row r="5435" ht="15.75" customHeight="1" x14ac:dyDescent="0.25"/>
    <row r="5436" ht="15.75" customHeight="1" x14ac:dyDescent="0.25"/>
    <row r="5437" ht="15.75" customHeight="1" x14ac:dyDescent="0.25"/>
    <row r="5438" ht="15.75" customHeight="1" x14ac:dyDescent="0.25"/>
    <row r="5439" ht="15.75" customHeight="1" x14ac:dyDescent="0.25"/>
    <row r="5440" ht="15.75" customHeight="1" x14ac:dyDescent="0.25"/>
    <row r="5441" ht="15.75" customHeight="1" x14ac:dyDescent="0.25"/>
    <row r="5442" ht="15.75" customHeight="1" x14ac:dyDescent="0.25"/>
    <row r="5443" ht="15.75" customHeight="1" x14ac:dyDescent="0.25"/>
    <row r="5444" ht="15.75" customHeight="1" x14ac:dyDescent="0.25"/>
    <row r="5445" ht="15.75" customHeight="1" x14ac:dyDescent="0.25"/>
    <row r="5446" ht="15.75" customHeight="1" x14ac:dyDescent="0.25"/>
    <row r="5447" ht="15.75" customHeight="1" x14ac:dyDescent="0.25"/>
    <row r="5448" ht="15.75" customHeight="1" x14ac:dyDescent="0.25"/>
    <row r="5449" ht="15.75" customHeight="1" x14ac:dyDescent="0.25"/>
    <row r="5450" ht="15.75" customHeight="1" x14ac:dyDescent="0.25"/>
    <row r="5451" ht="15.75" customHeight="1" x14ac:dyDescent="0.25"/>
    <row r="5452" ht="15.75" customHeight="1" x14ac:dyDescent="0.25"/>
    <row r="5453" ht="15.75" customHeight="1" x14ac:dyDescent="0.25"/>
    <row r="5454" ht="15.75" customHeight="1" x14ac:dyDescent="0.25"/>
    <row r="5455" ht="15.75" customHeight="1" x14ac:dyDescent="0.25"/>
    <row r="5456" ht="15.75" customHeight="1" x14ac:dyDescent="0.25"/>
    <row r="5457" ht="15.75" customHeight="1" x14ac:dyDescent="0.25"/>
    <row r="5458" ht="15.75" customHeight="1" x14ac:dyDescent="0.25"/>
    <row r="5459" ht="15.75" customHeight="1" x14ac:dyDescent="0.25"/>
    <row r="5460" ht="15.75" customHeight="1" x14ac:dyDescent="0.25"/>
    <row r="5461" ht="15.75" customHeight="1" x14ac:dyDescent="0.25"/>
    <row r="5462" ht="15.75" customHeight="1" x14ac:dyDescent="0.25"/>
    <row r="5463" ht="15.75" customHeight="1" x14ac:dyDescent="0.25"/>
    <row r="5464" ht="15.75" customHeight="1" x14ac:dyDescent="0.25"/>
    <row r="5465" ht="15.75" customHeight="1" x14ac:dyDescent="0.25"/>
    <row r="5466" ht="15.75" customHeight="1" x14ac:dyDescent="0.25"/>
    <row r="5467" ht="15.75" customHeight="1" x14ac:dyDescent="0.25"/>
    <row r="5468" ht="15.75" customHeight="1" x14ac:dyDescent="0.25"/>
    <row r="5469" ht="15.75" customHeight="1" x14ac:dyDescent="0.25"/>
    <row r="5470" ht="15.75" customHeight="1" x14ac:dyDescent="0.25"/>
    <row r="5471" ht="15.75" customHeight="1" x14ac:dyDescent="0.25"/>
    <row r="5472" ht="15.75" customHeight="1" x14ac:dyDescent="0.25"/>
    <row r="5473" ht="15.75" customHeight="1" x14ac:dyDescent="0.25"/>
    <row r="5474" ht="15.75" customHeight="1" x14ac:dyDescent="0.25"/>
    <row r="5475" ht="15.75" customHeight="1" x14ac:dyDescent="0.25"/>
    <row r="5476" ht="15.75" customHeight="1" x14ac:dyDescent="0.25"/>
    <row r="5477" ht="15.75" customHeight="1" x14ac:dyDescent="0.25"/>
    <row r="5478" ht="15.75" customHeight="1" x14ac:dyDescent="0.25"/>
    <row r="5479" ht="15.75" customHeight="1" x14ac:dyDescent="0.25"/>
    <row r="5480" ht="15.75" customHeight="1" x14ac:dyDescent="0.25"/>
    <row r="5481" ht="15.75" customHeight="1" x14ac:dyDescent="0.25"/>
    <row r="5482" ht="15.75" customHeight="1" x14ac:dyDescent="0.25"/>
    <row r="5483" ht="15.75" customHeight="1" x14ac:dyDescent="0.25"/>
    <row r="5484" ht="15.75" customHeight="1" x14ac:dyDescent="0.25"/>
    <row r="5485" ht="15.75" customHeight="1" x14ac:dyDescent="0.25"/>
    <row r="5486" ht="15.75" customHeight="1" x14ac:dyDescent="0.25"/>
    <row r="5487" ht="15.75" customHeight="1" x14ac:dyDescent="0.25"/>
    <row r="5488" ht="15.75" customHeight="1" x14ac:dyDescent="0.25"/>
    <row r="5489" ht="15.75" customHeight="1" x14ac:dyDescent="0.25"/>
    <row r="5490" ht="15.75" customHeight="1" x14ac:dyDescent="0.25"/>
    <row r="5491" ht="15.75" customHeight="1" x14ac:dyDescent="0.25"/>
    <row r="5492" ht="15.75" customHeight="1" x14ac:dyDescent="0.25"/>
    <row r="5493" ht="15.75" customHeight="1" x14ac:dyDescent="0.25"/>
    <row r="5494" ht="15.75" customHeight="1" x14ac:dyDescent="0.25"/>
    <row r="5495" ht="15.75" customHeight="1" x14ac:dyDescent="0.25"/>
    <row r="5496" ht="15.75" customHeight="1" x14ac:dyDescent="0.25"/>
    <row r="5497" ht="15.75" customHeight="1" x14ac:dyDescent="0.25"/>
    <row r="5498" ht="15.75" customHeight="1" x14ac:dyDescent="0.25"/>
    <row r="5499" ht="15.75" customHeight="1" x14ac:dyDescent="0.25"/>
    <row r="5500" ht="15.75" customHeight="1" x14ac:dyDescent="0.25"/>
    <row r="5501" ht="15.75" customHeight="1" x14ac:dyDescent="0.25"/>
    <row r="5502" ht="15.75" customHeight="1" x14ac:dyDescent="0.25"/>
    <row r="5503" ht="15.75" customHeight="1" x14ac:dyDescent="0.25"/>
    <row r="5504" ht="15.75" customHeight="1" x14ac:dyDescent="0.25"/>
    <row r="5505" ht="15.75" customHeight="1" x14ac:dyDescent="0.25"/>
    <row r="5506" ht="15.75" customHeight="1" x14ac:dyDescent="0.25"/>
    <row r="5507" ht="15.75" customHeight="1" x14ac:dyDescent="0.25"/>
    <row r="5508" ht="15.75" customHeight="1" x14ac:dyDescent="0.25"/>
    <row r="5509" ht="15.75" customHeight="1" x14ac:dyDescent="0.25"/>
    <row r="5510" ht="15.75" customHeight="1" x14ac:dyDescent="0.25"/>
    <row r="5511" ht="15.75" customHeight="1" x14ac:dyDescent="0.25"/>
    <row r="5512" ht="15.75" customHeight="1" x14ac:dyDescent="0.25"/>
    <row r="5513" ht="15.75" customHeight="1" x14ac:dyDescent="0.25"/>
    <row r="5514" ht="15.75" customHeight="1" x14ac:dyDescent="0.25"/>
    <row r="5515" ht="15.75" customHeight="1" x14ac:dyDescent="0.25"/>
    <row r="5516" ht="15.75" customHeight="1" x14ac:dyDescent="0.25"/>
    <row r="5517" ht="15.75" customHeight="1" x14ac:dyDescent="0.25"/>
    <row r="5518" ht="15.75" customHeight="1" x14ac:dyDescent="0.25"/>
    <row r="5519" ht="15.75" customHeight="1" x14ac:dyDescent="0.25"/>
    <row r="5520" ht="15.75" customHeight="1" x14ac:dyDescent="0.25"/>
    <row r="5521" ht="15.75" customHeight="1" x14ac:dyDescent="0.25"/>
    <row r="5522" ht="15.75" customHeight="1" x14ac:dyDescent="0.25"/>
    <row r="5523" ht="15.75" customHeight="1" x14ac:dyDescent="0.25"/>
    <row r="5524" ht="15.75" customHeight="1" x14ac:dyDescent="0.25"/>
    <row r="5525" ht="15.75" customHeight="1" x14ac:dyDescent="0.25"/>
    <row r="5526" ht="15.75" customHeight="1" x14ac:dyDescent="0.25"/>
    <row r="5527" ht="15.75" customHeight="1" x14ac:dyDescent="0.25"/>
    <row r="5528" ht="15.75" customHeight="1" x14ac:dyDescent="0.25"/>
    <row r="5529" ht="15.75" customHeight="1" x14ac:dyDescent="0.25"/>
    <row r="5530" ht="15.75" customHeight="1" x14ac:dyDescent="0.25"/>
    <row r="5531" ht="15.75" customHeight="1" x14ac:dyDescent="0.25"/>
    <row r="5532" ht="15.75" customHeight="1" x14ac:dyDescent="0.25"/>
    <row r="5533" ht="15.75" customHeight="1" x14ac:dyDescent="0.25"/>
    <row r="5534" ht="15.75" customHeight="1" x14ac:dyDescent="0.25"/>
    <row r="5535" ht="15.75" customHeight="1" x14ac:dyDescent="0.25"/>
    <row r="5536" ht="15.75" customHeight="1" x14ac:dyDescent="0.25"/>
    <row r="5537" ht="15.75" customHeight="1" x14ac:dyDescent="0.25"/>
    <row r="5538" ht="15.75" customHeight="1" x14ac:dyDescent="0.25"/>
    <row r="5539" ht="15.75" customHeight="1" x14ac:dyDescent="0.25"/>
    <row r="5540" ht="15.75" customHeight="1" x14ac:dyDescent="0.25"/>
    <row r="5541" ht="15.75" customHeight="1" x14ac:dyDescent="0.25"/>
    <row r="5542" ht="15.75" customHeight="1" x14ac:dyDescent="0.25"/>
    <row r="5543" ht="15.75" customHeight="1" x14ac:dyDescent="0.25"/>
    <row r="5544" ht="15.75" customHeight="1" x14ac:dyDescent="0.25"/>
    <row r="5545" ht="15.75" customHeight="1" x14ac:dyDescent="0.25"/>
    <row r="5546" ht="15.75" customHeight="1" x14ac:dyDescent="0.25"/>
    <row r="5547" ht="15.75" customHeight="1" x14ac:dyDescent="0.25"/>
    <row r="5548" ht="15.75" customHeight="1" x14ac:dyDescent="0.25"/>
    <row r="5549" ht="15.75" customHeight="1" x14ac:dyDescent="0.25"/>
    <row r="5550" ht="15.75" customHeight="1" x14ac:dyDescent="0.25"/>
    <row r="5551" ht="15.75" customHeight="1" x14ac:dyDescent="0.25"/>
    <row r="5552" ht="15.75" customHeight="1" x14ac:dyDescent="0.25"/>
    <row r="5553" ht="15.75" customHeight="1" x14ac:dyDescent="0.25"/>
    <row r="5554" ht="15.75" customHeight="1" x14ac:dyDescent="0.25"/>
    <row r="5555" ht="15.75" customHeight="1" x14ac:dyDescent="0.25"/>
    <row r="5556" ht="15.75" customHeight="1" x14ac:dyDescent="0.25"/>
    <row r="5557" ht="15.75" customHeight="1" x14ac:dyDescent="0.25"/>
    <row r="5558" ht="15.75" customHeight="1" x14ac:dyDescent="0.25"/>
    <row r="5559" ht="15.75" customHeight="1" x14ac:dyDescent="0.25"/>
    <row r="5560" ht="15.75" customHeight="1" x14ac:dyDescent="0.25"/>
    <row r="5561" ht="15.75" customHeight="1" x14ac:dyDescent="0.25"/>
    <row r="5562" ht="15.75" customHeight="1" x14ac:dyDescent="0.25"/>
    <row r="5563" ht="15.75" customHeight="1" x14ac:dyDescent="0.25"/>
    <row r="5564" ht="15.75" customHeight="1" x14ac:dyDescent="0.25"/>
    <row r="5565" ht="15.75" customHeight="1" x14ac:dyDescent="0.25"/>
    <row r="5566" ht="15.75" customHeight="1" x14ac:dyDescent="0.25"/>
    <row r="5567" ht="15.75" customHeight="1" x14ac:dyDescent="0.25"/>
    <row r="5568" ht="15.75" customHeight="1" x14ac:dyDescent="0.25"/>
    <row r="5569" ht="15.75" customHeight="1" x14ac:dyDescent="0.25"/>
    <row r="5570" ht="15.75" customHeight="1" x14ac:dyDescent="0.25"/>
    <row r="5571" ht="15.75" customHeight="1" x14ac:dyDescent="0.25"/>
    <row r="5572" ht="15.75" customHeight="1" x14ac:dyDescent="0.25"/>
    <row r="5573" ht="15.75" customHeight="1" x14ac:dyDescent="0.25"/>
    <row r="5574" ht="15.75" customHeight="1" x14ac:dyDescent="0.25"/>
    <row r="5575" ht="15.75" customHeight="1" x14ac:dyDescent="0.25"/>
    <row r="5576" ht="15.75" customHeight="1" x14ac:dyDescent="0.25"/>
    <row r="5577" ht="15.75" customHeight="1" x14ac:dyDescent="0.25"/>
    <row r="5578" ht="15.75" customHeight="1" x14ac:dyDescent="0.25"/>
    <row r="5579" ht="15.75" customHeight="1" x14ac:dyDescent="0.25"/>
    <row r="5580" ht="15.75" customHeight="1" x14ac:dyDescent="0.25"/>
    <row r="5581" ht="15.75" customHeight="1" x14ac:dyDescent="0.25"/>
    <row r="5582" ht="15.75" customHeight="1" x14ac:dyDescent="0.25"/>
    <row r="5583" ht="15.75" customHeight="1" x14ac:dyDescent="0.25"/>
    <row r="5584" ht="15.75" customHeight="1" x14ac:dyDescent="0.25"/>
    <row r="5585" ht="15.75" customHeight="1" x14ac:dyDescent="0.25"/>
    <row r="5586" ht="15.75" customHeight="1" x14ac:dyDescent="0.25"/>
    <row r="5587" ht="15.75" customHeight="1" x14ac:dyDescent="0.25"/>
    <row r="5588" ht="15.75" customHeight="1" x14ac:dyDescent="0.25"/>
    <row r="5589" ht="15.75" customHeight="1" x14ac:dyDescent="0.25"/>
    <row r="5590" ht="15.75" customHeight="1" x14ac:dyDescent="0.25"/>
    <row r="5591" ht="15.75" customHeight="1" x14ac:dyDescent="0.25"/>
    <row r="5592" ht="15.75" customHeight="1" x14ac:dyDescent="0.25"/>
    <row r="5593" ht="15.75" customHeight="1" x14ac:dyDescent="0.25"/>
    <row r="5594" ht="15.75" customHeight="1" x14ac:dyDescent="0.25"/>
    <row r="5595" ht="15.75" customHeight="1" x14ac:dyDescent="0.25"/>
    <row r="5596" ht="15.75" customHeight="1" x14ac:dyDescent="0.25"/>
    <row r="5597" ht="15.75" customHeight="1" x14ac:dyDescent="0.25"/>
    <row r="5598" ht="15.75" customHeight="1" x14ac:dyDescent="0.25"/>
    <row r="5599" ht="15.75" customHeight="1" x14ac:dyDescent="0.25"/>
    <row r="5600" ht="15.75" customHeight="1" x14ac:dyDescent="0.25"/>
    <row r="5601" ht="15.75" customHeight="1" x14ac:dyDescent="0.25"/>
    <row r="5602" ht="15.75" customHeight="1" x14ac:dyDescent="0.25"/>
    <row r="5603" ht="15.75" customHeight="1" x14ac:dyDescent="0.25"/>
    <row r="5604" ht="15.75" customHeight="1" x14ac:dyDescent="0.25"/>
    <row r="5605" ht="15.75" customHeight="1" x14ac:dyDescent="0.25"/>
    <row r="5606" ht="15.75" customHeight="1" x14ac:dyDescent="0.25"/>
    <row r="5607" ht="15.75" customHeight="1" x14ac:dyDescent="0.25"/>
    <row r="5608" ht="15.75" customHeight="1" x14ac:dyDescent="0.25"/>
    <row r="5609" ht="15.75" customHeight="1" x14ac:dyDescent="0.25"/>
    <row r="5610" ht="15.75" customHeight="1" x14ac:dyDescent="0.25"/>
    <row r="5611" ht="15.75" customHeight="1" x14ac:dyDescent="0.25"/>
    <row r="5612" ht="15.75" customHeight="1" x14ac:dyDescent="0.25"/>
    <row r="5613" ht="15.75" customHeight="1" x14ac:dyDescent="0.25"/>
    <row r="5614" ht="15.75" customHeight="1" x14ac:dyDescent="0.25"/>
    <row r="5615" ht="15.75" customHeight="1" x14ac:dyDescent="0.25"/>
    <row r="5616" ht="15.75" customHeight="1" x14ac:dyDescent="0.25"/>
    <row r="5617" ht="15.75" customHeight="1" x14ac:dyDescent="0.25"/>
    <row r="5618" ht="15.75" customHeight="1" x14ac:dyDescent="0.25"/>
    <row r="5619" ht="15.75" customHeight="1" x14ac:dyDescent="0.25"/>
    <row r="5620" ht="15.75" customHeight="1" x14ac:dyDescent="0.25"/>
    <row r="5621" ht="15.75" customHeight="1" x14ac:dyDescent="0.25"/>
    <row r="5622" ht="15.75" customHeight="1" x14ac:dyDescent="0.25"/>
    <row r="5623" ht="15.75" customHeight="1" x14ac:dyDescent="0.25"/>
    <row r="5624" ht="15.75" customHeight="1" x14ac:dyDescent="0.25"/>
    <row r="5625" ht="15.75" customHeight="1" x14ac:dyDescent="0.25"/>
    <row r="5626" ht="15.75" customHeight="1" x14ac:dyDescent="0.25"/>
    <row r="5627" ht="15.75" customHeight="1" x14ac:dyDescent="0.25"/>
    <row r="5628" ht="15.75" customHeight="1" x14ac:dyDescent="0.25"/>
    <row r="5629" ht="15.75" customHeight="1" x14ac:dyDescent="0.25"/>
    <row r="5630" ht="15.75" customHeight="1" x14ac:dyDescent="0.25"/>
    <row r="5631" ht="15.75" customHeight="1" x14ac:dyDescent="0.25"/>
    <row r="5632" ht="15.75" customHeight="1" x14ac:dyDescent="0.25"/>
    <row r="5633" ht="15.75" customHeight="1" x14ac:dyDescent="0.25"/>
    <row r="5634" ht="15.75" customHeight="1" x14ac:dyDescent="0.25"/>
    <row r="5635" ht="15.75" customHeight="1" x14ac:dyDescent="0.25"/>
    <row r="5636" ht="15.75" customHeight="1" x14ac:dyDescent="0.25"/>
    <row r="5637" ht="15.75" customHeight="1" x14ac:dyDescent="0.25"/>
    <row r="5638" ht="15.75" customHeight="1" x14ac:dyDescent="0.25"/>
    <row r="5639" ht="15.75" customHeight="1" x14ac:dyDescent="0.25"/>
    <row r="5640" ht="15.75" customHeight="1" x14ac:dyDescent="0.25"/>
    <row r="5641" ht="15.75" customHeight="1" x14ac:dyDescent="0.25"/>
    <row r="5642" ht="15.75" customHeight="1" x14ac:dyDescent="0.25"/>
    <row r="5643" ht="15.75" customHeight="1" x14ac:dyDescent="0.25"/>
    <row r="5644" ht="15.75" customHeight="1" x14ac:dyDescent="0.25"/>
    <row r="5645" ht="15.75" customHeight="1" x14ac:dyDescent="0.25"/>
    <row r="5646" ht="15.75" customHeight="1" x14ac:dyDescent="0.25"/>
    <row r="5647" ht="15.75" customHeight="1" x14ac:dyDescent="0.25"/>
    <row r="5648" ht="15.75" customHeight="1" x14ac:dyDescent="0.25"/>
    <row r="5649" ht="15.75" customHeight="1" x14ac:dyDescent="0.25"/>
    <row r="5650" ht="15.75" customHeight="1" x14ac:dyDescent="0.25"/>
    <row r="5651" ht="15.75" customHeight="1" x14ac:dyDescent="0.25"/>
    <row r="5652" ht="15.75" customHeight="1" x14ac:dyDescent="0.25"/>
    <row r="5653" ht="15.75" customHeight="1" x14ac:dyDescent="0.25"/>
    <row r="5654" ht="15.75" customHeight="1" x14ac:dyDescent="0.25"/>
    <row r="5655" ht="15.75" customHeight="1" x14ac:dyDescent="0.25"/>
    <row r="5656" ht="15.75" customHeight="1" x14ac:dyDescent="0.25"/>
    <row r="5657" ht="15.75" customHeight="1" x14ac:dyDescent="0.25"/>
    <row r="5658" ht="15.75" customHeight="1" x14ac:dyDescent="0.25"/>
    <row r="5659" ht="15.75" customHeight="1" x14ac:dyDescent="0.25"/>
    <row r="5660" ht="15.75" customHeight="1" x14ac:dyDescent="0.25"/>
    <row r="5661" ht="15.75" customHeight="1" x14ac:dyDescent="0.25"/>
    <row r="5662" ht="15.75" customHeight="1" x14ac:dyDescent="0.25"/>
    <row r="5663" ht="15.75" customHeight="1" x14ac:dyDescent="0.25"/>
    <row r="5664" ht="15.75" customHeight="1" x14ac:dyDescent="0.25"/>
    <row r="5665" ht="15.75" customHeight="1" x14ac:dyDescent="0.25"/>
    <row r="5666" ht="15.75" customHeight="1" x14ac:dyDescent="0.25"/>
    <row r="5667" ht="15.75" customHeight="1" x14ac:dyDescent="0.25"/>
    <row r="5668" ht="15.75" customHeight="1" x14ac:dyDescent="0.25"/>
    <row r="5669" ht="15.75" customHeight="1" x14ac:dyDescent="0.25"/>
    <row r="5670" ht="15.75" customHeight="1" x14ac:dyDescent="0.25"/>
    <row r="5671" ht="15.75" customHeight="1" x14ac:dyDescent="0.25"/>
    <row r="5672" ht="15.75" customHeight="1" x14ac:dyDescent="0.25"/>
    <row r="5673" ht="15.75" customHeight="1" x14ac:dyDescent="0.25"/>
    <row r="5674" ht="15.75" customHeight="1" x14ac:dyDescent="0.25"/>
    <row r="5675" ht="15.75" customHeight="1" x14ac:dyDescent="0.25"/>
    <row r="5676" ht="15.75" customHeight="1" x14ac:dyDescent="0.25"/>
    <row r="5677" ht="15.75" customHeight="1" x14ac:dyDescent="0.25"/>
    <row r="5678" ht="15.75" customHeight="1" x14ac:dyDescent="0.25"/>
    <row r="5679" ht="15.75" customHeight="1" x14ac:dyDescent="0.25"/>
    <row r="5680" ht="15.75" customHeight="1" x14ac:dyDescent="0.25"/>
    <row r="5681" ht="15.75" customHeight="1" x14ac:dyDescent="0.25"/>
    <row r="5682" ht="15.75" customHeight="1" x14ac:dyDescent="0.25"/>
    <row r="5683" ht="15.75" customHeight="1" x14ac:dyDescent="0.25"/>
    <row r="5684" ht="15.75" customHeight="1" x14ac:dyDescent="0.25"/>
    <row r="5685" ht="15.75" customHeight="1" x14ac:dyDescent="0.25"/>
    <row r="5686" ht="15.75" customHeight="1" x14ac:dyDescent="0.25"/>
    <row r="5687" ht="15.75" customHeight="1" x14ac:dyDescent="0.25"/>
    <row r="5688" ht="15.75" customHeight="1" x14ac:dyDescent="0.25"/>
    <row r="5689" ht="15.75" customHeight="1" x14ac:dyDescent="0.25"/>
    <row r="5690" ht="15.75" customHeight="1" x14ac:dyDescent="0.25"/>
    <row r="5691" ht="15.75" customHeight="1" x14ac:dyDescent="0.25"/>
    <row r="5692" ht="15.75" customHeight="1" x14ac:dyDescent="0.25"/>
    <row r="5693" ht="15.75" customHeight="1" x14ac:dyDescent="0.25"/>
    <row r="5694" ht="15.75" customHeight="1" x14ac:dyDescent="0.25"/>
    <row r="5695" ht="15.75" customHeight="1" x14ac:dyDescent="0.25"/>
    <row r="5696" ht="15.75" customHeight="1" x14ac:dyDescent="0.25"/>
    <row r="5697" ht="15.75" customHeight="1" x14ac:dyDescent="0.25"/>
    <row r="5698" ht="15.75" customHeight="1" x14ac:dyDescent="0.25"/>
    <row r="5699" ht="15.75" customHeight="1" x14ac:dyDescent="0.25"/>
    <row r="5700" ht="15.75" customHeight="1" x14ac:dyDescent="0.25"/>
    <row r="5701" ht="15.75" customHeight="1" x14ac:dyDescent="0.25"/>
    <row r="5702" ht="15.75" customHeight="1" x14ac:dyDescent="0.25"/>
    <row r="5703" ht="15.75" customHeight="1" x14ac:dyDescent="0.25"/>
    <row r="5704" ht="15.75" customHeight="1" x14ac:dyDescent="0.25"/>
    <row r="5705" ht="15.75" customHeight="1" x14ac:dyDescent="0.25"/>
    <row r="5706" ht="15.75" customHeight="1" x14ac:dyDescent="0.25"/>
    <row r="5707" ht="15.75" customHeight="1" x14ac:dyDescent="0.25"/>
    <row r="5708" ht="15.75" customHeight="1" x14ac:dyDescent="0.25"/>
    <row r="5709" ht="15.75" customHeight="1" x14ac:dyDescent="0.25"/>
    <row r="5710" ht="15.75" customHeight="1" x14ac:dyDescent="0.25"/>
    <row r="5711" ht="15.75" customHeight="1" x14ac:dyDescent="0.25"/>
    <row r="5712" ht="15.75" customHeight="1" x14ac:dyDescent="0.25"/>
    <row r="5713" ht="15.75" customHeight="1" x14ac:dyDescent="0.25"/>
    <row r="5714" ht="15.75" customHeight="1" x14ac:dyDescent="0.25"/>
    <row r="5715" ht="15.75" customHeight="1" x14ac:dyDescent="0.25"/>
    <row r="5716" ht="15.75" customHeight="1" x14ac:dyDescent="0.25"/>
    <row r="5717" ht="15.75" customHeight="1" x14ac:dyDescent="0.25"/>
    <row r="5718" ht="15.75" customHeight="1" x14ac:dyDescent="0.25"/>
    <row r="5719" ht="15.75" customHeight="1" x14ac:dyDescent="0.25"/>
    <row r="5720" ht="15.75" customHeight="1" x14ac:dyDescent="0.25"/>
    <row r="5721" ht="15.75" customHeight="1" x14ac:dyDescent="0.25"/>
    <row r="5722" ht="15.75" customHeight="1" x14ac:dyDescent="0.25"/>
    <row r="5723" ht="15.75" customHeight="1" x14ac:dyDescent="0.25"/>
    <row r="5724" ht="15.75" customHeight="1" x14ac:dyDescent="0.25"/>
    <row r="5725" ht="15.75" customHeight="1" x14ac:dyDescent="0.25"/>
    <row r="5726" ht="15.75" customHeight="1" x14ac:dyDescent="0.25"/>
    <row r="5727" ht="15.75" customHeight="1" x14ac:dyDescent="0.25"/>
    <row r="5728" ht="15.75" customHeight="1" x14ac:dyDescent="0.25"/>
    <row r="5729" ht="15.75" customHeight="1" x14ac:dyDescent="0.25"/>
    <row r="5730" ht="15.75" customHeight="1" x14ac:dyDescent="0.25"/>
    <row r="5731" ht="15.75" customHeight="1" x14ac:dyDescent="0.25"/>
    <row r="5732" ht="15.75" customHeight="1" x14ac:dyDescent="0.25"/>
    <row r="5733" ht="15.75" customHeight="1" x14ac:dyDescent="0.25"/>
    <row r="5734" ht="15.75" customHeight="1" x14ac:dyDescent="0.25"/>
    <row r="5735" ht="15.75" customHeight="1" x14ac:dyDescent="0.25"/>
    <row r="5736" ht="15.75" customHeight="1" x14ac:dyDescent="0.25"/>
    <row r="5737" ht="15.75" customHeight="1" x14ac:dyDescent="0.25"/>
    <row r="5738" ht="15.75" customHeight="1" x14ac:dyDescent="0.25"/>
    <row r="5739" ht="15.75" customHeight="1" x14ac:dyDescent="0.25"/>
    <row r="5740" ht="15.75" customHeight="1" x14ac:dyDescent="0.25"/>
    <row r="5741" ht="15.75" customHeight="1" x14ac:dyDescent="0.25"/>
    <row r="5742" ht="15.75" customHeight="1" x14ac:dyDescent="0.25"/>
    <row r="5743" ht="15.75" customHeight="1" x14ac:dyDescent="0.25"/>
    <row r="5744" ht="15.75" customHeight="1" x14ac:dyDescent="0.25"/>
    <row r="5745" ht="15.75" customHeight="1" x14ac:dyDescent="0.25"/>
    <row r="5746" ht="15.75" customHeight="1" x14ac:dyDescent="0.25"/>
    <row r="5747" ht="15.75" customHeight="1" x14ac:dyDescent="0.25"/>
    <row r="5748" ht="15.75" customHeight="1" x14ac:dyDescent="0.25"/>
    <row r="5749" ht="15.75" customHeight="1" x14ac:dyDescent="0.25"/>
    <row r="5750" ht="15.75" customHeight="1" x14ac:dyDescent="0.25"/>
    <row r="5751" ht="15.75" customHeight="1" x14ac:dyDescent="0.25"/>
    <row r="5752" ht="15.75" customHeight="1" x14ac:dyDescent="0.25"/>
    <row r="5753" ht="15.75" customHeight="1" x14ac:dyDescent="0.25"/>
    <row r="5754" ht="15.75" customHeight="1" x14ac:dyDescent="0.25"/>
    <row r="5755" ht="15.75" customHeight="1" x14ac:dyDescent="0.25"/>
    <row r="5756" ht="15.75" customHeight="1" x14ac:dyDescent="0.25"/>
    <row r="5757" ht="15.75" customHeight="1" x14ac:dyDescent="0.25"/>
    <row r="5758" ht="15.75" customHeight="1" x14ac:dyDescent="0.25"/>
    <row r="5759" ht="15.75" customHeight="1" x14ac:dyDescent="0.25"/>
    <row r="5760" ht="15.75" customHeight="1" x14ac:dyDescent="0.25"/>
    <row r="5761" ht="15.75" customHeight="1" x14ac:dyDescent="0.25"/>
    <row r="5762" ht="15.75" customHeight="1" x14ac:dyDescent="0.25"/>
    <row r="5763" ht="15.75" customHeight="1" x14ac:dyDescent="0.25"/>
    <row r="5764" ht="15.75" customHeight="1" x14ac:dyDescent="0.25"/>
    <row r="5765" ht="15.75" customHeight="1" x14ac:dyDescent="0.25"/>
    <row r="5766" ht="15.75" customHeight="1" x14ac:dyDescent="0.25"/>
    <row r="5767" ht="15.75" customHeight="1" x14ac:dyDescent="0.25"/>
    <row r="5768" ht="15.75" customHeight="1" x14ac:dyDescent="0.25"/>
    <row r="5769" ht="15.75" customHeight="1" x14ac:dyDescent="0.25"/>
    <row r="5770" ht="15.75" customHeight="1" x14ac:dyDescent="0.25"/>
    <row r="5771" ht="15.75" customHeight="1" x14ac:dyDescent="0.25"/>
    <row r="5772" ht="15.75" customHeight="1" x14ac:dyDescent="0.25"/>
    <row r="5773" ht="15.75" customHeight="1" x14ac:dyDescent="0.25"/>
    <row r="5774" ht="15.75" customHeight="1" x14ac:dyDescent="0.25"/>
    <row r="5775" ht="15.75" customHeight="1" x14ac:dyDescent="0.25"/>
    <row r="5776" ht="15.75" customHeight="1" x14ac:dyDescent="0.25"/>
    <row r="5777" ht="15.75" customHeight="1" x14ac:dyDescent="0.25"/>
    <row r="5778" ht="15.75" customHeight="1" x14ac:dyDescent="0.25"/>
    <row r="5779" ht="15.75" customHeight="1" x14ac:dyDescent="0.25"/>
    <row r="5780" ht="15.75" customHeight="1" x14ac:dyDescent="0.25"/>
    <row r="5781" ht="15.75" customHeight="1" x14ac:dyDescent="0.25"/>
    <row r="5782" ht="15.75" customHeight="1" x14ac:dyDescent="0.25"/>
    <row r="5783" ht="15.75" customHeight="1" x14ac:dyDescent="0.25"/>
    <row r="5784" ht="15.75" customHeight="1" x14ac:dyDescent="0.25"/>
    <row r="5785" ht="15.75" customHeight="1" x14ac:dyDescent="0.25"/>
    <row r="5786" ht="15.75" customHeight="1" x14ac:dyDescent="0.25"/>
    <row r="5787" ht="15.75" customHeight="1" x14ac:dyDescent="0.25"/>
    <row r="5788" ht="15.75" customHeight="1" x14ac:dyDescent="0.25"/>
    <row r="5789" ht="15.75" customHeight="1" x14ac:dyDescent="0.25"/>
    <row r="5790" ht="15.75" customHeight="1" x14ac:dyDescent="0.25"/>
    <row r="5791" ht="15.75" customHeight="1" x14ac:dyDescent="0.25"/>
    <row r="5792" ht="15.75" customHeight="1" x14ac:dyDescent="0.25"/>
    <row r="5793" ht="15.75" customHeight="1" x14ac:dyDescent="0.25"/>
    <row r="5794" ht="15.75" customHeight="1" x14ac:dyDescent="0.25"/>
    <row r="5795" ht="15.75" customHeight="1" x14ac:dyDescent="0.25"/>
    <row r="5796" ht="15.75" customHeight="1" x14ac:dyDescent="0.25"/>
    <row r="5797" ht="15.75" customHeight="1" x14ac:dyDescent="0.25"/>
    <row r="5798" ht="15.75" customHeight="1" x14ac:dyDescent="0.25"/>
    <row r="5799" ht="15.75" customHeight="1" x14ac:dyDescent="0.25"/>
    <row r="5800" ht="15.75" customHeight="1" x14ac:dyDescent="0.25"/>
    <row r="5801" ht="15.75" customHeight="1" x14ac:dyDescent="0.25"/>
    <row r="5802" ht="15.75" customHeight="1" x14ac:dyDescent="0.25"/>
    <row r="5803" ht="15.75" customHeight="1" x14ac:dyDescent="0.25"/>
    <row r="5804" ht="15.75" customHeight="1" x14ac:dyDescent="0.25"/>
    <row r="5805" ht="15.75" customHeight="1" x14ac:dyDescent="0.25"/>
    <row r="5806" ht="15.75" customHeight="1" x14ac:dyDescent="0.25"/>
    <row r="5807" ht="15.75" customHeight="1" x14ac:dyDescent="0.25"/>
    <row r="5808" ht="15.75" customHeight="1" x14ac:dyDescent="0.25"/>
    <row r="5809" ht="15.75" customHeight="1" x14ac:dyDescent="0.25"/>
    <row r="5810" ht="15.75" customHeight="1" x14ac:dyDescent="0.25"/>
    <row r="5811" ht="15.75" customHeight="1" x14ac:dyDescent="0.25"/>
    <row r="5812" ht="15.75" customHeight="1" x14ac:dyDescent="0.25"/>
    <row r="5813" ht="15.75" customHeight="1" x14ac:dyDescent="0.25"/>
    <row r="5814" ht="15.75" customHeight="1" x14ac:dyDescent="0.25"/>
    <row r="5815" ht="15.75" customHeight="1" x14ac:dyDescent="0.25"/>
    <row r="5816" ht="15.75" customHeight="1" x14ac:dyDescent="0.25"/>
    <row r="5817" ht="15.75" customHeight="1" x14ac:dyDescent="0.25"/>
    <row r="5818" ht="15.75" customHeight="1" x14ac:dyDescent="0.25"/>
    <row r="5819" ht="15.75" customHeight="1" x14ac:dyDescent="0.25"/>
    <row r="5820" ht="15.75" customHeight="1" x14ac:dyDescent="0.25"/>
    <row r="5821" ht="15.75" customHeight="1" x14ac:dyDescent="0.25"/>
    <row r="5822" ht="15.75" customHeight="1" x14ac:dyDescent="0.25"/>
    <row r="5823" ht="15.75" customHeight="1" x14ac:dyDescent="0.25"/>
    <row r="5824" ht="15.75" customHeight="1" x14ac:dyDescent="0.25"/>
    <row r="5825" ht="15.75" customHeight="1" x14ac:dyDescent="0.25"/>
    <row r="5826" ht="15.75" customHeight="1" x14ac:dyDescent="0.25"/>
    <row r="5827" ht="15.75" customHeight="1" x14ac:dyDescent="0.25"/>
    <row r="5828" ht="15.75" customHeight="1" x14ac:dyDescent="0.25"/>
    <row r="5829" ht="15.75" customHeight="1" x14ac:dyDescent="0.25"/>
    <row r="5830" ht="15.75" customHeight="1" x14ac:dyDescent="0.25"/>
    <row r="5831" ht="15.75" customHeight="1" x14ac:dyDescent="0.25"/>
    <row r="5832" ht="15.75" customHeight="1" x14ac:dyDescent="0.25"/>
    <row r="5833" ht="15.75" customHeight="1" x14ac:dyDescent="0.25"/>
    <row r="5834" ht="15.75" customHeight="1" x14ac:dyDescent="0.25"/>
    <row r="5835" ht="15.75" customHeight="1" x14ac:dyDescent="0.25"/>
    <row r="5836" ht="15.75" customHeight="1" x14ac:dyDescent="0.25"/>
    <row r="5837" ht="15.75" customHeight="1" x14ac:dyDescent="0.25"/>
    <row r="5838" ht="15.75" customHeight="1" x14ac:dyDescent="0.25"/>
    <row r="5839" ht="15.75" customHeight="1" x14ac:dyDescent="0.25"/>
    <row r="5840" ht="15.75" customHeight="1" x14ac:dyDescent="0.25"/>
    <row r="5841" ht="15.75" customHeight="1" x14ac:dyDescent="0.25"/>
    <row r="5842" ht="15.75" customHeight="1" x14ac:dyDescent="0.25"/>
    <row r="5843" ht="15.75" customHeight="1" x14ac:dyDescent="0.25"/>
    <row r="5844" ht="15.75" customHeight="1" x14ac:dyDescent="0.25"/>
    <row r="5845" ht="15.75" customHeight="1" x14ac:dyDescent="0.25"/>
    <row r="5846" ht="15.75" customHeight="1" x14ac:dyDescent="0.25"/>
    <row r="5847" ht="15.75" customHeight="1" x14ac:dyDescent="0.25"/>
    <row r="5848" ht="15.75" customHeight="1" x14ac:dyDescent="0.25"/>
    <row r="5849" ht="15.75" customHeight="1" x14ac:dyDescent="0.25"/>
    <row r="5850" ht="15.75" customHeight="1" x14ac:dyDescent="0.25"/>
    <row r="5851" ht="15.75" customHeight="1" x14ac:dyDescent="0.25"/>
    <row r="5852" ht="15.75" customHeight="1" x14ac:dyDescent="0.25"/>
    <row r="5853" ht="15.75" customHeight="1" x14ac:dyDescent="0.25"/>
    <row r="5854" ht="15.75" customHeight="1" x14ac:dyDescent="0.25"/>
    <row r="5855" ht="15.75" customHeight="1" x14ac:dyDescent="0.25"/>
    <row r="5856" ht="15.75" customHeight="1" x14ac:dyDescent="0.25"/>
    <row r="5857" ht="15.75" customHeight="1" x14ac:dyDescent="0.25"/>
    <row r="5858" ht="15.75" customHeight="1" x14ac:dyDescent="0.25"/>
    <row r="5859" ht="15.75" customHeight="1" x14ac:dyDescent="0.25"/>
    <row r="5860" ht="15.75" customHeight="1" x14ac:dyDescent="0.25"/>
    <row r="5861" ht="15.75" customHeight="1" x14ac:dyDescent="0.25"/>
    <row r="5862" ht="15.75" customHeight="1" x14ac:dyDescent="0.25"/>
    <row r="5863" ht="15.75" customHeight="1" x14ac:dyDescent="0.25"/>
    <row r="5864" ht="15.75" customHeight="1" x14ac:dyDescent="0.25"/>
    <row r="5865" ht="15.75" customHeight="1" x14ac:dyDescent="0.25"/>
    <row r="5866" ht="15.75" customHeight="1" x14ac:dyDescent="0.25"/>
    <row r="5867" ht="15.75" customHeight="1" x14ac:dyDescent="0.25"/>
    <row r="5868" ht="15.75" customHeight="1" x14ac:dyDescent="0.25"/>
    <row r="5869" ht="15.75" customHeight="1" x14ac:dyDescent="0.25"/>
    <row r="5870" ht="15.75" customHeight="1" x14ac:dyDescent="0.25"/>
    <row r="5871" ht="15.75" customHeight="1" x14ac:dyDescent="0.25"/>
    <row r="5872" ht="15.75" customHeight="1" x14ac:dyDescent="0.25"/>
    <row r="5873" ht="15.75" customHeight="1" x14ac:dyDescent="0.25"/>
    <row r="5874" ht="15.75" customHeight="1" x14ac:dyDescent="0.25"/>
    <row r="5875" ht="15.75" customHeight="1" x14ac:dyDescent="0.25"/>
    <row r="5876" ht="15.75" customHeight="1" x14ac:dyDescent="0.25"/>
    <row r="5877" ht="15.75" customHeight="1" x14ac:dyDescent="0.25"/>
    <row r="5878" ht="15.75" customHeight="1" x14ac:dyDescent="0.25"/>
    <row r="5879" ht="15.75" customHeight="1" x14ac:dyDescent="0.25"/>
    <row r="5880" ht="15.75" customHeight="1" x14ac:dyDescent="0.25"/>
    <row r="5881" ht="15.75" customHeight="1" x14ac:dyDescent="0.25"/>
    <row r="5882" ht="15.75" customHeight="1" x14ac:dyDescent="0.25"/>
    <row r="5883" ht="15.75" customHeight="1" x14ac:dyDescent="0.25"/>
    <row r="5884" ht="15.75" customHeight="1" x14ac:dyDescent="0.25"/>
    <row r="5885" ht="15.75" customHeight="1" x14ac:dyDescent="0.25"/>
    <row r="5886" ht="15.75" customHeight="1" x14ac:dyDescent="0.25"/>
    <row r="5887" ht="15.75" customHeight="1" x14ac:dyDescent="0.25"/>
    <row r="5888" ht="15.75" customHeight="1" x14ac:dyDescent="0.25"/>
    <row r="5889" ht="15.75" customHeight="1" x14ac:dyDescent="0.25"/>
    <row r="5890" ht="15.75" customHeight="1" x14ac:dyDescent="0.25"/>
    <row r="5891" ht="15.75" customHeight="1" x14ac:dyDescent="0.25"/>
    <row r="5892" ht="15.75" customHeight="1" x14ac:dyDescent="0.25"/>
    <row r="5893" ht="15.75" customHeight="1" x14ac:dyDescent="0.25"/>
    <row r="5894" ht="15.75" customHeight="1" x14ac:dyDescent="0.25"/>
    <row r="5895" ht="15.75" customHeight="1" x14ac:dyDescent="0.25"/>
    <row r="5896" ht="15.75" customHeight="1" x14ac:dyDescent="0.25"/>
    <row r="5897" ht="15.75" customHeight="1" x14ac:dyDescent="0.25"/>
    <row r="5898" ht="15.75" customHeight="1" x14ac:dyDescent="0.25"/>
    <row r="5899" ht="15.75" customHeight="1" x14ac:dyDescent="0.25"/>
    <row r="5900" ht="15.75" customHeight="1" x14ac:dyDescent="0.25"/>
    <row r="5901" ht="15.75" customHeight="1" x14ac:dyDescent="0.25"/>
    <row r="5902" ht="15.75" customHeight="1" x14ac:dyDescent="0.25"/>
    <row r="5903" ht="15.75" customHeight="1" x14ac:dyDescent="0.25"/>
    <row r="5904" ht="15.75" customHeight="1" x14ac:dyDescent="0.25"/>
    <row r="5905" ht="15.75" customHeight="1" x14ac:dyDescent="0.25"/>
    <row r="5906" ht="15.75" customHeight="1" x14ac:dyDescent="0.25"/>
    <row r="5907" ht="15.75" customHeight="1" x14ac:dyDescent="0.25"/>
    <row r="5908" ht="15.75" customHeight="1" x14ac:dyDescent="0.25"/>
    <row r="5909" ht="15.75" customHeight="1" x14ac:dyDescent="0.25"/>
    <row r="5910" ht="15.75" customHeight="1" x14ac:dyDescent="0.25"/>
    <row r="5911" ht="15.75" customHeight="1" x14ac:dyDescent="0.25"/>
    <row r="5912" ht="15.75" customHeight="1" x14ac:dyDescent="0.25"/>
    <row r="5913" ht="15.75" customHeight="1" x14ac:dyDescent="0.25"/>
    <row r="5914" ht="15.75" customHeight="1" x14ac:dyDescent="0.25"/>
    <row r="5915" ht="15.75" customHeight="1" x14ac:dyDescent="0.25"/>
    <row r="5916" ht="15.75" customHeight="1" x14ac:dyDescent="0.25"/>
    <row r="5917" ht="15.75" customHeight="1" x14ac:dyDescent="0.25"/>
    <row r="5918" ht="15.75" customHeight="1" x14ac:dyDescent="0.25"/>
    <row r="5919" ht="15.75" customHeight="1" x14ac:dyDescent="0.25"/>
    <row r="5920" ht="15.75" customHeight="1" x14ac:dyDescent="0.25"/>
    <row r="5921" ht="15.75" customHeight="1" x14ac:dyDescent="0.25"/>
    <row r="5922" ht="15.75" customHeight="1" x14ac:dyDescent="0.25"/>
    <row r="5923" ht="15.75" customHeight="1" x14ac:dyDescent="0.25"/>
    <row r="5924" ht="15.75" customHeight="1" x14ac:dyDescent="0.25"/>
    <row r="5925" ht="15.75" customHeight="1" x14ac:dyDescent="0.25"/>
    <row r="5926" ht="15.75" customHeight="1" x14ac:dyDescent="0.25"/>
    <row r="5927" ht="15.75" customHeight="1" x14ac:dyDescent="0.25"/>
    <row r="5928" ht="15.75" customHeight="1" x14ac:dyDescent="0.25"/>
    <row r="5929" ht="15.75" customHeight="1" x14ac:dyDescent="0.25"/>
    <row r="5930" ht="15.75" customHeight="1" x14ac:dyDescent="0.25"/>
    <row r="5931" ht="15.75" customHeight="1" x14ac:dyDescent="0.25"/>
    <row r="5932" ht="15.75" customHeight="1" x14ac:dyDescent="0.25"/>
    <row r="5933" ht="15.75" customHeight="1" x14ac:dyDescent="0.25"/>
    <row r="5934" ht="15.75" customHeight="1" x14ac:dyDescent="0.25"/>
    <row r="5935" ht="15.75" customHeight="1" x14ac:dyDescent="0.25"/>
    <row r="5936" ht="15.75" customHeight="1" x14ac:dyDescent="0.25"/>
    <row r="5937" ht="15.75" customHeight="1" x14ac:dyDescent="0.25"/>
    <row r="5938" ht="15.75" customHeight="1" x14ac:dyDescent="0.25"/>
    <row r="5939" ht="15.75" customHeight="1" x14ac:dyDescent="0.25"/>
    <row r="5940" ht="15.75" customHeight="1" x14ac:dyDescent="0.25"/>
    <row r="5941" ht="15.75" customHeight="1" x14ac:dyDescent="0.25"/>
    <row r="5942" ht="15.75" customHeight="1" x14ac:dyDescent="0.25"/>
    <row r="5943" ht="15.75" customHeight="1" x14ac:dyDescent="0.25"/>
    <row r="5944" ht="15.75" customHeight="1" x14ac:dyDescent="0.25"/>
    <row r="5945" ht="15.75" customHeight="1" x14ac:dyDescent="0.25"/>
    <row r="5946" ht="15.75" customHeight="1" x14ac:dyDescent="0.25"/>
    <row r="5947" ht="15.75" customHeight="1" x14ac:dyDescent="0.25"/>
    <row r="5948" ht="15.75" customHeight="1" x14ac:dyDescent="0.25"/>
    <row r="5949" ht="15.75" customHeight="1" x14ac:dyDescent="0.25"/>
    <row r="5950" ht="15.75" customHeight="1" x14ac:dyDescent="0.25"/>
    <row r="5951" ht="15.75" customHeight="1" x14ac:dyDescent="0.25"/>
    <row r="5952" ht="15.75" customHeight="1" x14ac:dyDescent="0.25"/>
    <row r="5953" ht="15.75" customHeight="1" x14ac:dyDescent="0.25"/>
    <row r="5954" ht="15.75" customHeight="1" x14ac:dyDescent="0.25"/>
    <row r="5955" ht="15.75" customHeight="1" x14ac:dyDescent="0.25"/>
    <row r="5956" ht="15.75" customHeight="1" x14ac:dyDescent="0.25"/>
    <row r="5957" ht="15.75" customHeight="1" x14ac:dyDescent="0.25"/>
    <row r="5958" ht="15.75" customHeight="1" x14ac:dyDescent="0.25"/>
    <row r="5959" ht="15.75" customHeight="1" x14ac:dyDescent="0.25"/>
    <row r="5960" ht="15.75" customHeight="1" x14ac:dyDescent="0.25"/>
    <row r="5961" ht="15.75" customHeight="1" x14ac:dyDescent="0.25"/>
    <row r="5962" ht="15.75" customHeight="1" x14ac:dyDescent="0.25"/>
    <row r="5963" ht="15.75" customHeight="1" x14ac:dyDescent="0.25"/>
    <row r="5964" ht="15.75" customHeight="1" x14ac:dyDescent="0.25"/>
    <row r="5965" ht="15.75" customHeight="1" x14ac:dyDescent="0.25"/>
    <row r="5966" ht="15.75" customHeight="1" x14ac:dyDescent="0.25"/>
    <row r="5967" ht="15.75" customHeight="1" x14ac:dyDescent="0.25"/>
    <row r="5968" ht="15.75" customHeight="1" x14ac:dyDescent="0.25"/>
    <row r="5969" ht="15.75" customHeight="1" x14ac:dyDescent="0.25"/>
    <row r="5970" ht="15.75" customHeight="1" x14ac:dyDescent="0.25"/>
    <row r="5971" ht="15.75" customHeight="1" x14ac:dyDescent="0.25"/>
    <row r="5972" ht="15.75" customHeight="1" x14ac:dyDescent="0.25"/>
    <row r="5973" ht="15.75" customHeight="1" x14ac:dyDescent="0.25"/>
    <row r="5974" ht="15.75" customHeight="1" x14ac:dyDescent="0.25"/>
    <row r="5975" ht="15.75" customHeight="1" x14ac:dyDescent="0.25"/>
    <row r="5976" ht="15.75" customHeight="1" x14ac:dyDescent="0.25"/>
    <row r="5977" ht="15.75" customHeight="1" x14ac:dyDescent="0.25"/>
    <row r="5978" ht="15.75" customHeight="1" x14ac:dyDescent="0.25"/>
    <row r="5979" ht="15.75" customHeight="1" x14ac:dyDescent="0.25"/>
    <row r="5980" ht="15.75" customHeight="1" x14ac:dyDescent="0.25"/>
    <row r="5981" ht="15.75" customHeight="1" x14ac:dyDescent="0.25"/>
    <row r="5982" ht="15.75" customHeight="1" x14ac:dyDescent="0.25"/>
    <row r="5983" ht="15.75" customHeight="1" x14ac:dyDescent="0.25"/>
    <row r="5984" ht="15.75" customHeight="1" x14ac:dyDescent="0.25"/>
    <row r="5985" ht="15.75" customHeight="1" x14ac:dyDescent="0.25"/>
    <row r="5986" ht="15.75" customHeight="1" x14ac:dyDescent="0.25"/>
    <row r="5987" ht="15.75" customHeight="1" x14ac:dyDescent="0.25"/>
    <row r="5988" ht="15.75" customHeight="1" x14ac:dyDescent="0.25"/>
    <row r="5989" ht="15.75" customHeight="1" x14ac:dyDescent="0.25"/>
    <row r="5990" ht="15.75" customHeight="1" x14ac:dyDescent="0.25"/>
    <row r="5991" ht="15.75" customHeight="1" x14ac:dyDescent="0.25"/>
    <row r="5992" ht="15.75" customHeight="1" x14ac:dyDescent="0.25"/>
    <row r="5993" ht="15.75" customHeight="1" x14ac:dyDescent="0.25"/>
    <row r="5994" ht="15.75" customHeight="1" x14ac:dyDescent="0.25"/>
    <row r="5995" ht="15.75" customHeight="1" x14ac:dyDescent="0.25"/>
    <row r="5996" ht="15.75" customHeight="1" x14ac:dyDescent="0.25"/>
    <row r="5997" ht="15.75" customHeight="1" x14ac:dyDescent="0.25"/>
    <row r="5998" ht="15.75" customHeight="1" x14ac:dyDescent="0.25"/>
    <row r="5999" ht="15.75" customHeight="1" x14ac:dyDescent="0.25"/>
    <row r="6000" ht="15.75" customHeight="1" x14ac:dyDescent="0.25"/>
    <row r="6001" ht="15.75" customHeight="1" x14ac:dyDescent="0.25"/>
    <row r="6002" ht="15.75" customHeight="1" x14ac:dyDescent="0.25"/>
    <row r="6003" ht="15.75" customHeight="1" x14ac:dyDescent="0.25"/>
    <row r="6004" ht="15.75" customHeight="1" x14ac:dyDescent="0.25"/>
    <row r="6005" ht="15.75" customHeight="1" x14ac:dyDescent="0.25"/>
    <row r="6006" ht="15.75" customHeight="1" x14ac:dyDescent="0.25"/>
    <row r="6007" ht="15.75" customHeight="1" x14ac:dyDescent="0.25"/>
    <row r="6008" ht="15.75" customHeight="1" x14ac:dyDescent="0.25"/>
    <row r="6009" ht="15.75" customHeight="1" x14ac:dyDescent="0.25"/>
    <row r="6010" ht="15.75" customHeight="1" x14ac:dyDescent="0.25"/>
    <row r="6011" ht="15.75" customHeight="1" x14ac:dyDescent="0.25"/>
    <row r="6012" ht="15.75" customHeight="1" x14ac:dyDescent="0.25"/>
    <row r="6013" ht="15.75" customHeight="1" x14ac:dyDescent="0.25"/>
    <row r="6014" ht="15.75" customHeight="1" x14ac:dyDescent="0.25"/>
    <row r="6015" ht="15.75" customHeight="1" x14ac:dyDescent="0.25"/>
    <row r="6016" ht="15.75" customHeight="1" x14ac:dyDescent="0.25"/>
    <row r="6017" ht="15.75" customHeight="1" x14ac:dyDescent="0.25"/>
    <row r="6018" ht="15.75" customHeight="1" x14ac:dyDescent="0.25"/>
    <row r="6019" ht="15.75" customHeight="1" x14ac:dyDescent="0.25"/>
    <row r="6020" ht="15.75" customHeight="1" x14ac:dyDescent="0.25"/>
    <row r="6021" ht="15.75" customHeight="1" x14ac:dyDescent="0.25"/>
    <row r="6022" ht="15.75" customHeight="1" x14ac:dyDescent="0.25"/>
    <row r="6023" ht="15.75" customHeight="1" x14ac:dyDescent="0.25"/>
    <row r="6024" ht="15.75" customHeight="1" x14ac:dyDescent="0.25"/>
    <row r="6025" ht="15.75" customHeight="1" x14ac:dyDescent="0.25"/>
    <row r="6026" ht="15.75" customHeight="1" x14ac:dyDescent="0.25"/>
    <row r="6027" ht="15.75" customHeight="1" x14ac:dyDescent="0.25"/>
    <row r="6028" ht="15.75" customHeight="1" x14ac:dyDescent="0.25"/>
    <row r="6029" ht="15.75" customHeight="1" x14ac:dyDescent="0.25"/>
    <row r="6030" ht="15.75" customHeight="1" x14ac:dyDescent="0.25"/>
    <row r="6031" ht="15.75" customHeight="1" x14ac:dyDescent="0.25"/>
    <row r="6032" ht="15.75" customHeight="1" x14ac:dyDescent="0.25"/>
    <row r="6033" ht="15.75" customHeight="1" x14ac:dyDescent="0.25"/>
    <row r="6034" ht="15.75" customHeight="1" x14ac:dyDescent="0.25"/>
    <row r="6035" ht="15.75" customHeight="1" x14ac:dyDescent="0.25"/>
    <row r="6036" ht="15.75" customHeight="1" x14ac:dyDescent="0.25"/>
    <row r="6037" ht="15.75" customHeight="1" x14ac:dyDescent="0.25"/>
    <row r="6038" ht="15.75" customHeight="1" x14ac:dyDescent="0.25"/>
    <row r="6039" ht="15.75" customHeight="1" x14ac:dyDescent="0.25"/>
    <row r="6040" ht="15.75" customHeight="1" x14ac:dyDescent="0.25"/>
    <row r="6041" ht="15.75" customHeight="1" x14ac:dyDescent="0.25"/>
    <row r="6042" ht="15.75" customHeight="1" x14ac:dyDescent="0.25"/>
    <row r="6043" ht="15.75" customHeight="1" x14ac:dyDescent="0.25"/>
    <row r="6044" ht="15.75" customHeight="1" x14ac:dyDescent="0.25"/>
    <row r="6045" ht="15.75" customHeight="1" x14ac:dyDescent="0.25"/>
    <row r="6046" ht="15.75" customHeight="1" x14ac:dyDescent="0.25"/>
    <row r="6047" ht="15.75" customHeight="1" x14ac:dyDescent="0.25"/>
    <row r="6048" ht="15.75" customHeight="1" x14ac:dyDescent="0.25"/>
    <row r="6049" ht="15.75" customHeight="1" x14ac:dyDescent="0.25"/>
    <row r="6050" ht="15.75" customHeight="1" x14ac:dyDescent="0.25"/>
    <row r="6051" ht="15.75" customHeight="1" x14ac:dyDescent="0.25"/>
    <row r="6052" ht="15.75" customHeight="1" x14ac:dyDescent="0.25"/>
    <row r="6053" ht="15.75" customHeight="1" x14ac:dyDescent="0.25"/>
    <row r="6054" ht="15.75" customHeight="1" x14ac:dyDescent="0.25"/>
    <row r="6055" ht="15.75" customHeight="1" x14ac:dyDescent="0.25"/>
    <row r="6056" ht="15.75" customHeight="1" x14ac:dyDescent="0.25"/>
    <row r="6057" ht="15.75" customHeight="1" x14ac:dyDescent="0.25"/>
    <row r="6058" ht="15.75" customHeight="1" x14ac:dyDescent="0.25"/>
    <row r="6059" ht="15.75" customHeight="1" x14ac:dyDescent="0.25"/>
    <row r="6060" ht="15.75" customHeight="1" x14ac:dyDescent="0.25"/>
    <row r="6061" ht="15.75" customHeight="1" x14ac:dyDescent="0.25"/>
    <row r="6062" ht="15.75" customHeight="1" x14ac:dyDescent="0.25"/>
    <row r="6063" ht="15.75" customHeight="1" x14ac:dyDescent="0.25"/>
    <row r="6064" ht="15.75" customHeight="1" x14ac:dyDescent="0.25"/>
    <row r="6065" ht="15.75" customHeight="1" x14ac:dyDescent="0.25"/>
    <row r="6066" ht="15.75" customHeight="1" x14ac:dyDescent="0.25"/>
    <row r="6067" ht="15.75" customHeight="1" x14ac:dyDescent="0.25"/>
    <row r="6068" ht="15.75" customHeight="1" x14ac:dyDescent="0.25"/>
    <row r="6069" ht="15.75" customHeight="1" x14ac:dyDescent="0.25"/>
    <row r="6070" ht="15.75" customHeight="1" x14ac:dyDescent="0.25"/>
    <row r="6071" ht="15.75" customHeight="1" x14ac:dyDescent="0.25"/>
    <row r="6072" ht="15.75" customHeight="1" x14ac:dyDescent="0.25"/>
    <row r="6073" ht="15.75" customHeight="1" x14ac:dyDescent="0.25"/>
    <row r="6074" ht="15.75" customHeight="1" x14ac:dyDescent="0.25"/>
    <row r="6075" ht="15.75" customHeight="1" x14ac:dyDescent="0.25"/>
    <row r="6076" ht="15.75" customHeight="1" x14ac:dyDescent="0.25"/>
    <row r="6077" ht="15.75" customHeight="1" x14ac:dyDescent="0.25"/>
    <row r="6078" ht="15.75" customHeight="1" x14ac:dyDescent="0.25"/>
    <row r="6079" ht="15.75" customHeight="1" x14ac:dyDescent="0.25"/>
    <row r="6080" ht="15.75" customHeight="1" x14ac:dyDescent="0.25"/>
    <row r="6081" ht="15.75" customHeight="1" x14ac:dyDescent="0.25"/>
    <row r="6082" ht="15.75" customHeight="1" x14ac:dyDescent="0.25"/>
    <row r="6083" ht="15.75" customHeight="1" x14ac:dyDescent="0.25"/>
    <row r="6084" ht="15.75" customHeight="1" x14ac:dyDescent="0.25"/>
    <row r="6085" ht="15.75" customHeight="1" x14ac:dyDescent="0.25"/>
    <row r="6086" ht="15.75" customHeight="1" x14ac:dyDescent="0.25"/>
    <row r="6087" ht="15.75" customHeight="1" x14ac:dyDescent="0.25"/>
    <row r="6088" ht="15.75" customHeight="1" x14ac:dyDescent="0.25"/>
    <row r="6089" ht="15.75" customHeight="1" x14ac:dyDescent="0.25"/>
    <row r="6090" ht="15.75" customHeight="1" x14ac:dyDescent="0.25"/>
    <row r="6091" ht="15.75" customHeight="1" x14ac:dyDescent="0.25"/>
    <row r="6092" ht="15.75" customHeight="1" x14ac:dyDescent="0.25"/>
    <row r="6093" ht="15.75" customHeight="1" x14ac:dyDescent="0.25"/>
    <row r="6094" ht="15.75" customHeight="1" x14ac:dyDescent="0.25"/>
    <row r="6095" ht="15.75" customHeight="1" x14ac:dyDescent="0.25"/>
    <row r="6096" ht="15.75" customHeight="1" x14ac:dyDescent="0.25"/>
    <row r="6097" ht="15.75" customHeight="1" x14ac:dyDescent="0.25"/>
    <row r="6098" ht="15.75" customHeight="1" x14ac:dyDescent="0.25"/>
    <row r="6099" ht="15.75" customHeight="1" x14ac:dyDescent="0.25"/>
    <row r="6100" ht="15.75" customHeight="1" x14ac:dyDescent="0.25"/>
    <row r="6101" ht="15.75" customHeight="1" x14ac:dyDescent="0.25"/>
    <row r="6102" ht="15.75" customHeight="1" x14ac:dyDescent="0.25"/>
    <row r="6103" ht="15.75" customHeight="1" x14ac:dyDescent="0.25"/>
    <row r="6104" ht="15.75" customHeight="1" x14ac:dyDescent="0.25"/>
    <row r="6105" ht="15.75" customHeight="1" x14ac:dyDescent="0.25"/>
    <row r="6106" ht="15.75" customHeight="1" x14ac:dyDescent="0.25"/>
    <row r="6107" ht="15.75" customHeight="1" x14ac:dyDescent="0.25"/>
    <row r="6108" ht="15.75" customHeight="1" x14ac:dyDescent="0.25"/>
    <row r="6109" ht="15.75" customHeight="1" x14ac:dyDescent="0.25"/>
    <row r="6110" ht="15.75" customHeight="1" x14ac:dyDescent="0.25"/>
    <row r="6111" ht="15.75" customHeight="1" x14ac:dyDescent="0.25"/>
    <row r="6112" ht="15.75" customHeight="1" x14ac:dyDescent="0.25"/>
    <row r="6113" ht="15.75" customHeight="1" x14ac:dyDescent="0.25"/>
    <row r="6114" ht="15.75" customHeight="1" x14ac:dyDescent="0.25"/>
    <row r="6115" ht="15.75" customHeight="1" x14ac:dyDescent="0.25"/>
    <row r="6116" ht="15.75" customHeight="1" x14ac:dyDescent="0.25"/>
    <row r="6117" ht="15.75" customHeight="1" x14ac:dyDescent="0.25"/>
    <row r="6118" ht="15.75" customHeight="1" x14ac:dyDescent="0.25"/>
    <row r="6119" ht="15.75" customHeight="1" x14ac:dyDescent="0.25"/>
    <row r="6120" ht="15.75" customHeight="1" x14ac:dyDescent="0.25"/>
    <row r="6121" ht="15.75" customHeight="1" x14ac:dyDescent="0.25"/>
    <row r="6122" ht="15.75" customHeight="1" x14ac:dyDescent="0.25"/>
    <row r="6123" ht="15.75" customHeight="1" x14ac:dyDescent="0.25"/>
    <row r="6124" ht="15.75" customHeight="1" x14ac:dyDescent="0.25"/>
    <row r="6125" ht="15.75" customHeight="1" x14ac:dyDescent="0.25"/>
    <row r="6126" ht="15.75" customHeight="1" x14ac:dyDescent="0.25"/>
    <row r="6127" ht="15.75" customHeight="1" x14ac:dyDescent="0.25"/>
    <row r="6128" ht="15.75" customHeight="1" x14ac:dyDescent="0.25"/>
    <row r="6129" ht="15.75" customHeight="1" x14ac:dyDescent="0.25"/>
    <row r="6130" ht="15.75" customHeight="1" x14ac:dyDescent="0.25"/>
    <row r="6131" ht="15.75" customHeight="1" x14ac:dyDescent="0.25"/>
    <row r="6132" ht="15.75" customHeight="1" x14ac:dyDescent="0.25"/>
    <row r="6133" ht="15.75" customHeight="1" x14ac:dyDescent="0.25"/>
    <row r="6134" ht="15.75" customHeight="1" x14ac:dyDescent="0.25"/>
    <row r="6135" ht="15.75" customHeight="1" x14ac:dyDescent="0.25"/>
    <row r="6136" ht="15.75" customHeight="1" x14ac:dyDescent="0.25"/>
    <row r="6137" ht="15.75" customHeight="1" x14ac:dyDescent="0.25"/>
    <row r="6138" ht="15.75" customHeight="1" x14ac:dyDescent="0.25"/>
    <row r="6139" ht="15.75" customHeight="1" x14ac:dyDescent="0.25"/>
    <row r="6140" ht="15.75" customHeight="1" x14ac:dyDescent="0.25"/>
    <row r="6141" ht="15.75" customHeight="1" x14ac:dyDescent="0.25"/>
    <row r="6142" ht="15.75" customHeight="1" x14ac:dyDescent="0.25"/>
    <row r="6143" ht="15.75" customHeight="1" x14ac:dyDescent="0.25"/>
    <row r="6144" ht="15.75" customHeight="1" x14ac:dyDescent="0.25"/>
    <row r="6145" ht="15.75" customHeight="1" x14ac:dyDescent="0.25"/>
    <row r="6146" ht="15.75" customHeight="1" x14ac:dyDescent="0.25"/>
    <row r="6147" ht="15.75" customHeight="1" x14ac:dyDescent="0.25"/>
    <row r="6148" ht="15.75" customHeight="1" x14ac:dyDescent="0.25"/>
    <row r="6149" ht="15.75" customHeight="1" x14ac:dyDescent="0.25"/>
    <row r="6150" ht="15.75" customHeight="1" x14ac:dyDescent="0.25"/>
    <row r="6151" ht="15.75" customHeight="1" x14ac:dyDescent="0.25"/>
    <row r="6152" ht="15.75" customHeight="1" x14ac:dyDescent="0.25"/>
    <row r="6153" ht="15.75" customHeight="1" x14ac:dyDescent="0.25"/>
    <row r="6154" ht="15.75" customHeight="1" x14ac:dyDescent="0.25"/>
    <row r="6155" ht="15.75" customHeight="1" x14ac:dyDescent="0.25"/>
    <row r="6156" ht="15.75" customHeight="1" x14ac:dyDescent="0.25"/>
    <row r="6157" ht="15.75" customHeight="1" x14ac:dyDescent="0.25"/>
    <row r="6158" ht="15.75" customHeight="1" x14ac:dyDescent="0.25"/>
    <row r="6159" ht="15.75" customHeight="1" x14ac:dyDescent="0.25"/>
    <row r="6160" ht="15.75" customHeight="1" x14ac:dyDescent="0.25"/>
    <row r="6161" ht="15.75" customHeight="1" x14ac:dyDescent="0.25"/>
    <row r="6162" ht="15.75" customHeight="1" x14ac:dyDescent="0.25"/>
    <row r="6163" ht="15.75" customHeight="1" x14ac:dyDescent="0.25"/>
    <row r="6164" ht="15.75" customHeight="1" x14ac:dyDescent="0.25"/>
    <row r="6165" ht="15.75" customHeight="1" x14ac:dyDescent="0.25"/>
    <row r="6166" ht="15.75" customHeight="1" x14ac:dyDescent="0.25"/>
    <row r="6167" ht="15.75" customHeight="1" x14ac:dyDescent="0.25"/>
    <row r="6168" ht="15.75" customHeight="1" x14ac:dyDescent="0.25"/>
    <row r="6169" ht="15.75" customHeight="1" x14ac:dyDescent="0.25"/>
    <row r="6170" ht="15.75" customHeight="1" x14ac:dyDescent="0.25"/>
    <row r="6171" ht="15.75" customHeight="1" x14ac:dyDescent="0.25"/>
    <row r="6172" ht="15.75" customHeight="1" x14ac:dyDescent="0.25"/>
    <row r="6173" ht="15.75" customHeight="1" x14ac:dyDescent="0.25"/>
    <row r="6174" ht="15.75" customHeight="1" x14ac:dyDescent="0.25"/>
    <row r="6175" ht="15.75" customHeight="1" x14ac:dyDescent="0.25"/>
    <row r="6176" ht="15.75" customHeight="1" x14ac:dyDescent="0.25"/>
    <row r="6177" ht="15.75" customHeight="1" x14ac:dyDescent="0.25"/>
    <row r="6178" ht="15.75" customHeight="1" x14ac:dyDescent="0.25"/>
    <row r="6179" ht="15.75" customHeight="1" x14ac:dyDescent="0.25"/>
    <row r="6180" ht="15.75" customHeight="1" x14ac:dyDescent="0.25"/>
    <row r="6181" ht="15.75" customHeight="1" x14ac:dyDescent="0.25"/>
    <row r="6182" ht="15.75" customHeight="1" x14ac:dyDescent="0.25"/>
    <row r="6183" ht="15.75" customHeight="1" x14ac:dyDescent="0.25"/>
    <row r="6184" ht="15.75" customHeight="1" x14ac:dyDescent="0.25"/>
    <row r="6185" ht="15.75" customHeight="1" x14ac:dyDescent="0.25"/>
    <row r="6186" ht="15.75" customHeight="1" x14ac:dyDescent="0.25"/>
    <row r="6187" ht="15.75" customHeight="1" x14ac:dyDescent="0.25"/>
    <row r="6188" ht="15.75" customHeight="1" x14ac:dyDescent="0.25"/>
    <row r="6189" ht="15.75" customHeight="1" x14ac:dyDescent="0.25"/>
    <row r="6190" ht="15.75" customHeight="1" x14ac:dyDescent="0.25"/>
    <row r="6191" ht="15.75" customHeight="1" x14ac:dyDescent="0.25"/>
    <row r="6192" ht="15.75" customHeight="1" x14ac:dyDescent="0.25"/>
    <row r="6193" ht="15.75" customHeight="1" x14ac:dyDescent="0.25"/>
    <row r="6194" ht="15.75" customHeight="1" x14ac:dyDescent="0.25"/>
    <row r="6195" ht="15.75" customHeight="1" x14ac:dyDescent="0.25"/>
    <row r="6196" ht="15.75" customHeight="1" x14ac:dyDescent="0.25"/>
    <row r="6197" ht="15.75" customHeight="1" x14ac:dyDescent="0.25"/>
    <row r="6198" ht="15.75" customHeight="1" x14ac:dyDescent="0.25"/>
    <row r="6199" ht="15.75" customHeight="1" x14ac:dyDescent="0.25"/>
    <row r="6200" ht="15.75" customHeight="1" x14ac:dyDescent="0.25"/>
    <row r="6201" ht="15.75" customHeight="1" x14ac:dyDescent="0.25"/>
    <row r="6202" ht="15.75" customHeight="1" x14ac:dyDescent="0.25"/>
    <row r="6203" ht="15.75" customHeight="1" x14ac:dyDescent="0.25"/>
    <row r="6204" ht="15.75" customHeight="1" x14ac:dyDescent="0.25"/>
    <row r="6205" ht="15.75" customHeight="1" x14ac:dyDescent="0.25"/>
    <row r="6206" ht="15.75" customHeight="1" x14ac:dyDescent="0.25"/>
    <row r="6207" ht="15.75" customHeight="1" x14ac:dyDescent="0.25"/>
    <row r="6208" ht="15.75" customHeight="1" x14ac:dyDescent="0.25"/>
    <row r="6209" ht="15.75" customHeight="1" x14ac:dyDescent="0.25"/>
    <row r="6210" ht="15.75" customHeight="1" x14ac:dyDescent="0.25"/>
    <row r="6211" ht="15.75" customHeight="1" x14ac:dyDescent="0.25"/>
    <row r="6212" ht="15.75" customHeight="1" x14ac:dyDescent="0.25"/>
    <row r="6213" ht="15.75" customHeight="1" x14ac:dyDescent="0.25"/>
    <row r="6214" ht="15.75" customHeight="1" x14ac:dyDescent="0.25"/>
    <row r="6215" ht="15.75" customHeight="1" x14ac:dyDescent="0.25"/>
    <row r="6216" ht="15.75" customHeight="1" x14ac:dyDescent="0.25"/>
    <row r="6217" ht="15.75" customHeight="1" x14ac:dyDescent="0.25"/>
    <row r="6218" ht="15.75" customHeight="1" x14ac:dyDescent="0.25"/>
    <row r="6219" ht="15.75" customHeight="1" x14ac:dyDescent="0.25"/>
    <row r="6220" ht="15.75" customHeight="1" x14ac:dyDescent="0.25"/>
    <row r="6221" ht="15.75" customHeight="1" x14ac:dyDescent="0.25"/>
    <row r="6222" ht="15.75" customHeight="1" x14ac:dyDescent="0.25"/>
    <row r="6223" ht="15.75" customHeight="1" x14ac:dyDescent="0.25"/>
    <row r="6224" ht="15.75" customHeight="1" x14ac:dyDescent="0.25"/>
    <row r="6225" ht="15.75" customHeight="1" x14ac:dyDescent="0.25"/>
    <row r="6226" ht="15.75" customHeight="1" x14ac:dyDescent="0.25"/>
    <row r="6227" ht="15.75" customHeight="1" x14ac:dyDescent="0.25"/>
    <row r="6228" ht="15.75" customHeight="1" x14ac:dyDescent="0.25"/>
    <row r="6229" ht="15.75" customHeight="1" x14ac:dyDescent="0.25"/>
    <row r="6230" ht="15.75" customHeight="1" x14ac:dyDescent="0.25"/>
    <row r="6231" ht="15.75" customHeight="1" x14ac:dyDescent="0.25"/>
    <row r="6232" ht="15.75" customHeight="1" x14ac:dyDescent="0.25"/>
    <row r="6233" ht="15.75" customHeight="1" x14ac:dyDescent="0.25"/>
    <row r="6234" ht="15.75" customHeight="1" x14ac:dyDescent="0.25"/>
    <row r="6235" ht="15.75" customHeight="1" x14ac:dyDescent="0.25"/>
    <row r="6236" ht="15.75" customHeight="1" x14ac:dyDescent="0.25"/>
    <row r="6237" ht="15.75" customHeight="1" x14ac:dyDescent="0.25"/>
    <row r="6238" ht="15.75" customHeight="1" x14ac:dyDescent="0.25"/>
    <row r="6239" ht="15.75" customHeight="1" x14ac:dyDescent="0.25"/>
    <row r="6240" ht="15.75" customHeight="1" x14ac:dyDescent="0.25"/>
    <row r="6241" ht="15.75" customHeight="1" x14ac:dyDescent="0.25"/>
    <row r="6242" ht="15.75" customHeight="1" x14ac:dyDescent="0.25"/>
    <row r="6243" ht="15.75" customHeight="1" x14ac:dyDescent="0.25"/>
    <row r="6244" ht="15.75" customHeight="1" x14ac:dyDescent="0.25"/>
    <row r="6245" ht="15.75" customHeight="1" x14ac:dyDescent="0.25"/>
    <row r="6246" ht="15.75" customHeight="1" x14ac:dyDescent="0.25"/>
    <row r="6247" ht="15.75" customHeight="1" x14ac:dyDescent="0.25"/>
    <row r="6248" ht="15.75" customHeight="1" x14ac:dyDescent="0.25"/>
    <row r="6249" ht="15.75" customHeight="1" x14ac:dyDescent="0.25"/>
    <row r="6250" ht="15.75" customHeight="1" x14ac:dyDescent="0.25"/>
    <row r="6251" ht="15.75" customHeight="1" x14ac:dyDescent="0.25"/>
    <row r="6252" ht="15.75" customHeight="1" x14ac:dyDescent="0.25"/>
    <row r="6253" ht="15.75" customHeight="1" x14ac:dyDescent="0.25"/>
    <row r="6254" ht="15.75" customHeight="1" x14ac:dyDescent="0.25"/>
    <row r="6255" ht="15.75" customHeight="1" x14ac:dyDescent="0.25"/>
    <row r="6256" ht="15.75" customHeight="1" x14ac:dyDescent="0.25"/>
    <row r="6257" ht="15.75" customHeight="1" x14ac:dyDescent="0.25"/>
    <row r="6258" ht="15.75" customHeight="1" x14ac:dyDescent="0.25"/>
    <row r="6259" ht="15.75" customHeight="1" x14ac:dyDescent="0.25"/>
    <row r="6260" ht="15.75" customHeight="1" x14ac:dyDescent="0.25"/>
    <row r="6261" ht="15.75" customHeight="1" x14ac:dyDescent="0.25"/>
    <row r="6262" ht="15.75" customHeight="1" x14ac:dyDescent="0.25"/>
    <row r="6263" ht="15.75" customHeight="1" x14ac:dyDescent="0.25"/>
    <row r="6264" ht="15.75" customHeight="1" x14ac:dyDescent="0.25"/>
    <row r="6265" ht="15.75" customHeight="1" x14ac:dyDescent="0.25"/>
    <row r="6266" ht="15.75" customHeight="1" x14ac:dyDescent="0.25"/>
    <row r="6267" ht="15.75" customHeight="1" x14ac:dyDescent="0.25"/>
    <row r="6268" ht="15.75" customHeight="1" x14ac:dyDescent="0.25"/>
    <row r="6269" ht="15.75" customHeight="1" x14ac:dyDescent="0.25"/>
    <row r="6270" ht="15.75" customHeight="1" x14ac:dyDescent="0.25"/>
    <row r="6271" ht="15.75" customHeight="1" x14ac:dyDescent="0.25"/>
    <row r="6272" ht="15.75" customHeight="1" x14ac:dyDescent="0.25"/>
    <row r="6273" ht="15.75" customHeight="1" x14ac:dyDescent="0.25"/>
    <row r="6274" ht="15.75" customHeight="1" x14ac:dyDescent="0.25"/>
    <row r="6275" ht="15.75" customHeight="1" x14ac:dyDescent="0.25"/>
    <row r="6276" ht="15.75" customHeight="1" x14ac:dyDescent="0.25"/>
    <row r="6277" ht="15.75" customHeight="1" x14ac:dyDescent="0.25"/>
    <row r="6278" ht="15.75" customHeight="1" x14ac:dyDescent="0.25"/>
    <row r="6279" ht="15.75" customHeight="1" x14ac:dyDescent="0.25"/>
    <row r="6280" ht="15.75" customHeight="1" x14ac:dyDescent="0.25"/>
    <row r="6281" ht="15.75" customHeight="1" x14ac:dyDescent="0.25"/>
    <row r="6282" ht="15.75" customHeight="1" x14ac:dyDescent="0.25"/>
    <row r="6283" ht="15.75" customHeight="1" x14ac:dyDescent="0.25"/>
    <row r="6284" ht="15.75" customHeight="1" x14ac:dyDescent="0.25"/>
    <row r="6285" ht="15.75" customHeight="1" x14ac:dyDescent="0.25"/>
    <row r="6286" ht="15.75" customHeight="1" x14ac:dyDescent="0.25"/>
    <row r="6287" ht="15.75" customHeight="1" x14ac:dyDescent="0.25"/>
    <row r="6288" ht="15.75" customHeight="1" x14ac:dyDescent="0.25"/>
    <row r="6289" ht="15.75" customHeight="1" x14ac:dyDescent="0.25"/>
    <row r="6290" ht="15.75" customHeight="1" x14ac:dyDescent="0.25"/>
    <row r="6291" ht="15.75" customHeight="1" x14ac:dyDescent="0.25"/>
    <row r="6292" ht="15.75" customHeight="1" x14ac:dyDescent="0.25"/>
    <row r="6293" ht="15.75" customHeight="1" x14ac:dyDescent="0.25"/>
    <row r="6294" ht="15.75" customHeight="1" x14ac:dyDescent="0.25"/>
    <row r="6295" ht="15.75" customHeight="1" x14ac:dyDescent="0.25"/>
    <row r="6296" ht="15.75" customHeight="1" x14ac:dyDescent="0.25"/>
    <row r="6297" ht="15.75" customHeight="1" x14ac:dyDescent="0.25"/>
    <row r="6298" ht="15.75" customHeight="1" x14ac:dyDescent="0.25"/>
    <row r="6299" ht="15.75" customHeight="1" x14ac:dyDescent="0.25"/>
    <row r="6300" ht="15.75" customHeight="1" x14ac:dyDescent="0.25"/>
    <row r="6301" ht="15.75" customHeight="1" x14ac:dyDescent="0.25"/>
    <row r="6302" ht="15.75" customHeight="1" x14ac:dyDescent="0.25"/>
    <row r="6303" ht="15.75" customHeight="1" x14ac:dyDescent="0.25"/>
    <row r="6304" ht="15.75" customHeight="1" x14ac:dyDescent="0.25"/>
    <row r="6305" ht="15.75" customHeight="1" x14ac:dyDescent="0.25"/>
    <row r="6306" ht="15.75" customHeight="1" x14ac:dyDescent="0.25"/>
    <row r="6307" ht="15.75" customHeight="1" x14ac:dyDescent="0.25"/>
    <row r="6308" ht="15.75" customHeight="1" x14ac:dyDescent="0.25"/>
    <row r="6309" ht="15.75" customHeight="1" x14ac:dyDescent="0.25"/>
    <row r="6310" ht="15.75" customHeight="1" x14ac:dyDescent="0.25"/>
    <row r="6311" ht="15.75" customHeight="1" x14ac:dyDescent="0.25"/>
    <row r="6312" ht="15.75" customHeight="1" x14ac:dyDescent="0.25"/>
    <row r="6313" ht="15.75" customHeight="1" x14ac:dyDescent="0.25"/>
    <row r="6314" ht="15.75" customHeight="1" x14ac:dyDescent="0.25"/>
    <row r="6315" ht="15.75" customHeight="1" x14ac:dyDescent="0.25"/>
    <row r="6316" ht="15.75" customHeight="1" x14ac:dyDescent="0.25"/>
    <row r="6317" ht="15.75" customHeight="1" x14ac:dyDescent="0.25"/>
    <row r="6318" ht="15.75" customHeight="1" x14ac:dyDescent="0.25"/>
    <row r="6319" ht="15.75" customHeight="1" x14ac:dyDescent="0.25"/>
    <row r="6320" ht="15.75" customHeight="1" x14ac:dyDescent="0.25"/>
    <row r="6321" ht="15.75" customHeight="1" x14ac:dyDescent="0.25"/>
    <row r="6322" ht="15.75" customHeight="1" x14ac:dyDescent="0.25"/>
    <row r="6323" ht="15.75" customHeight="1" x14ac:dyDescent="0.25"/>
    <row r="6324" ht="15.75" customHeight="1" x14ac:dyDescent="0.25"/>
    <row r="6325" ht="15.75" customHeight="1" x14ac:dyDescent="0.25"/>
    <row r="6326" ht="15.75" customHeight="1" x14ac:dyDescent="0.25"/>
    <row r="6327" ht="15.75" customHeight="1" x14ac:dyDescent="0.25"/>
    <row r="6328" ht="15.75" customHeight="1" x14ac:dyDescent="0.25"/>
    <row r="6329" ht="15.75" customHeight="1" x14ac:dyDescent="0.25"/>
    <row r="6330" ht="15.75" customHeight="1" x14ac:dyDescent="0.25"/>
    <row r="6331" ht="15.75" customHeight="1" x14ac:dyDescent="0.25"/>
    <row r="6332" ht="15.75" customHeight="1" x14ac:dyDescent="0.25"/>
    <row r="6333" ht="15.75" customHeight="1" x14ac:dyDescent="0.25"/>
    <row r="6334" ht="15.75" customHeight="1" x14ac:dyDescent="0.25"/>
    <row r="6335" ht="15.75" customHeight="1" x14ac:dyDescent="0.25"/>
    <row r="6336" ht="15.75" customHeight="1" x14ac:dyDescent="0.25"/>
    <row r="6337" ht="15.75" customHeight="1" x14ac:dyDescent="0.25"/>
    <row r="6338" ht="15.75" customHeight="1" x14ac:dyDescent="0.25"/>
    <row r="6339" ht="15.75" customHeight="1" x14ac:dyDescent="0.25"/>
    <row r="6340" ht="15.75" customHeight="1" x14ac:dyDescent="0.25"/>
    <row r="6341" ht="15.75" customHeight="1" x14ac:dyDescent="0.25"/>
    <row r="6342" ht="15.75" customHeight="1" x14ac:dyDescent="0.25"/>
    <row r="6343" ht="15.75" customHeight="1" x14ac:dyDescent="0.25"/>
    <row r="6344" ht="15.75" customHeight="1" x14ac:dyDescent="0.25"/>
    <row r="6345" ht="15.75" customHeight="1" x14ac:dyDescent="0.25"/>
    <row r="6346" ht="15.75" customHeight="1" x14ac:dyDescent="0.25"/>
    <row r="6347" ht="15.75" customHeight="1" x14ac:dyDescent="0.25"/>
    <row r="6348" ht="15.75" customHeight="1" x14ac:dyDescent="0.25"/>
    <row r="6349" ht="15.75" customHeight="1" x14ac:dyDescent="0.25"/>
    <row r="6350" ht="15.75" customHeight="1" x14ac:dyDescent="0.25"/>
    <row r="6351" ht="15.75" customHeight="1" x14ac:dyDescent="0.25"/>
    <row r="6352" ht="15.75" customHeight="1" x14ac:dyDescent="0.25"/>
    <row r="6353" ht="15.75" customHeight="1" x14ac:dyDescent="0.25"/>
    <row r="6354" ht="15.75" customHeight="1" x14ac:dyDescent="0.25"/>
    <row r="6355" ht="15.75" customHeight="1" x14ac:dyDescent="0.25"/>
    <row r="6356" ht="15.75" customHeight="1" x14ac:dyDescent="0.25"/>
    <row r="6357" ht="15.75" customHeight="1" x14ac:dyDescent="0.25"/>
    <row r="6358" ht="15.75" customHeight="1" x14ac:dyDescent="0.25"/>
    <row r="6359" ht="15.75" customHeight="1" x14ac:dyDescent="0.25"/>
    <row r="6360" ht="15.75" customHeight="1" x14ac:dyDescent="0.25"/>
    <row r="6361" ht="15.75" customHeight="1" x14ac:dyDescent="0.25"/>
    <row r="6362" ht="15.75" customHeight="1" x14ac:dyDescent="0.25"/>
    <row r="6363" ht="15.75" customHeight="1" x14ac:dyDescent="0.25"/>
    <row r="6364" ht="15.75" customHeight="1" x14ac:dyDescent="0.25"/>
    <row r="6365" ht="15.75" customHeight="1" x14ac:dyDescent="0.25"/>
    <row r="6366" ht="15.75" customHeight="1" x14ac:dyDescent="0.25"/>
    <row r="6367" ht="15.75" customHeight="1" x14ac:dyDescent="0.25"/>
    <row r="6368" ht="15.75" customHeight="1" x14ac:dyDescent="0.25"/>
    <row r="6369" ht="15.75" customHeight="1" x14ac:dyDescent="0.25"/>
    <row r="6370" ht="15.75" customHeight="1" x14ac:dyDescent="0.25"/>
    <row r="6371" ht="15.75" customHeight="1" x14ac:dyDescent="0.25"/>
    <row r="6372" ht="15.75" customHeight="1" x14ac:dyDescent="0.25"/>
    <row r="6373" ht="15.75" customHeight="1" x14ac:dyDescent="0.25"/>
    <row r="6374" ht="15.75" customHeight="1" x14ac:dyDescent="0.25"/>
    <row r="6375" ht="15.75" customHeight="1" x14ac:dyDescent="0.25"/>
    <row r="6376" ht="15.75" customHeight="1" x14ac:dyDescent="0.25"/>
    <row r="6377" ht="15.75" customHeight="1" x14ac:dyDescent="0.25"/>
    <row r="6378" ht="15.75" customHeight="1" x14ac:dyDescent="0.25"/>
    <row r="6379" ht="15.75" customHeight="1" x14ac:dyDescent="0.25"/>
    <row r="6380" ht="15.75" customHeight="1" x14ac:dyDescent="0.25"/>
    <row r="6381" ht="15.75" customHeight="1" x14ac:dyDescent="0.25"/>
    <row r="6382" ht="15.75" customHeight="1" x14ac:dyDescent="0.25"/>
    <row r="6383" ht="15.75" customHeight="1" x14ac:dyDescent="0.25"/>
    <row r="6384" ht="15.75" customHeight="1" x14ac:dyDescent="0.25"/>
    <row r="6385" ht="15.75" customHeight="1" x14ac:dyDescent="0.25"/>
    <row r="6386" ht="15.75" customHeight="1" x14ac:dyDescent="0.25"/>
    <row r="6387" ht="15.75" customHeight="1" x14ac:dyDescent="0.25"/>
    <row r="6388" ht="15.75" customHeight="1" x14ac:dyDescent="0.25"/>
    <row r="6389" ht="15.75" customHeight="1" x14ac:dyDescent="0.25"/>
    <row r="6390" ht="15.75" customHeight="1" x14ac:dyDescent="0.25"/>
    <row r="6391" ht="15.75" customHeight="1" x14ac:dyDescent="0.25"/>
    <row r="6392" ht="15.75" customHeight="1" x14ac:dyDescent="0.25"/>
    <row r="6393" ht="15.75" customHeight="1" x14ac:dyDescent="0.25"/>
    <row r="6394" ht="15.75" customHeight="1" x14ac:dyDescent="0.25"/>
    <row r="6395" ht="15.75" customHeight="1" x14ac:dyDescent="0.25"/>
    <row r="6396" ht="15.75" customHeight="1" x14ac:dyDescent="0.25"/>
    <row r="6397" ht="15.75" customHeight="1" x14ac:dyDescent="0.25"/>
    <row r="6398" ht="15.75" customHeight="1" x14ac:dyDescent="0.25"/>
    <row r="6399" ht="15.75" customHeight="1" x14ac:dyDescent="0.25"/>
    <row r="6400" ht="15.75" customHeight="1" x14ac:dyDescent="0.25"/>
    <row r="6401" ht="15.75" customHeight="1" x14ac:dyDescent="0.25"/>
    <row r="6402" ht="15.75" customHeight="1" x14ac:dyDescent="0.25"/>
    <row r="6403" ht="15.75" customHeight="1" x14ac:dyDescent="0.25"/>
    <row r="6404" ht="15.75" customHeight="1" x14ac:dyDescent="0.25"/>
    <row r="6405" ht="15.75" customHeight="1" x14ac:dyDescent="0.25"/>
    <row r="6406" ht="15.75" customHeight="1" x14ac:dyDescent="0.25"/>
    <row r="6407" ht="15.75" customHeight="1" x14ac:dyDescent="0.25"/>
    <row r="6408" ht="15.75" customHeight="1" x14ac:dyDescent="0.25"/>
    <row r="6409" ht="15.75" customHeight="1" x14ac:dyDescent="0.25"/>
    <row r="6410" ht="15.75" customHeight="1" x14ac:dyDescent="0.25"/>
    <row r="6411" ht="15.75" customHeight="1" x14ac:dyDescent="0.25"/>
    <row r="6412" ht="15.75" customHeight="1" x14ac:dyDescent="0.25"/>
    <row r="6413" ht="15.75" customHeight="1" x14ac:dyDescent="0.25"/>
    <row r="6414" ht="15.75" customHeight="1" x14ac:dyDescent="0.25"/>
    <row r="6415" ht="15.75" customHeight="1" x14ac:dyDescent="0.25"/>
    <row r="6416" ht="15.75" customHeight="1" x14ac:dyDescent="0.25"/>
    <row r="6417" ht="15.75" customHeight="1" x14ac:dyDescent="0.25"/>
    <row r="6418" ht="15.75" customHeight="1" x14ac:dyDescent="0.25"/>
    <row r="6419" ht="15.75" customHeight="1" x14ac:dyDescent="0.25"/>
    <row r="6420" ht="15.75" customHeight="1" x14ac:dyDescent="0.25"/>
    <row r="6421" ht="15.75" customHeight="1" x14ac:dyDescent="0.25"/>
    <row r="6422" ht="15.75" customHeight="1" x14ac:dyDescent="0.25"/>
    <row r="6423" ht="15.75" customHeight="1" x14ac:dyDescent="0.25"/>
    <row r="6424" ht="15.75" customHeight="1" x14ac:dyDescent="0.25"/>
    <row r="6425" ht="15.75" customHeight="1" x14ac:dyDescent="0.25"/>
    <row r="6426" ht="15.75" customHeight="1" x14ac:dyDescent="0.25"/>
    <row r="6427" ht="15.75" customHeight="1" x14ac:dyDescent="0.25"/>
    <row r="6428" ht="15.75" customHeight="1" x14ac:dyDescent="0.25"/>
    <row r="6429" ht="15.75" customHeight="1" x14ac:dyDescent="0.25"/>
    <row r="6430" ht="15.75" customHeight="1" x14ac:dyDescent="0.25"/>
    <row r="6431" ht="15.75" customHeight="1" x14ac:dyDescent="0.25"/>
    <row r="6432" ht="15.75" customHeight="1" x14ac:dyDescent="0.25"/>
    <row r="6433" ht="15.75" customHeight="1" x14ac:dyDescent="0.25"/>
    <row r="6434" ht="15.75" customHeight="1" x14ac:dyDescent="0.25"/>
    <row r="6435" ht="15.75" customHeight="1" x14ac:dyDescent="0.25"/>
    <row r="6436" ht="15.75" customHeight="1" x14ac:dyDescent="0.25"/>
    <row r="6437" ht="15.75" customHeight="1" x14ac:dyDescent="0.25"/>
    <row r="6438" ht="15.75" customHeight="1" x14ac:dyDescent="0.25"/>
    <row r="6439" ht="15.75" customHeight="1" x14ac:dyDescent="0.25"/>
    <row r="6440" ht="15.75" customHeight="1" x14ac:dyDescent="0.25"/>
    <row r="6441" ht="15.75" customHeight="1" x14ac:dyDescent="0.25"/>
    <row r="6442" ht="15.75" customHeight="1" x14ac:dyDescent="0.25"/>
    <row r="6443" ht="15.75" customHeight="1" x14ac:dyDescent="0.25"/>
    <row r="6444" ht="15.75" customHeight="1" x14ac:dyDescent="0.25"/>
    <row r="6445" ht="15.75" customHeight="1" x14ac:dyDescent="0.25"/>
    <row r="6446" ht="15.75" customHeight="1" x14ac:dyDescent="0.25"/>
    <row r="6447" ht="15.75" customHeight="1" x14ac:dyDescent="0.25"/>
    <row r="6448" ht="15.75" customHeight="1" x14ac:dyDescent="0.25"/>
    <row r="6449" ht="15.75" customHeight="1" x14ac:dyDescent="0.25"/>
    <row r="6450" ht="15.75" customHeight="1" x14ac:dyDescent="0.25"/>
    <row r="6451" ht="15.75" customHeight="1" x14ac:dyDescent="0.25"/>
    <row r="6452" ht="15.75" customHeight="1" x14ac:dyDescent="0.25"/>
    <row r="6453" ht="15.75" customHeight="1" x14ac:dyDescent="0.25"/>
    <row r="6454" ht="15.75" customHeight="1" x14ac:dyDescent="0.25"/>
    <row r="6455" ht="15.75" customHeight="1" x14ac:dyDescent="0.25"/>
    <row r="6456" ht="15.75" customHeight="1" x14ac:dyDescent="0.25"/>
    <row r="6457" ht="15.75" customHeight="1" x14ac:dyDescent="0.25"/>
    <row r="6458" ht="15.75" customHeight="1" x14ac:dyDescent="0.25"/>
    <row r="6459" ht="15.75" customHeight="1" x14ac:dyDescent="0.25"/>
    <row r="6460" ht="15.75" customHeight="1" x14ac:dyDescent="0.25"/>
    <row r="6461" ht="15.75" customHeight="1" x14ac:dyDescent="0.25"/>
    <row r="6462" ht="15.75" customHeight="1" x14ac:dyDescent="0.25"/>
    <row r="6463" ht="15.75" customHeight="1" x14ac:dyDescent="0.25"/>
    <row r="6464" ht="15.75" customHeight="1" x14ac:dyDescent="0.25"/>
    <row r="6465" ht="15.75" customHeight="1" x14ac:dyDescent="0.25"/>
    <row r="6466" ht="15.75" customHeight="1" x14ac:dyDescent="0.25"/>
    <row r="6467" ht="15.75" customHeight="1" x14ac:dyDescent="0.25"/>
    <row r="6468" ht="15.75" customHeight="1" x14ac:dyDescent="0.25"/>
    <row r="6469" ht="15.75" customHeight="1" x14ac:dyDescent="0.25"/>
    <row r="6470" ht="15.75" customHeight="1" x14ac:dyDescent="0.25"/>
    <row r="6471" ht="15.75" customHeight="1" x14ac:dyDescent="0.25"/>
    <row r="6472" ht="15.75" customHeight="1" x14ac:dyDescent="0.25"/>
    <row r="6473" ht="15.75" customHeight="1" x14ac:dyDescent="0.25"/>
    <row r="6474" ht="15.75" customHeight="1" x14ac:dyDescent="0.25"/>
    <row r="6475" ht="15.75" customHeight="1" x14ac:dyDescent="0.25"/>
    <row r="6476" ht="15.75" customHeight="1" x14ac:dyDescent="0.25"/>
    <row r="6477" ht="15.75" customHeight="1" x14ac:dyDescent="0.25"/>
    <row r="6478" ht="15.75" customHeight="1" x14ac:dyDescent="0.25"/>
    <row r="6479" ht="15.75" customHeight="1" x14ac:dyDescent="0.25"/>
    <row r="6480" ht="15.75" customHeight="1" x14ac:dyDescent="0.25"/>
    <row r="6481" ht="15.75" customHeight="1" x14ac:dyDescent="0.25"/>
    <row r="6482" ht="15.75" customHeight="1" x14ac:dyDescent="0.25"/>
    <row r="6483" ht="15.75" customHeight="1" x14ac:dyDescent="0.25"/>
    <row r="6484" ht="15.75" customHeight="1" x14ac:dyDescent="0.25"/>
    <row r="6485" ht="15.75" customHeight="1" x14ac:dyDescent="0.25"/>
    <row r="6486" ht="15.75" customHeight="1" x14ac:dyDescent="0.25"/>
    <row r="6487" ht="15.75" customHeight="1" x14ac:dyDescent="0.25"/>
    <row r="6488" ht="15.75" customHeight="1" x14ac:dyDescent="0.25"/>
    <row r="6489" ht="15.75" customHeight="1" x14ac:dyDescent="0.25"/>
    <row r="6490" ht="15.75" customHeight="1" x14ac:dyDescent="0.25"/>
    <row r="6491" ht="15.75" customHeight="1" x14ac:dyDescent="0.25"/>
    <row r="6492" ht="15.75" customHeight="1" x14ac:dyDescent="0.25"/>
    <row r="6493" ht="15.75" customHeight="1" x14ac:dyDescent="0.25"/>
    <row r="6494" ht="15.75" customHeight="1" x14ac:dyDescent="0.25"/>
    <row r="6495" ht="15.75" customHeight="1" x14ac:dyDescent="0.25"/>
    <row r="6496" ht="15.75" customHeight="1" x14ac:dyDescent="0.25"/>
    <row r="6497" ht="15.75" customHeight="1" x14ac:dyDescent="0.25"/>
    <row r="6498" ht="15.75" customHeight="1" x14ac:dyDescent="0.25"/>
    <row r="6499" ht="15.75" customHeight="1" x14ac:dyDescent="0.25"/>
    <row r="6500" ht="15.75" customHeight="1" x14ac:dyDescent="0.25"/>
    <row r="6501" ht="15.75" customHeight="1" x14ac:dyDescent="0.25"/>
    <row r="6502" ht="15.75" customHeight="1" x14ac:dyDescent="0.25"/>
    <row r="6503" ht="15.75" customHeight="1" x14ac:dyDescent="0.25"/>
    <row r="6504" ht="15.75" customHeight="1" x14ac:dyDescent="0.25"/>
    <row r="6505" ht="15.75" customHeight="1" x14ac:dyDescent="0.25"/>
    <row r="6506" ht="15.75" customHeight="1" x14ac:dyDescent="0.25"/>
    <row r="6507" ht="15.75" customHeight="1" x14ac:dyDescent="0.25"/>
    <row r="6508" ht="15.75" customHeight="1" x14ac:dyDescent="0.25"/>
    <row r="6509" ht="15.75" customHeight="1" x14ac:dyDescent="0.25"/>
    <row r="6510" ht="15.75" customHeight="1" x14ac:dyDescent="0.25"/>
    <row r="6511" ht="15.75" customHeight="1" x14ac:dyDescent="0.25"/>
    <row r="6512" ht="15.75" customHeight="1" x14ac:dyDescent="0.25"/>
    <row r="6513" ht="15.75" customHeight="1" x14ac:dyDescent="0.25"/>
    <row r="6514" ht="15.75" customHeight="1" x14ac:dyDescent="0.25"/>
    <row r="6515" ht="15.75" customHeight="1" x14ac:dyDescent="0.25"/>
    <row r="6516" ht="15.75" customHeight="1" x14ac:dyDescent="0.25"/>
    <row r="6517" ht="15.75" customHeight="1" x14ac:dyDescent="0.25"/>
    <row r="6518" ht="15.75" customHeight="1" x14ac:dyDescent="0.25"/>
    <row r="6519" ht="15.75" customHeight="1" x14ac:dyDescent="0.25"/>
    <row r="6520" ht="15.75" customHeight="1" x14ac:dyDescent="0.25"/>
    <row r="6521" ht="15.75" customHeight="1" x14ac:dyDescent="0.25"/>
    <row r="6522" ht="15.75" customHeight="1" x14ac:dyDescent="0.25"/>
    <row r="6523" ht="15.75" customHeight="1" x14ac:dyDescent="0.25"/>
    <row r="6524" ht="15.75" customHeight="1" x14ac:dyDescent="0.25"/>
    <row r="6525" ht="15.75" customHeight="1" x14ac:dyDescent="0.25"/>
    <row r="6526" ht="15.75" customHeight="1" x14ac:dyDescent="0.25"/>
    <row r="6527" ht="15.75" customHeight="1" x14ac:dyDescent="0.25"/>
    <row r="6528" ht="15.75" customHeight="1" x14ac:dyDescent="0.25"/>
    <row r="6529" ht="15.75" customHeight="1" x14ac:dyDescent="0.25"/>
    <row r="6530" ht="15.75" customHeight="1" x14ac:dyDescent="0.25"/>
    <row r="6531" ht="15.75" customHeight="1" x14ac:dyDescent="0.25"/>
    <row r="6532" ht="15.75" customHeight="1" x14ac:dyDescent="0.25"/>
    <row r="6533" ht="15.75" customHeight="1" x14ac:dyDescent="0.25"/>
    <row r="6534" ht="15.75" customHeight="1" x14ac:dyDescent="0.25"/>
    <row r="6535" ht="15.75" customHeight="1" x14ac:dyDescent="0.25"/>
    <row r="6536" ht="15.75" customHeight="1" x14ac:dyDescent="0.25"/>
    <row r="6537" ht="15.75" customHeight="1" x14ac:dyDescent="0.25"/>
    <row r="6538" ht="15.75" customHeight="1" x14ac:dyDescent="0.25"/>
    <row r="6539" ht="15.75" customHeight="1" x14ac:dyDescent="0.25"/>
    <row r="6540" ht="15.75" customHeight="1" x14ac:dyDescent="0.25"/>
    <row r="6541" ht="15.75" customHeight="1" x14ac:dyDescent="0.25"/>
    <row r="6542" ht="15.75" customHeight="1" x14ac:dyDescent="0.25"/>
    <row r="6543" ht="15.75" customHeight="1" x14ac:dyDescent="0.25"/>
    <row r="6544" ht="15.75" customHeight="1" x14ac:dyDescent="0.25"/>
    <row r="6545" ht="15.75" customHeight="1" x14ac:dyDescent="0.25"/>
    <row r="6546" ht="15.75" customHeight="1" x14ac:dyDescent="0.25"/>
    <row r="6547" ht="15.75" customHeight="1" x14ac:dyDescent="0.25"/>
    <row r="6548" ht="15.75" customHeight="1" x14ac:dyDescent="0.25"/>
    <row r="6549" ht="15.75" customHeight="1" x14ac:dyDescent="0.25"/>
    <row r="6550" ht="15.75" customHeight="1" x14ac:dyDescent="0.25"/>
    <row r="6551" ht="15.75" customHeight="1" x14ac:dyDescent="0.25"/>
    <row r="6552" ht="15.75" customHeight="1" x14ac:dyDescent="0.25"/>
    <row r="6553" ht="15.75" customHeight="1" x14ac:dyDescent="0.25"/>
    <row r="6554" ht="15.75" customHeight="1" x14ac:dyDescent="0.25"/>
    <row r="6555" ht="15.75" customHeight="1" x14ac:dyDescent="0.25"/>
    <row r="6556" ht="15.75" customHeight="1" x14ac:dyDescent="0.25"/>
    <row r="6557" ht="15.75" customHeight="1" x14ac:dyDescent="0.25"/>
    <row r="6558" ht="15.75" customHeight="1" x14ac:dyDescent="0.25"/>
    <row r="6559" ht="15.75" customHeight="1" x14ac:dyDescent="0.25"/>
    <row r="6560" ht="15.75" customHeight="1" x14ac:dyDescent="0.25"/>
    <row r="6561" ht="15.75" customHeight="1" x14ac:dyDescent="0.25"/>
    <row r="6562" ht="15.75" customHeight="1" x14ac:dyDescent="0.25"/>
    <row r="6563" ht="15.75" customHeight="1" x14ac:dyDescent="0.25"/>
    <row r="6564" ht="15.75" customHeight="1" x14ac:dyDescent="0.25"/>
    <row r="6565" ht="15.75" customHeight="1" x14ac:dyDescent="0.25"/>
    <row r="6566" ht="15.75" customHeight="1" x14ac:dyDescent="0.25"/>
    <row r="6567" ht="15.75" customHeight="1" x14ac:dyDescent="0.25"/>
    <row r="6568" ht="15.75" customHeight="1" x14ac:dyDescent="0.25"/>
    <row r="6569" ht="15.75" customHeight="1" x14ac:dyDescent="0.25"/>
    <row r="6570" ht="15.75" customHeight="1" x14ac:dyDescent="0.25"/>
    <row r="6571" ht="15.75" customHeight="1" x14ac:dyDescent="0.25"/>
    <row r="6572" ht="15.75" customHeight="1" x14ac:dyDescent="0.25"/>
    <row r="6573" ht="15.75" customHeight="1" x14ac:dyDescent="0.25"/>
    <row r="6574" ht="15.75" customHeight="1" x14ac:dyDescent="0.25"/>
    <row r="6575" ht="15.75" customHeight="1" x14ac:dyDescent="0.25"/>
    <row r="6576" ht="15.75" customHeight="1" x14ac:dyDescent="0.25"/>
    <row r="6577" ht="15.75" customHeight="1" x14ac:dyDescent="0.25"/>
    <row r="6578" ht="15.75" customHeight="1" x14ac:dyDescent="0.25"/>
    <row r="6579" ht="15.75" customHeight="1" x14ac:dyDescent="0.25"/>
    <row r="6580" ht="15.75" customHeight="1" x14ac:dyDescent="0.25"/>
    <row r="6581" ht="15.75" customHeight="1" x14ac:dyDescent="0.25"/>
    <row r="6582" ht="15.75" customHeight="1" x14ac:dyDescent="0.25"/>
    <row r="6583" ht="15.75" customHeight="1" x14ac:dyDescent="0.25"/>
    <row r="6584" ht="15.75" customHeight="1" x14ac:dyDescent="0.25"/>
    <row r="6585" ht="15.75" customHeight="1" x14ac:dyDescent="0.25"/>
    <row r="6586" ht="15.75" customHeight="1" x14ac:dyDescent="0.25"/>
    <row r="6587" ht="15.75" customHeight="1" x14ac:dyDescent="0.25"/>
    <row r="6588" ht="15.75" customHeight="1" x14ac:dyDescent="0.25"/>
    <row r="6589" ht="15.75" customHeight="1" x14ac:dyDescent="0.25"/>
    <row r="6590" ht="15.75" customHeight="1" x14ac:dyDescent="0.25"/>
    <row r="6591" ht="15.75" customHeight="1" x14ac:dyDescent="0.25"/>
    <row r="6592" ht="15.75" customHeight="1" x14ac:dyDescent="0.25"/>
    <row r="6593" ht="15.75" customHeight="1" x14ac:dyDescent="0.25"/>
    <row r="6594" ht="15.75" customHeight="1" x14ac:dyDescent="0.25"/>
    <row r="6595" ht="15.75" customHeight="1" x14ac:dyDescent="0.25"/>
    <row r="6596" ht="15.75" customHeight="1" x14ac:dyDescent="0.25"/>
    <row r="6597" ht="15.75" customHeight="1" x14ac:dyDescent="0.25"/>
    <row r="6598" ht="15.75" customHeight="1" x14ac:dyDescent="0.25"/>
    <row r="6599" ht="15.75" customHeight="1" x14ac:dyDescent="0.25"/>
    <row r="6600" ht="15.75" customHeight="1" x14ac:dyDescent="0.25"/>
    <row r="6601" ht="15.75" customHeight="1" x14ac:dyDescent="0.25"/>
    <row r="6602" ht="15.75" customHeight="1" x14ac:dyDescent="0.25"/>
    <row r="6603" ht="15.75" customHeight="1" x14ac:dyDescent="0.25"/>
    <row r="6604" ht="15.75" customHeight="1" x14ac:dyDescent="0.25"/>
    <row r="6605" ht="15.75" customHeight="1" x14ac:dyDescent="0.25"/>
    <row r="6606" ht="15.75" customHeight="1" x14ac:dyDescent="0.25"/>
    <row r="6607" ht="15.75" customHeight="1" x14ac:dyDescent="0.25"/>
    <row r="6608" ht="15.75" customHeight="1" x14ac:dyDescent="0.25"/>
    <row r="6609" ht="15.75" customHeight="1" x14ac:dyDescent="0.25"/>
    <row r="6610" ht="15.75" customHeight="1" x14ac:dyDescent="0.25"/>
    <row r="6611" ht="15.75" customHeight="1" x14ac:dyDescent="0.25"/>
    <row r="6612" ht="15.75" customHeight="1" x14ac:dyDescent="0.25"/>
    <row r="6613" ht="15.75" customHeight="1" x14ac:dyDescent="0.25"/>
    <row r="6614" ht="15.75" customHeight="1" x14ac:dyDescent="0.25"/>
    <row r="6615" ht="15.75" customHeight="1" x14ac:dyDescent="0.25"/>
    <row r="6616" ht="15.75" customHeight="1" x14ac:dyDescent="0.25"/>
    <row r="6617" ht="15.75" customHeight="1" x14ac:dyDescent="0.25"/>
    <row r="6618" ht="15.75" customHeight="1" x14ac:dyDescent="0.25"/>
    <row r="6619" ht="15.75" customHeight="1" x14ac:dyDescent="0.25"/>
    <row r="6620" ht="15.75" customHeight="1" x14ac:dyDescent="0.25"/>
    <row r="6621" ht="15.75" customHeight="1" x14ac:dyDescent="0.25"/>
    <row r="6622" ht="15.75" customHeight="1" x14ac:dyDescent="0.25"/>
    <row r="6623" ht="15.75" customHeight="1" x14ac:dyDescent="0.25"/>
    <row r="6624" ht="15.75" customHeight="1" x14ac:dyDescent="0.25"/>
    <row r="6625" ht="15.75" customHeight="1" x14ac:dyDescent="0.25"/>
    <row r="6626" ht="15.75" customHeight="1" x14ac:dyDescent="0.25"/>
    <row r="6627" ht="15.75" customHeight="1" x14ac:dyDescent="0.25"/>
    <row r="6628" ht="15.75" customHeight="1" x14ac:dyDescent="0.25"/>
    <row r="6629" ht="15.75" customHeight="1" x14ac:dyDescent="0.25"/>
    <row r="6630" ht="15.75" customHeight="1" x14ac:dyDescent="0.25"/>
    <row r="6631" ht="15.75" customHeight="1" x14ac:dyDescent="0.25"/>
    <row r="6632" ht="15.75" customHeight="1" x14ac:dyDescent="0.25"/>
    <row r="6633" ht="15.75" customHeight="1" x14ac:dyDescent="0.25"/>
    <row r="6634" ht="15.75" customHeight="1" x14ac:dyDescent="0.25"/>
    <row r="6635" ht="15.75" customHeight="1" x14ac:dyDescent="0.25"/>
    <row r="6636" ht="15.75" customHeight="1" x14ac:dyDescent="0.25"/>
    <row r="6637" ht="15.75" customHeight="1" x14ac:dyDescent="0.25"/>
    <row r="6638" ht="15.75" customHeight="1" x14ac:dyDescent="0.25"/>
    <row r="6639" ht="15.75" customHeight="1" x14ac:dyDescent="0.25"/>
    <row r="6640" ht="15.75" customHeight="1" x14ac:dyDescent="0.25"/>
    <row r="6641" ht="15.75" customHeight="1" x14ac:dyDescent="0.25"/>
    <row r="6642" ht="15.75" customHeight="1" x14ac:dyDescent="0.25"/>
    <row r="6643" ht="15.75" customHeight="1" x14ac:dyDescent="0.25"/>
    <row r="6644" ht="15.75" customHeight="1" x14ac:dyDescent="0.25"/>
    <row r="6645" ht="15.75" customHeight="1" x14ac:dyDescent="0.25"/>
    <row r="6646" ht="15.75" customHeight="1" x14ac:dyDescent="0.25"/>
    <row r="6647" ht="15.75" customHeight="1" x14ac:dyDescent="0.25"/>
    <row r="6648" ht="15.75" customHeight="1" x14ac:dyDescent="0.25"/>
    <row r="6649" ht="15.75" customHeight="1" x14ac:dyDescent="0.25"/>
    <row r="6650" ht="15.75" customHeight="1" x14ac:dyDescent="0.25"/>
    <row r="6651" ht="15.75" customHeight="1" x14ac:dyDescent="0.25"/>
    <row r="6652" ht="15.75" customHeight="1" x14ac:dyDescent="0.25"/>
    <row r="6653" ht="15.75" customHeight="1" x14ac:dyDescent="0.25"/>
    <row r="6654" ht="15.75" customHeight="1" x14ac:dyDescent="0.25"/>
    <row r="6655" ht="15.75" customHeight="1" x14ac:dyDescent="0.25"/>
    <row r="6656" ht="15.75" customHeight="1" x14ac:dyDescent="0.25"/>
    <row r="6657" ht="15.75" customHeight="1" x14ac:dyDescent="0.25"/>
    <row r="6658" ht="15.75" customHeight="1" x14ac:dyDescent="0.25"/>
    <row r="6659" ht="15.75" customHeight="1" x14ac:dyDescent="0.25"/>
    <row r="6660" ht="15.75" customHeight="1" x14ac:dyDescent="0.25"/>
    <row r="6661" ht="15.75" customHeight="1" x14ac:dyDescent="0.25"/>
    <row r="6662" ht="15.75" customHeight="1" x14ac:dyDescent="0.25"/>
    <row r="6663" ht="15.75" customHeight="1" x14ac:dyDescent="0.25"/>
    <row r="6664" ht="15.75" customHeight="1" x14ac:dyDescent="0.25"/>
    <row r="6665" ht="15.75" customHeight="1" x14ac:dyDescent="0.25"/>
    <row r="6666" ht="15.75" customHeight="1" x14ac:dyDescent="0.25"/>
    <row r="6667" ht="15.75" customHeight="1" x14ac:dyDescent="0.25"/>
    <row r="6668" ht="15.75" customHeight="1" x14ac:dyDescent="0.25"/>
    <row r="6669" ht="15.75" customHeight="1" x14ac:dyDescent="0.25"/>
    <row r="6670" ht="15.75" customHeight="1" x14ac:dyDescent="0.25"/>
    <row r="6671" ht="15.75" customHeight="1" x14ac:dyDescent="0.25"/>
    <row r="6672" ht="15.75" customHeight="1" x14ac:dyDescent="0.25"/>
    <row r="6673" ht="15.75" customHeight="1" x14ac:dyDescent="0.25"/>
    <row r="6674" ht="15.75" customHeight="1" x14ac:dyDescent="0.25"/>
    <row r="6675" ht="15.75" customHeight="1" x14ac:dyDescent="0.25"/>
    <row r="6676" ht="15.75" customHeight="1" x14ac:dyDescent="0.25"/>
    <row r="6677" ht="15.75" customHeight="1" x14ac:dyDescent="0.25"/>
    <row r="6678" ht="15.75" customHeight="1" x14ac:dyDescent="0.25"/>
    <row r="6679" ht="15.75" customHeight="1" x14ac:dyDescent="0.25"/>
    <row r="6680" ht="15.75" customHeight="1" x14ac:dyDescent="0.25"/>
    <row r="6681" ht="15.75" customHeight="1" x14ac:dyDescent="0.25"/>
    <row r="6682" ht="15.75" customHeight="1" x14ac:dyDescent="0.25"/>
    <row r="6683" ht="15.75" customHeight="1" x14ac:dyDescent="0.25"/>
    <row r="6684" ht="15.75" customHeight="1" x14ac:dyDescent="0.25"/>
    <row r="6685" ht="15.75" customHeight="1" x14ac:dyDescent="0.25"/>
    <row r="6686" ht="15.75" customHeight="1" x14ac:dyDescent="0.25"/>
    <row r="6687" ht="15.75" customHeight="1" x14ac:dyDescent="0.25"/>
    <row r="6688" ht="15.75" customHeight="1" x14ac:dyDescent="0.25"/>
    <row r="6689" ht="15.75" customHeight="1" x14ac:dyDescent="0.25"/>
    <row r="6690" ht="15.75" customHeight="1" x14ac:dyDescent="0.25"/>
    <row r="6691" ht="15.75" customHeight="1" x14ac:dyDescent="0.25"/>
    <row r="6692" ht="15.75" customHeight="1" x14ac:dyDescent="0.25"/>
    <row r="6693" ht="15.75" customHeight="1" x14ac:dyDescent="0.25"/>
    <row r="6694" ht="15.75" customHeight="1" x14ac:dyDescent="0.25"/>
    <row r="6695" ht="15.75" customHeight="1" x14ac:dyDescent="0.25"/>
    <row r="6696" ht="15.75" customHeight="1" x14ac:dyDescent="0.25"/>
    <row r="6697" ht="15.75" customHeight="1" x14ac:dyDescent="0.25"/>
    <row r="6698" ht="15.75" customHeight="1" x14ac:dyDescent="0.25"/>
    <row r="6699" ht="15.75" customHeight="1" x14ac:dyDescent="0.25"/>
    <row r="6700" ht="15.75" customHeight="1" x14ac:dyDescent="0.25"/>
    <row r="6701" ht="15.75" customHeight="1" x14ac:dyDescent="0.25"/>
    <row r="6702" ht="15.75" customHeight="1" x14ac:dyDescent="0.25"/>
    <row r="6703" ht="15.75" customHeight="1" x14ac:dyDescent="0.25"/>
    <row r="6704" ht="15.75" customHeight="1" x14ac:dyDescent="0.25"/>
    <row r="6705" ht="15.75" customHeight="1" x14ac:dyDescent="0.25"/>
    <row r="6706" ht="15.75" customHeight="1" x14ac:dyDescent="0.25"/>
    <row r="6707" ht="15.75" customHeight="1" x14ac:dyDescent="0.25"/>
    <row r="6708" ht="15.75" customHeight="1" x14ac:dyDescent="0.25"/>
    <row r="6709" ht="15.75" customHeight="1" x14ac:dyDescent="0.25"/>
    <row r="6710" ht="15.75" customHeight="1" x14ac:dyDescent="0.25"/>
    <row r="6711" ht="15.75" customHeight="1" x14ac:dyDescent="0.25"/>
    <row r="6712" ht="15.75" customHeight="1" x14ac:dyDescent="0.25"/>
    <row r="6713" ht="15.75" customHeight="1" x14ac:dyDescent="0.25"/>
    <row r="6714" ht="15.75" customHeight="1" x14ac:dyDescent="0.25"/>
    <row r="6715" ht="15.75" customHeight="1" x14ac:dyDescent="0.25"/>
    <row r="6716" ht="15.75" customHeight="1" x14ac:dyDescent="0.25"/>
    <row r="6717" ht="15.75" customHeight="1" x14ac:dyDescent="0.25"/>
    <row r="6718" ht="15.75" customHeight="1" x14ac:dyDescent="0.25"/>
    <row r="6719" ht="15.75" customHeight="1" x14ac:dyDescent="0.25"/>
    <row r="6720" ht="15.75" customHeight="1" x14ac:dyDescent="0.25"/>
    <row r="6721" ht="15.75" customHeight="1" x14ac:dyDescent="0.25"/>
    <row r="6722" ht="15.75" customHeight="1" x14ac:dyDescent="0.25"/>
    <row r="6723" ht="15.75" customHeight="1" x14ac:dyDescent="0.25"/>
    <row r="6724" ht="15.75" customHeight="1" x14ac:dyDescent="0.25"/>
    <row r="6725" ht="15.75" customHeight="1" x14ac:dyDescent="0.25"/>
    <row r="6726" ht="15.75" customHeight="1" x14ac:dyDescent="0.25"/>
    <row r="6727" ht="15.75" customHeight="1" x14ac:dyDescent="0.25"/>
    <row r="6728" ht="15.75" customHeight="1" x14ac:dyDescent="0.25"/>
    <row r="6729" ht="15.75" customHeight="1" x14ac:dyDescent="0.25"/>
    <row r="6730" ht="15.75" customHeight="1" x14ac:dyDescent="0.25"/>
    <row r="6731" ht="15.75" customHeight="1" x14ac:dyDescent="0.25"/>
    <row r="6732" ht="15.75" customHeight="1" x14ac:dyDescent="0.25"/>
    <row r="6733" ht="15.75" customHeight="1" x14ac:dyDescent="0.25"/>
    <row r="6734" ht="15.75" customHeight="1" x14ac:dyDescent="0.25"/>
    <row r="6735" ht="15.75" customHeight="1" x14ac:dyDescent="0.25"/>
    <row r="6736" ht="15.75" customHeight="1" x14ac:dyDescent="0.25"/>
    <row r="6737" ht="15.75" customHeight="1" x14ac:dyDescent="0.25"/>
    <row r="6738" ht="15.75" customHeight="1" x14ac:dyDescent="0.25"/>
    <row r="6739" ht="15.75" customHeight="1" x14ac:dyDescent="0.25"/>
    <row r="6740" ht="15.75" customHeight="1" x14ac:dyDescent="0.25"/>
    <row r="6741" ht="15.75" customHeight="1" x14ac:dyDescent="0.25"/>
    <row r="6742" ht="15.75" customHeight="1" x14ac:dyDescent="0.25"/>
    <row r="6743" ht="15.75" customHeight="1" x14ac:dyDescent="0.25"/>
    <row r="6744" ht="15.75" customHeight="1" x14ac:dyDescent="0.25"/>
    <row r="6745" ht="15.75" customHeight="1" x14ac:dyDescent="0.25"/>
    <row r="6746" ht="15.75" customHeight="1" x14ac:dyDescent="0.25"/>
    <row r="6747" ht="15.75" customHeight="1" x14ac:dyDescent="0.25"/>
    <row r="6748" ht="15.75" customHeight="1" x14ac:dyDescent="0.25"/>
    <row r="6749" ht="15.75" customHeight="1" x14ac:dyDescent="0.25"/>
    <row r="6750" ht="15.75" customHeight="1" x14ac:dyDescent="0.25"/>
    <row r="6751" ht="15.75" customHeight="1" x14ac:dyDescent="0.25"/>
    <row r="6752" ht="15.75" customHeight="1" x14ac:dyDescent="0.25"/>
    <row r="6753" ht="15.75" customHeight="1" x14ac:dyDescent="0.25"/>
    <row r="6754" ht="15.75" customHeight="1" x14ac:dyDescent="0.25"/>
    <row r="6755" ht="15.75" customHeight="1" x14ac:dyDescent="0.25"/>
    <row r="6756" ht="15.75" customHeight="1" x14ac:dyDescent="0.25"/>
    <row r="6757" ht="15.75" customHeight="1" x14ac:dyDescent="0.25"/>
    <row r="6758" ht="15.75" customHeight="1" x14ac:dyDescent="0.25"/>
    <row r="6759" ht="15.75" customHeight="1" x14ac:dyDescent="0.25"/>
    <row r="6760" ht="15.75" customHeight="1" x14ac:dyDescent="0.25"/>
    <row r="6761" ht="15.75" customHeight="1" x14ac:dyDescent="0.25"/>
    <row r="6762" ht="15.75" customHeight="1" x14ac:dyDescent="0.25"/>
    <row r="6763" ht="15.75" customHeight="1" x14ac:dyDescent="0.25"/>
    <row r="6764" ht="15.75" customHeight="1" x14ac:dyDescent="0.25"/>
    <row r="6765" ht="15.75" customHeight="1" x14ac:dyDescent="0.25"/>
    <row r="6766" ht="15.75" customHeight="1" x14ac:dyDescent="0.25"/>
    <row r="6767" ht="15.75" customHeight="1" x14ac:dyDescent="0.25"/>
    <row r="6768" ht="15.75" customHeight="1" x14ac:dyDescent="0.25"/>
    <row r="6769" ht="15.75" customHeight="1" x14ac:dyDescent="0.25"/>
    <row r="6770" ht="15.75" customHeight="1" x14ac:dyDescent="0.25"/>
    <row r="6771" ht="15.75" customHeight="1" x14ac:dyDescent="0.25"/>
    <row r="6772" ht="15.75" customHeight="1" x14ac:dyDescent="0.25"/>
    <row r="6773" ht="15.75" customHeight="1" x14ac:dyDescent="0.25"/>
    <row r="6774" ht="15.75" customHeight="1" x14ac:dyDescent="0.25"/>
    <row r="6775" ht="15.75" customHeight="1" x14ac:dyDescent="0.25"/>
    <row r="6776" ht="15.75" customHeight="1" x14ac:dyDescent="0.25"/>
    <row r="6777" ht="15.75" customHeight="1" x14ac:dyDescent="0.25"/>
    <row r="6778" ht="15.75" customHeight="1" x14ac:dyDescent="0.25"/>
    <row r="6779" ht="15.75" customHeight="1" x14ac:dyDescent="0.25"/>
    <row r="6780" ht="15.75" customHeight="1" x14ac:dyDescent="0.25"/>
    <row r="6781" ht="15.75" customHeight="1" x14ac:dyDescent="0.25"/>
    <row r="6782" ht="15.75" customHeight="1" x14ac:dyDescent="0.25"/>
    <row r="6783" ht="15.75" customHeight="1" x14ac:dyDescent="0.25"/>
    <row r="6784" ht="15.75" customHeight="1" x14ac:dyDescent="0.25"/>
    <row r="6785" ht="15.75" customHeight="1" x14ac:dyDescent="0.25"/>
    <row r="6786" ht="15.75" customHeight="1" x14ac:dyDescent="0.25"/>
    <row r="6787" ht="15.75" customHeight="1" x14ac:dyDescent="0.25"/>
    <row r="6788" ht="15.75" customHeight="1" x14ac:dyDescent="0.25"/>
    <row r="6789" ht="15.75" customHeight="1" x14ac:dyDescent="0.25"/>
    <row r="6790" ht="15.75" customHeight="1" x14ac:dyDescent="0.25"/>
    <row r="6791" ht="15.75" customHeight="1" x14ac:dyDescent="0.25"/>
    <row r="6792" ht="15.75" customHeight="1" x14ac:dyDescent="0.25"/>
    <row r="6793" ht="15.75" customHeight="1" x14ac:dyDescent="0.25"/>
    <row r="6794" ht="15.75" customHeight="1" x14ac:dyDescent="0.25"/>
    <row r="6795" ht="15.75" customHeight="1" x14ac:dyDescent="0.25"/>
    <row r="6796" ht="15.75" customHeight="1" x14ac:dyDescent="0.25"/>
    <row r="6797" ht="15.75" customHeight="1" x14ac:dyDescent="0.25"/>
    <row r="6798" ht="15.75" customHeight="1" x14ac:dyDescent="0.25"/>
    <row r="6799" ht="15.75" customHeight="1" x14ac:dyDescent="0.25"/>
    <row r="6800" ht="15.75" customHeight="1" x14ac:dyDescent="0.25"/>
    <row r="6801" ht="15.75" customHeight="1" x14ac:dyDescent="0.25"/>
    <row r="6802" ht="15.75" customHeight="1" x14ac:dyDescent="0.25"/>
    <row r="6803" ht="15.75" customHeight="1" x14ac:dyDescent="0.25"/>
    <row r="6804" ht="15.75" customHeight="1" x14ac:dyDescent="0.25"/>
    <row r="6805" ht="15.75" customHeight="1" x14ac:dyDescent="0.25"/>
    <row r="6806" ht="15.75" customHeight="1" x14ac:dyDescent="0.25"/>
    <row r="6807" ht="15.75" customHeight="1" x14ac:dyDescent="0.25"/>
    <row r="6808" ht="15.75" customHeight="1" x14ac:dyDescent="0.25"/>
    <row r="6809" ht="15.75" customHeight="1" x14ac:dyDescent="0.25"/>
    <row r="6810" ht="15.75" customHeight="1" x14ac:dyDescent="0.25"/>
    <row r="6811" ht="15.75" customHeight="1" x14ac:dyDescent="0.25"/>
    <row r="6812" ht="15.75" customHeight="1" x14ac:dyDescent="0.25"/>
    <row r="6813" ht="15.75" customHeight="1" x14ac:dyDescent="0.25"/>
    <row r="6814" ht="15.75" customHeight="1" x14ac:dyDescent="0.25"/>
    <row r="6815" ht="15.75" customHeight="1" x14ac:dyDescent="0.25"/>
    <row r="6816" ht="15.75" customHeight="1" x14ac:dyDescent="0.25"/>
    <row r="6817" ht="15.75" customHeight="1" x14ac:dyDescent="0.25"/>
    <row r="6818" ht="15.75" customHeight="1" x14ac:dyDescent="0.25"/>
    <row r="6819" ht="15.75" customHeight="1" x14ac:dyDescent="0.25"/>
    <row r="6820" ht="15.75" customHeight="1" x14ac:dyDescent="0.25"/>
    <row r="6821" ht="15.75" customHeight="1" x14ac:dyDescent="0.25"/>
    <row r="6822" ht="15.75" customHeight="1" x14ac:dyDescent="0.25"/>
    <row r="6823" ht="15.75" customHeight="1" x14ac:dyDescent="0.25"/>
    <row r="6824" ht="15.75" customHeight="1" x14ac:dyDescent="0.25"/>
    <row r="6825" ht="15.75" customHeight="1" x14ac:dyDescent="0.25"/>
    <row r="6826" ht="15.75" customHeight="1" x14ac:dyDescent="0.25"/>
    <row r="6827" ht="15.75" customHeight="1" x14ac:dyDescent="0.25"/>
    <row r="6828" ht="15.75" customHeight="1" x14ac:dyDescent="0.25"/>
    <row r="6829" ht="15.75" customHeight="1" x14ac:dyDescent="0.25"/>
    <row r="6830" ht="15.75" customHeight="1" x14ac:dyDescent="0.25"/>
    <row r="6831" ht="15.75" customHeight="1" x14ac:dyDescent="0.25"/>
    <row r="6832" ht="15.75" customHeight="1" x14ac:dyDescent="0.25"/>
    <row r="6833" ht="15.75" customHeight="1" x14ac:dyDescent="0.25"/>
    <row r="6834" ht="15.75" customHeight="1" x14ac:dyDescent="0.25"/>
    <row r="6835" ht="15.75" customHeight="1" x14ac:dyDescent="0.25"/>
    <row r="6836" ht="15.75" customHeight="1" x14ac:dyDescent="0.25"/>
    <row r="6837" ht="15.75" customHeight="1" x14ac:dyDescent="0.25"/>
    <row r="6838" ht="15.75" customHeight="1" x14ac:dyDescent="0.25"/>
    <row r="6839" ht="15.75" customHeight="1" x14ac:dyDescent="0.25"/>
    <row r="6840" ht="15.75" customHeight="1" x14ac:dyDescent="0.25"/>
    <row r="6841" ht="15.75" customHeight="1" x14ac:dyDescent="0.25"/>
    <row r="6842" ht="15.75" customHeight="1" x14ac:dyDescent="0.25"/>
    <row r="6843" ht="15.75" customHeight="1" x14ac:dyDescent="0.25"/>
    <row r="6844" ht="15.75" customHeight="1" x14ac:dyDescent="0.25"/>
    <row r="6845" ht="15.75" customHeight="1" x14ac:dyDescent="0.25"/>
    <row r="6846" ht="15.75" customHeight="1" x14ac:dyDescent="0.25"/>
    <row r="6847" ht="15.75" customHeight="1" x14ac:dyDescent="0.25"/>
    <row r="6848" ht="15.75" customHeight="1" x14ac:dyDescent="0.25"/>
    <row r="6849" ht="15.75" customHeight="1" x14ac:dyDescent="0.25"/>
    <row r="6850" ht="15.75" customHeight="1" x14ac:dyDescent="0.25"/>
    <row r="6851" ht="15.75" customHeight="1" x14ac:dyDescent="0.25"/>
    <row r="6852" ht="15.75" customHeight="1" x14ac:dyDescent="0.25"/>
    <row r="6853" ht="15.75" customHeight="1" x14ac:dyDescent="0.25"/>
    <row r="6854" ht="15.75" customHeight="1" x14ac:dyDescent="0.25"/>
    <row r="6855" ht="15.75" customHeight="1" x14ac:dyDescent="0.25"/>
    <row r="6856" ht="15.75" customHeight="1" x14ac:dyDescent="0.25"/>
    <row r="6857" ht="15.75" customHeight="1" x14ac:dyDescent="0.25"/>
    <row r="6858" ht="15.75" customHeight="1" x14ac:dyDescent="0.25"/>
    <row r="6859" ht="15.75" customHeight="1" x14ac:dyDescent="0.25"/>
    <row r="6860" ht="15.75" customHeight="1" x14ac:dyDescent="0.25"/>
    <row r="6861" ht="15.75" customHeight="1" x14ac:dyDescent="0.25"/>
    <row r="6862" ht="15.75" customHeight="1" x14ac:dyDescent="0.25"/>
    <row r="6863" ht="15.75" customHeight="1" x14ac:dyDescent="0.25"/>
    <row r="6864" ht="15.75" customHeight="1" x14ac:dyDescent="0.25"/>
    <row r="6865" ht="15.75" customHeight="1" x14ac:dyDescent="0.25"/>
    <row r="6866" ht="15.75" customHeight="1" x14ac:dyDescent="0.25"/>
    <row r="6867" ht="15.75" customHeight="1" x14ac:dyDescent="0.25"/>
    <row r="6868" ht="15.75" customHeight="1" x14ac:dyDescent="0.25"/>
    <row r="6869" ht="15.75" customHeight="1" x14ac:dyDescent="0.25"/>
    <row r="6870" ht="15.75" customHeight="1" x14ac:dyDescent="0.25"/>
    <row r="6871" ht="15.75" customHeight="1" x14ac:dyDescent="0.25"/>
    <row r="6872" ht="15.75" customHeight="1" x14ac:dyDescent="0.25"/>
    <row r="6873" ht="15.75" customHeight="1" x14ac:dyDescent="0.25"/>
    <row r="6874" ht="15.75" customHeight="1" x14ac:dyDescent="0.25"/>
    <row r="6875" ht="15.75" customHeight="1" x14ac:dyDescent="0.25"/>
    <row r="6876" ht="15.75" customHeight="1" x14ac:dyDescent="0.25"/>
    <row r="6877" ht="15.75" customHeight="1" x14ac:dyDescent="0.25"/>
    <row r="6878" ht="15.75" customHeight="1" x14ac:dyDescent="0.25"/>
    <row r="6879" ht="15.75" customHeight="1" x14ac:dyDescent="0.25"/>
    <row r="6880" ht="15.75" customHeight="1" x14ac:dyDescent="0.25"/>
    <row r="6881" ht="15.75" customHeight="1" x14ac:dyDescent="0.25"/>
    <row r="6882" ht="15.75" customHeight="1" x14ac:dyDescent="0.25"/>
    <row r="6883" ht="15.75" customHeight="1" x14ac:dyDescent="0.25"/>
    <row r="6884" ht="15.75" customHeight="1" x14ac:dyDescent="0.25"/>
    <row r="6885" ht="15.75" customHeight="1" x14ac:dyDescent="0.25"/>
    <row r="6886" ht="15.75" customHeight="1" x14ac:dyDescent="0.25"/>
    <row r="6887" ht="15.75" customHeight="1" x14ac:dyDescent="0.25"/>
    <row r="6888" ht="15.75" customHeight="1" x14ac:dyDescent="0.25"/>
    <row r="6889" ht="15.75" customHeight="1" x14ac:dyDescent="0.25"/>
    <row r="6890" ht="15.75" customHeight="1" x14ac:dyDescent="0.25"/>
    <row r="6891" ht="15.75" customHeight="1" x14ac:dyDescent="0.25"/>
    <row r="6892" ht="15.75" customHeight="1" x14ac:dyDescent="0.25"/>
    <row r="6893" ht="15.75" customHeight="1" x14ac:dyDescent="0.25"/>
    <row r="6894" ht="15.75" customHeight="1" x14ac:dyDescent="0.25"/>
    <row r="6895" ht="15.75" customHeight="1" x14ac:dyDescent="0.25"/>
    <row r="6896" ht="15.75" customHeight="1" x14ac:dyDescent="0.25"/>
    <row r="6897" ht="15.75" customHeight="1" x14ac:dyDescent="0.25"/>
    <row r="6898" ht="15.75" customHeight="1" x14ac:dyDescent="0.25"/>
    <row r="6899" ht="15.75" customHeight="1" x14ac:dyDescent="0.25"/>
    <row r="6900" ht="15.75" customHeight="1" x14ac:dyDescent="0.25"/>
    <row r="6901" ht="15.75" customHeight="1" x14ac:dyDescent="0.25"/>
    <row r="6902" ht="15.75" customHeight="1" x14ac:dyDescent="0.25"/>
    <row r="6903" ht="15.75" customHeight="1" x14ac:dyDescent="0.25"/>
    <row r="6904" ht="15.75" customHeight="1" x14ac:dyDescent="0.25"/>
    <row r="6905" ht="15.75" customHeight="1" x14ac:dyDescent="0.25"/>
    <row r="6906" ht="15.75" customHeight="1" x14ac:dyDescent="0.25"/>
    <row r="6907" ht="15.75" customHeight="1" x14ac:dyDescent="0.25"/>
    <row r="6908" ht="15.75" customHeight="1" x14ac:dyDescent="0.25"/>
    <row r="6909" ht="15.75" customHeight="1" x14ac:dyDescent="0.25"/>
    <row r="6910" ht="15.75" customHeight="1" x14ac:dyDescent="0.25"/>
    <row r="6911" ht="15.75" customHeight="1" x14ac:dyDescent="0.25"/>
    <row r="6912" ht="15.75" customHeight="1" x14ac:dyDescent="0.25"/>
    <row r="6913" ht="15.75" customHeight="1" x14ac:dyDescent="0.25"/>
    <row r="6914" ht="15.75" customHeight="1" x14ac:dyDescent="0.25"/>
    <row r="6915" ht="15.75" customHeight="1" x14ac:dyDescent="0.25"/>
    <row r="6916" ht="15.75" customHeight="1" x14ac:dyDescent="0.25"/>
    <row r="6917" ht="15.75" customHeight="1" x14ac:dyDescent="0.25"/>
    <row r="6918" ht="15.75" customHeight="1" x14ac:dyDescent="0.25"/>
    <row r="6919" ht="15.75" customHeight="1" x14ac:dyDescent="0.25"/>
    <row r="6920" ht="15.75" customHeight="1" x14ac:dyDescent="0.25"/>
    <row r="6921" ht="15.75" customHeight="1" x14ac:dyDescent="0.25"/>
    <row r="6922" ht="15.75" customHeight="1" x14ac:dyDescent="0.25"/>
    <row r="6923" ht="15.75" customHeight="1" x14ac:dyDescent="0.25"/>
    <row r="6924" ht="15.75" customHeight="1" x14ac:dyDescent="0.25"/>
    <row r="6925" ht="15.75" customHeight="1" x14ac:dyDescent="0.25"/>
    <row r="6926" ht="15.75" customHeight="1" x14ac:dyDescent="0.25"/>
    <row r="6927" ht="15.75" customHeight="1" x14ac:dyDescent="0.25"/>
    <row r="6928" ht="15.75" customHeight="1" x14ac:dyDescent="0.25"/>
    <row r="6929" ht="15.75" customHeight="1" x14ac:dyDescent="0.25"/>
    <row r="6930" ht="15.75" customHeight="1" x14ac:dyDescent="0.25"/>
    <row r="6931" ht="15.75" customHeight="1" x14ac:dyDescent="0.25"/>
    <row r="6932" ht="15.75" customHeight="1" x14ac:dyDescent="0.25"/>
    <row r="6933" ht="15.75" customHeight="1" x14ac:dyDescent="0.25"/>
    <row r="6934" ht="15.75" customHeight="1" x14ac:dyDescent="0.25"/>
    <row r="6935" ht="15.75" customHeight="1" x14ac:dyDescent="0.25"/>
    <row r="6936" ht="15.75" customHeight="1" x14ac:dyDescent="0.25"/>
    <row r="6937" ht="15.75" customHeight="1" x14ac:dyDescent="0.25"/>
    <row r="6938" ht="15.75" customHeight="1" x14ac:dyDescent="0.25"/>
    <row r="6939" ht="15.75" customHeight="1" x14ac:dyDescent="0.25"/>
    <row r="6940" ht="15.75" customHeight="1" x14ac:dyDescent="0.25"/>
    <row r="6941" ht="15.75" customHeight="1" x14ac:dyDescent="0.25"/>
    <row r="6942" ht="15.75" customHeight="1" x14ac:dyDescent="0.25"/>
    <row r="6943" ht="15.75" customHeight="1" x14ac:dyDescent="0.25"/>
    <row r="6944" ht="15.75" customHeight="1" x14ac:dyDescent="0.25"/>
    <row r="6945" ht="15.75" customHeight="1" x14ac:dyDescent="0.25"/>
    <row r="6946" ht="15.75" customHeight="1" x14ac:dyDescent="0.25"/>
    <row r="6947" ht="15.75" customHeight="1" x14ac:dyDescent="0.25"/>
    <row r="6948" ht="15.75" customHeight="1" x14ac:dyDescent="0.25"/>
    <row r="6949" ht="15.75" customHeight="1" x14ac:dyDescent="0.25"/>
    <row r="6950" ht="15.75" customHeight="1" x14ac:dyDescent="0.25"/>
    <row r="6951" ht="15.75" customHeight="1" x14ac:dyDescent="0.25"/>
    <row r="6952" ht="15.75" customHeight="1" x14ac:dyDescent="0.25"/>
    <row r="6953" ht="15.75" customHeight="1" x14ac:dyDescent="0.25"/>
    <row r="6954" ht="15.75" customHeight="1" x14ac:dyDescent="0.25"/>
    <row r="6955" ht="15.75" customHeight="1" x14ac:dyDescent="0.25"/>
    <row r="6956" ht="15.75" customHeight="1" x14ac:dyDescent="0.25"/>
    <row r="6957" ht="15.75" customHeight="1" x14ac:dyDescent="0.25"/>
    <row r="6958" ht="15.75" customHeight="1" x14ac:dyDescent="0.25"/>
    <row r="6959" ht="15.75" customHeight="1" x14ac:dyDescent="0.25"/>
    <row r="6960" ht="15.75" customHeight="1" x14ac:dyDescent="0.25"/>
    <row r="6961" ht="15.75" customHeight="1" x14ac:dyDescent="0.25"/>
    <row r="6962" ht="15.75" customHeight="1" x14ac:dyDescent="0.25"/>
    <row r="6963" ht="15.75" customHeight="1" x14ac:dyDescent="0.25"/>
    <row r="6964" ht="15.75" customHeight="1" x14ac:dyDescent="0.25"/>
    <row r="6965" ht="15.75" customHeight="1" x14ac:dyDescent="0.25"/>
    <row r="6966" ht="15.75" customHeight="1" x14ac:dyDescent="0.25"/>
    <row r="6967" ht="15.75" customHeight="1" x14ac:dyDescent="0.25"/>
    <row r="6968" ht="15.75" customHeight="1" x14ac:dyDescent="0.25"/>
    <row r="6969" ht="15.75" customHeight="1" x14ac:dyDescent="0.25"/>
    <row r="6970" ht="15.75" customHeight="1" x14ac:dyDescent="0.25"/>
    <row r="6971" ht="15.75" customHeight="1" x14ac:dyDescent="0.25"/>
    <row r="6972" ht="15.75" customHeight="1" x14ac:dyDescent="0.25"/>
    <row r="6973" ht="15.75" customHeight="1" x14ac:dyDescent="0.25"/>
    <row r="6974" ht="15.75" customHeight="1" x14ac:dyDescent="0.25"/>
    <row r="6975" ht="15.75" customHeight="1" x14ac:dyDescent="0.25"/>
    <row r="6976" ht="15.75" customHeight="1" x14ac:dyDescent="0.25"/>
    <row r="6977" ht="15.75" customHeight="1" x14ac:dyDescent="0.25"/>
    <row r="6978" ht="15.75" customHeight="1" x14ac:dyDescent="0.25"/>
    <row r="6979" ht="15.75" customHeight="1" x14ac:dyDescent="0.25"/>
    <row r="6980" ht="15.75" customHeight="1" x14ac:dyDescent="0.25"/>
    <row r="6981" ht="15.75" customHeight="1" x14ac:dyDescent="0.25"/>
    <row r="6982" ht="15.75" customHeight="1" x14ac:dyDescent="0.25"/>
    <row r="6983" ht="15.75" customHeight="1" x14ac:dyDescent="0.25"/>
    <row r="6984" ht="15.75" customHeight="1" x14ac:dyDescent="0.25"/>
    <row r="6985" ht="15.75" customHeight="1" x14ac:dyDescent="0.25"/>
    <row r="6986" ht="15.75" customHeight="1" x14ac:dyDescent="0.25"/>
    <row r="6987" ht="15.75" customHeight="1" x14ac:dyDescent="0.25"/>
    <row r="6988" ht="15.75" customHeight="1" x14ac:dyDescent="0.25"/>
    <row r="6989" ht="15.75" customHeight="1" x14ac:dyDescent="0.25"/>
    <row r="6990" ht="15.75" customHeight="1" x14ac:dyDescent="0.25"/>
    <row r="6991" ht="15.75" customHeight="1" x14ac:dyDescent="0.25"/>
    <row r="6992" ht="15.75" customHeight="1" x14ac:dyDescent="0.25"/>
    <row r="6993" ht="15.75" customHeight="1" x14ac:dyDescent="0.25"/>
    <row r="6994" ht="15.75" customHeight="1" x14ac:dyDescent="0.25"/>
    <row r="6995" ht="15.75" customHeight="1" x14ac:dyDescent="0.25"/>
    <row r="6996" ht="15.75" customHeight="1" x14ac:dyDescent="0.25"/>
    <row r="6997" ht="15.75" customHeight="1" x14ac:dyDescent="0.25"/>
    <row r="6998" ht="15.75" customHeight="1" x14ac:dyDescent="0.25"/>
    <row r="6999" ht="15.75" customHeight="1" x14ac:dyDescent="0.25"/>
    <row r="7000" ht="15.75" customHeight="1" x14ac:dyDescent="0.25"/>
    <row r="7001" ht="15.75" customHeight="1" x14ac:dyDescent="0.25"/>
    <row r="7002" ht="15.75" customHeight="1" x14ac:dyDescent="0.25"/>
    <row r="7003" ht="15.75" customHeight="1" x14ac:dyDescent="0.25"/>
    <row r="7004" ht="15.75" customHeight="1" x14ac:dyDescent="0.25"/>
    <row r="7005" ht="15.75" customHeight="1" x14ac:dyDescent="0.25"/>
    <row r="7006" ht="15.75" customHeight="1" x14ac:dyDescent="0.25"/>
    <row r="7007" ht="15.75" customHeight="1" x14ac:dyDescent="0.25"/>
    <row r="7008" ht="15.75" customHeight="1" x14ac:dyDescent="0.25"/>
    <row r="7009" ht="15.75" customHeight="1" x14ac:dyDescent="0.25"/>
    <row r="7010" ht="15.75" customHeight="1" x14ac:dyDescent="0.25"/>
    <row r="7011" ht="15.75" customHeight="1" x14ac:dyDescent="0.25"/>
    <row r="7012" ht="15.75" customHeight="1" x14ac:dyDescent="0.25"/>
    <row r="7013" ht="15.75" customHeight="1" x14ac:dyDescent="0.25"/>
    <row r="7014" ht="15.75" customHeight="1" x14ac:dyDescent="0.25"/>
    <row r="7015" ht="15.75" customHeight="1" x14ac:dyDescent="0.25"/>
    <row r="7016" ht="15.75" customHeight="1" x14ac:dyDescent="0.25"/>
    <row r="7017" ht="15.75" customHeight="1" x14ac:dyDescent="0.25"/>
    <row r="7018" ht="15.75" customHeight="1" x14ac:dyDescent="0.25"/>
    <row r="7019" ht="15.75" customHeight="1" x14ac:dyDescent="0.25"/>
    <row r="7020" ht="15.75" customHeight="1" x14ac:dyDescent="0.25"/>
    <row r="7021" ht="15.75" customHeight="1" x14ac:dyDescent="0.25"/>
    <row r="7022" ht="15.75" customHeight="1" x14ac:dyDescent="0.25"/>
    <row r="7023" ht="15.75" customHeight="1" x14ac:dyDescent="0.25"/>
    <row r="7024" ht="15.75" customHeight="1" x14ac:dyDescent="0.25"/>
    <row r="7025" ht="15.75" customHeight="1" x14ac:dyDescent="0.25"/>
    <row r="7026" ht="15.75" customHeight="1" x14ac:dyDescent="0.25"/>
    <row r="7027" ht="15.75" customHeight="1" x14ac:dyDescent="0.25"/>
    <row r="7028" ht="15.75" customHeight="1" x14ac:dyDescent="0.25"/>
    <row r="7029" ht="15.75" customHeight="1" x14ac:dyDescent="0.25"/>
    <row r="7030" ht="15.75" customHeight="1" x14ac:dyDescent="0.25"/>
    <row r="7031" ht="15.75" customHeight="1" x14ac:dyDescent="0.25"/>
    <row r="7032" ht="15.75" customHeight="1" x14ac:dyDescent="0.25"/>
    <row r="7033" ht="15.75" customHeight="1" x14ac:dyDescent="0.25"/>
    <row r="7034" ht="15.75" customHeight="1" x14ac:dyDescent="0.25"/>
    <row r="7035" ht="15.75" customHeight="1" x14ac:dyDescent="0.25"/>
    <row r="7036" ht="15.75" customHeight="1" x14ac:dyDescent="0.25"/>
    <row r="7037" ht="15.75" customHeight="1" x14ac:dyDescent="0.25"/>
    <row r="7038" ht="15.75" customHeight="1" x14ac:dyDescent="0.25"/>
    <row r="7039" ht="15.75" customHeight="1" x14ac:dyDescent="0.25"/>
    <row r="7040" ht="15.75" customHeight="1" x14ac:dyDescent="0.25"/>
    <row r="7041" ht="15.75" customHeight="1" x14ac:dyDescent="0.25"/>
    <row r="7042" ht="15.75" customHeight="1" x14ac:dyDescent="0.25"/>
    <row r="7043" ht="15.75" customHeight="1" x14ac:dyDescent="0.25"/>
    <row r="7044" ht="15.75" customHeight="1" x14ac:dyDescent="0.25"/>
    <row r="7045" ht="15.75" customHeight="1" x14ac:dyDescent="0.25"/>
    <row r="7046" ht="15.75" customHeight="1" x14ac:dyDescent="0.25"/>
    <row r="7047" ht="15.75" customHeight="1" x14ac:dyDescent="0.25"/>
    <row r="7048" ht="15.75" customHeight="1" x14ac:dyDescent="0.25"/>
    <row r="7049" ht="15.75" customHeight="1" x14ac:dyDescent="0.25"/>
    <row r="7050" ht="15.75" customHeight="1" x14ac:dyDescent="0.25"/>
    <row r="7051" ht="15.75" customHeight="1" x14ac:dyDescent="0.25"/>
    <row r="7052" ht="15.75" customHeight="1" x14ac:dyDescent="0.25"/>
    <row r="7053" ht="15.75" customHeight="1" x14ac:dyDescent="0.25"/>
    <row r="7054" ht="15.75" customHeight="1" x14ac:dyDescent="0.25"/>
    <row r="7055" ht="15.75" customHeight="1" x14ac:dyDescent="0.25"/>
    <row r="7056" ht="15.75" customHeight="1" x14ac:dyDescent="0.25"/>
    <row r="7057" ht="15.75" customHeight="1" x14ac:dyDescent="0.25"/>
    <row r="7058" ht="15.75" customHeight="1" x14ac:dyDescent="0.25"/>
    <row r="7059" ht="15.75" customHeight="1" x14ac:dyDescent="0.25"/>
    <row r="7060" ht="15.75" customHeight="1" x14ac:dyDescent="0.25"/>
    <row r="7061" ht="15.75" customHeight="1" x14ac:dyDescent="0.25"/>
    <row r="7062" ht="15.75" customHeight="1" x14ac:dyDescent="0.25"/>
    <row r="7063" ht="15.75" customHeight="1" x14ac:dyDescent="0.25"/>
    <row r="7064" ht="15.75" customHeight="1" x14ac:dyDescent="0.25"/>
    <row r="7065" ht="15.75" customHeight="1" x14ac:dyDescent="0.25"/>
    <row r="7066" ht="15.75" customHeight="1" x14ac:dyDescent="0.25"/>
    <row r="7067" ht="15.75" customHeight="1" x14ac:dyDescent="0.25"/>
    <row r="7068" ht="15.75" customHeight="1" x14ac:dyDescent="0.25"/>
    <row r="7069" ht="15.75" customHeight="1" x14ac:dyDescent="0.25"/>
    <row r="7070" ht="15.75" customHeight="1" x14ac:dyDescent="0.25"/>
    <row r="7071" ht="15.75" customHeight="1" x14ac:dyDescent="0.25"/>
    <row r="7072" ht="15.75" customHeight="1" x14ac:dyDescent="0.25"/>
    <row r="7073" ht="15.75" customHeight="1" x14ac:dyDescent="0.25"/>
    <row r="7074" ht="15.75" customHeight="1" x14ac:dyDescent="0.25"/>
    <row r="7075" ht="15.75" customHeight="1" x14ac:dyDescent="0.25"/>
    <row r="7076" ht="15.75" customHeight="1" x14ac:dyDescent="0.25"/>
    <row r="7077" ht="15.75" customHeight="1" x14ac:dyDescent="0.25"/>
    <row r="7078" ht="15.75" customHeight="1" x14ac:dyDescent="0.25"/>
    <row r="7079" ht="15.75" customHeight="1" x14ac:dyDescent="0.25"/>
    <row r="7080" ht="15.75" customHeight="1" x14ac:dyDescent="0.25"/>
    <row r="7081" ht="15.75" customHeight="1" x14ac:dyDescent="0.25"/>
    <row r="7082" ht="15.75" customHeight="1" x14ac:dyDescent="0.25"/>
    <row r="7083" ht="15.75" customHeight="1" x14ac:dyDescent="0.25"/>
    <row r="7084" ht="15.75" customHeight="1" x14ac:dyDescent="0.25"/>
    <row r="7085" ht="15.75" customHeight="1" x14ac:dyDescent="0.25"/>
    <row r="7086" ht="15.75" customHeight="1" x14ac:dyDescent="0.25"/>
    <row r="7087" ht="15.75" customHeight="1" x14ac:dyDescent="0.25"/>
    <row r="7088" ht="15.75" customHeight="1" x14ac:dyDescent="0.25"/>
    <row r="7089" ht="15.75" customHeight="1" x14ac:dyDescent="0.25"/>
    <row r="7090" ht="15.75" customHeight="1" x14ac:dyDescent="0.25"/>
    <row r="7091" ht="15.75" customHeight="1" x14ac:dyDescent="0.25"/>
    <row r="7092" ht="15.75" customHeight="1" x14ac:dyDescent="0.25"/>
    <row r="7093" ht="15.75" customHeight="1" x14ac:dyDescent="0.25"/>
    <row r="7094" ht="15.75" customHeight="1" x14ac:dyDescent="0.25"/>
    <row r="7095" ht="15.75" customHeight="1" x14ac:dyDescent="0.25"/>
    <row r="7096" ht="15.75" customHeight="1" x14ac:dyDescent="0.25"/>
    <row r="7097" ht="15.75" customHeight="1" x14ac:dyDescent="0.25"/>
    <row r="7098" ht="15.75" customHeight="1" x14ac:dyDescent="0.25"/>
    <row r="7099" ht="15.75" customHeight="1" x14ac:dyDescent="0.25"/>
    <row r="7100" ht="15.75" customHeight="1" x14ac:dyDescent="0.25"/>
    <row r="7101" ht="15.75" customHeight="1" x14ac:dyDescent="0.25"/>
    <row r="7102" ht="15.75" customHeight="1" x14ac:dyDescent="0.25"/>
    <row r="7103" ht="15.75" customHeight="1" x14ac:dyDescent="0.25"/>
    <row r="7104" ht="15.75" customHeight="1" x14ac:dyDescent="0.25"/>
    <row r="7105" ht="15.75" customHeight="1" x14ac:dyDescent="0.25"/>
    <row r="7106" ht="15.75" customHeight="1" x14ac:dyDescent="0.25"/>
    <row r="7107" ht="15.75" customHeight="1" x14ac:dyDescent="0.25"/>
    <row r="7108" ht="15.75" customHeight="1" x14ac:dyDescent="0.25"/>
    <row r="7109" ht="15.75" customHeight="1" x14ac:dyDescent="0.25"/>
    <row r="7110" ht="15.75" customHeight="1" x14ac:dyDescent="0.25"/>
    <row r="7111" ht="15.75" customHeight="1" x14ac:dyDescent="0.25"/>
    <row r="7112" ht="15.75" customHeight="1" x14ac:dyDescent="0.25"/>
    <row r="7113" ht="15.75" customHeight="1" x14ac:dyDescent="0.25"/>
    <row r="7114" ht="15.75" customHeight="1" x14ac:dyDescent="0.25"/>
    <row r="7115" ht="15.75" customHeight="1" x14ac:dyDescent="0.25"/>
    <row r="7116" ht="15.75" customHeight="1" x14ac:dyDescent="0.25"/>
    <row r="7117" ht="15.75" customHeight="1" x14ac:dyDescent="0.25"/>
    <row r="7118" ht="15.75" customHeight="1" x14ac:dyDescent="0.25"/>
    <row r="7119" ht="15.75" customHeight="1" x14ac:dyDescent="0.25"/>
    <row r="7120" ht="15.75" customHeight="1" x14ac:dyDescent="0.25"/>
    <row r="7121" ht="15.75" customHeight="1" x14ac:dyDescent="0.25"/>
    <row r="7122" ht="15.75" customHeight="1" x14ac:dyDescent="0.25"/>
    <row r="7123" ht="15.75" customHeight="1" x14ac:dyDescent="0.25"/>
    <row r="7124" ht="15.75" customHeight="1" x14ac:dyDescent="0.25"/>
    <row r="7125" ht="15.75" customHeight="1" x14ac:dyDescent="0.25"/>
    <row r="7126" ht="15.75" customHeight="1" x14ac:dyDescent="0.25"/>
    <row r="7127" ht="15.75" customHeight="1" x14ac:dyDescent="0.25"/>
    <row r="7128" ht="15.75" customHeight="1" x14ac:dyDescent="0.25"/>
    <row r="7129" ht="15.75" customHeight="1" x14ac:dyDescent="0.25"/>
    <row r="7130" ht="15.75" customHeight="1" x14ac:dyDescent="0.25"/>
    <row r="7131" ht="15.75" customHeight="1" x14ac:dyDescent="0.25"/>
    <row r="7132" ht="15.75" customHeight="1" x14ac:dyDescent="0.25"/>
    <row r="7133" ht="15.75" customHeight="1" x14ac:dyDescent="0.25"/>
    <row r="7134" ht="15.75" customHeight="1" x14ac:dyDescent="0.25"/>
    <row r="7135" ht="15.75" customHeight="1" x14ac:dyDescent="0.25"/>
    <row r="7136" ht="15.75" customHeight="1" x14ac:dyDescent="0.25"/>
    <row r="7137" ht="15.75" customHeight="1" x14ac:dyDescent="0.25"/>
    <row r="7138" ht="15.75" customHeight="1" x14ac:dyDescent="0.25"/>
    <row r="7139" ht="15.75" customHeight="1" x14ac:dyDescent="0.25"/>
    <row r="7140" ht="15.75" customHeight="1" x14ac:dyDescent="0.25"/>
    <row r="7141" ht="15.75" customHeight="1" x14ac:dyDescent="0.25"/>
    <row r="7142" ht="15.75" customHeight="1" x14ac:dyDescent="0.25"/>
    <row r="7143" ht="15.75" customHeight="1" x14ac:dyDescent="0.25"/>
    <row r="7144" ht="15.75" customHeight="1" x14ac:dyDescent="0.25"/>
    <row r="7145" ht="15.75" customHeight="1" x14ac:dyDescent="0.25"/>
    <row r="7146" ht="15.75" customHeight="1" x14ac:dyDescent="0.25"/>
    <row r="7147" ht="15.75" customHeight="1" x14ac:dyDescent="0.25"/>
    <row r="7148" ht="15.75" customHeight="1" x14ac:dyDescent="0.25"/>
    <row r="7149" ht="15.75" customHeight="1" x14ac:dyDescent="0.25"/>
    <row r="7150" ht="15.75" customHeight="1" x14ac:dyDescent="0.25"/>
    <row r="7151" ht="15.75" customHeight="1" x14ac:dyDescent="0.25"/>
    <row r="7152" ht="15.75" customHeight="1" x14ac:dyDescent="0.25"/>
    <row r="7153" ht="15.75" customHeight="1" x14ac:dyDescent="0.25"/>
    <row r="7154" ht="15.75" customHeight="1" x14ac:dyDescent="0.25"/>
    <row r="7155" ht="15.75" customHeight="1" x14ac:dyDescent="0.25"/>
    <row r="7156" ht="15.75" customHeight="1" x14ac:dyDescent="0.25"/>
    <row r="7157" ht="15.75" customHeight="1" x14ac:dyDescent="0.25"/>
    <row r="7158" ht="15.75" customHeight="1" x14ac:dyDescent="0.25"/>
    <row r="7159" ht="15.75" customHeight="1" x14ac:dyDescent="0.25"/>
    <row r="7160" ht="15.75" customHeight="1" x14ac:dyDescent="0.25"/>
    <row r="7161" ht="15.75" customHeight="1" x14ac:dyDescent="0.25"/>
    <row r="7162" ht="15.75" customHeight="1" x14ac:dyDescent="0.25"/>
    <row r="7163" ht="15.75" customHeight="1" x14ac:dyDescent="0.25"/>
    <row r="7164" ht="15.75" customHeight="1" x14ac:dyDescent="0.25"/>
    <row r="7165" ht="15.75" customHeight="1" x14ac:dyDescent="0.25"/>
    <row r="7166" ht="15.75" customHeight="1" x14ac:dyDescent="0.25"/>
    <row r="7167" ht="15.75" customHeight="1" x14ac:dyDescent="0.25"/>
    <row r="7168" ht="15.75" customHeight="1" x14ac:dyDescent="0.25"/>
    <row r="7169" ht="15.75" customHeight="1" x14ac:dyDescent="0.25"/>
    <row r="7170" ht="15.75" customHeight="1" x14ac:dyDescent="0.25"/>
    <row r="7171" ht="15.75" customHeight="1" x14ac:dyDescent="0.25"/>
    <row r="7172" ht="15.75" customHeight="1" x14ac:dyDescent="0.25"/>
    <row r="7173" ht="15.75" customHeight="1" x14ac:dyDescent="0.25"/>
    <row r="7174" ht="15.75" customHeight="1" x14ac:dyDescent="0.25"/>
    <row r="7175" ht="15.75" customHeight="1" x14ac:dyDescent="0.25"/>
    <row r="7176" ht="15.75" customHeight="1" x14ac:dyDescent="0.25"/>
    <row r="7177" ht="15.75" customHeight="1" x14ac:dyDescent="0.25"/>
    <row r="7178" ht="15.75" customHeight="1" x14ac:dyDescent="0.25"/>
    <row r="7179" ht="15.75" customHeight="1" x14ac:dyDescent="0.25"/>
    <row r="7180" ht="15.75" customHeight="1" x14ac:dyDescent="0.25"/>
    <row r="7181" ht="15.75" customHeight="1" x14ac:dyDescent="0.25"/>
    <row r="7182" ht="15.75" customHeight="1" x14ac:dyDescent="0.25"/>
    <row r="7183" ht="15.75" customHeight="1" x14ac:dyDescent="0.25"/>
    <row r="7184" ht="15.75" customHeight="1" x14ac:dyDescent="0.25"/>
    <row r="7185" ht="15.75" customHeight="1" x14ac:dyDescent="0.25"/>
    <row r="7186" ht="15.75" customHeight="1" x14ac:dyDescent="0.25"/>
    <row r="7187" ht="15.75" customHeight="1" x14ac:dyDescent="0.25"/>
    <row r="7188" ht="15.75" customHeight="1" x14ac:dyDescent="0.25"/>
    <row r="7189" ht="15.75" customHeight="1" x14ac:dyDescent="0.25"/>
    <row r="7190" ht="15.75" customHeight="1" x14ac:dyDescent="0.25"/>
    <row r="7191" ht="15.75" customHeight="1" x14ac:dyDescent="0.25"/>
    <row r="7192" ht="15.75" customHeight="1" x14ac:dyDescent="0.25"/>
    <row r="7193" ht="15.75" customHeight="1" x14ac:dyDescent="0.25"/>
    <row r="7194" ht="15.75" customHeight="1" x14ac:dyDescent="0.25"/>
    <row r="7195" ht="15.75" customHeight="1" x14ac:dyDescent="0.25"/>
    <row r="7196" ht="15.75" customHeight="1" x14ac:dyDescent="0.25"/>
    <row r="7197" ht="15.75" customHeight="1" x14ac:dyDescent="0.25"/>
    <row r="7198" ht="15.75" customHeight="1" x14ac:dyDescent="0.25"/>
    <row r="7199" ht="15.75" customHeight="1" x14ac:dyDescent="0.25"/>
    <row r="7200" ht="15.75" customHeight="1" x14ac:dyDescent="0.25"/>
    <row r="7201" ht="15.75" customHeight="1" x14ac:dyDescent="0.25"/>
    <row r="7202" ht="15.75" customHeight="1" x14ac:dyDescent="0.25"/>
    <row r="7203" ht="15.75" customHeight="1" x14ac:dyDescent="0.25"/>
    <row r="7204" ht="15.75" customHeight="1" x14ac:dyDescent="0.25"/>
    <row r="7205" ht="15.75" customHeight="1" x14ac:dyDescent="0.25"/>
    <row r="7206" ht="15.75" customHeight="1" x14ac:dyDescent="0.25"/>
    <row r="7207" ht="15.75" customHeight="1" x14ac:dyDescent="0.25"/>
    <row r="7208" ht="15.75" customHeight="1" x14ac:dyDescent="0.25"/>
    <row r="7209" ht="15.75" customHeight="1" x14ac:dyDescent="0.25"/>
    <row r="7210" ht="15.75" customHeight="1" x14ac:dyDescent="0.25"/>
    <row r="7211" ht="15.75" customHeight="1" x14ac:dyDescent="0.25"/>
    <row r="7212" ht="15.75" customHeight="1" x14ac:dyDescent="0.25"/>
    <row r="7213" ht="15.75" customHeight="1" x14ac:dyDescent="0.25"/>
    <row r="7214" ht="15.75" customHeight="1" x14ac:dyDescent="0.25"/>
    <row r="7215" ht="15.75" customHeight="1" x14ac:dyDescent="0.25"/>
    <row r="7216" ht="15.75" customHeight="1" x14ac:dyDescent="0.25"/>
    <row r="7217" ht="15.75" customHeight="1" x14ac:dyDescent="0.25"/>
    <row r="7218" ht="15.75" customHeight="1" x14ac:dyDescent="0.25"/>
    <row r="7219" ht="15.75" customHeight="1" x14ac:dyDescent="0.25"/>
    <row r="7220" ht="15.75" customHeight="1" x14ac:dyDescent="0.25"/>
    <row r="7221" ht="15.75" customHeight="1" x14ac:dyDescent="0.25"/>
    <row r="7222" ht="15.75" customHeight="1" x14ac:dyDescent="0.25"/>
    <row r="7223" ht="15.75" customHeight="1" x14ac:dyDescent="0.25"/>
    <row r="7224" ht="15.75" customHeight="1" x14ac:dyDescent="0.25"/>
    <row r="7225" ht="15.75" customHeight="1" x14ac:dyDescent="0.25"/>
    <row r="7226" ht="15.75" customHeight="1" x14ac:dyDescent="0.25"/>
    <row r="7227" ht="15.75" customHeight="1" x14ac:dyDescent="0.25"/>
    <row r="7228" ht="15.75" customHeight="1" x14ac:dyDescent="0.25"/>
    <row r="7229" ht="15.75" customHeight="1" x14ac:dyDescent="0.25"/>
    <row r="7230" ht="15.75" customHeight="1" x14ac:dyDescent="0.25"/>
    <row r="7231" ht="15.75" customHeight="1" x14ac:dyDescent="0.25"/>
    <row r="7232" ht="15.75" customHeight="1" x14ac:dyDescent="0.25"/>
    <row r="7233" ht="15.75" customHeight="1" x14ac:dyDescent="0.25"/>
    <row r="7234" ht="15.75" customHeight="1" x14ac:dyDescent="0.25"/>
    <row r="7235" ht="15.75" customHeight="1" x14ac:dyDescent="0.25"/>
    <row r="7236" ht="15.75" customHeight="1" x14ac:dyDescent="0.25"/>
    <row r="7237" ht="15.75" customHeight="1" x14ac:dyDescent="0.25"/>
    <row r="7238" ht="15.75" customHeight="1" x14ac:dyDescent="0.25"/>
    <row r="7239" ht="15.75" customHeight="1" x14ac:dyDescent="0.25"/>
    <row r="7240" ht="15.75" customHeight="1" x14ac:dyDescent="0.25"/>
    <row r="7241" ht="15.75" customHeight="1" x14ac:dyDescent="0.25"/>
    <row r="7242" ht="15.75" customHeight="1" x14ac:dyDescent="0.25"/>
    <row r="7243" ht="15.75" customHeight="1" x14ac:dyDescent="0.25"/>
    <row r="7244" ht="15.75" customHeight="1" x14ac:dyDescent="0.25"/>
    <row r="7245" ht="15.75" customHeight="1" x14ac:dyDescent="0.25"/>
    <row r="7246" ht="15.75" customHeight="1" x14ac:dyDescent="0.25"/>
    <row r="7247" ht="15.75" customHeight="1" x14ac:dyDescent="0.25"/>
    <row r="7248" ht="15.75" customHeight="1" x14ac:dyDescent="0.25"/>
    <row r="7249" ht="15.75" customHeight="1" x14ac:dyDescent="0.25"/>
    <row r="7250" ht="15.75" customHeight="1" x14ac:dyDescent="0.25"/>
    <row r="7251" ht="15.75" customHeight="1" x14ac:dyDescent="0.25"/>
    <row r="7252" ht="15.75" customHeight="1" x14ac:dyDescent="0.25"/>
    <row r="7253" ht="15.75" customHeight="1" x14ac:dyDescent="0.25"/>
    <row r="7254" ht="15.75" customHeight="1" x14ac:dyDescent="0.25"/>
    <row r="7255" ht="15.75" customHeight="1" x14ac:dyDescent="0.25"/>
    <row r="7256" ht="15.75" customHeight="1" x14ac:dyDescent="0.25"/>
    <row r="7257" ht="15.75" customHeight="1" x14ac:dyDescent="0.25"/>
    <row r="7258" ht="15.75" customHeight="1" x14ac:dyDescent="0.25"/>
    <row r="7259" ht="15.75" customHeight="1" x14ac:dyDescent="0.25"/>
    <row r="7260" ht="15.75" customHeight="1" x14ac:dyDescent="0.25"/>
    <row r="7261" ht="15.75" customHeight="1" x14ac:dyDescent="0.25"/>
    <row r="7262" ht="15.75" customHeight="1" x14ac:dyDescent="0.25"/>
    <row r="7263" ht="15.75" customHeight="1" x14ac:dyDescent="0.25"/>
    <row r="7264" ht="15.75" customHeight="1" x14ac:dyDescent="0.25"/>
    <row r="7265" ht="15.75" customHeight="1" x14ac:dyDescent="0.25"/>
    <row r="7266" ht="15.75" customHeight="1" x14ac:dyDescent="0.25"/>
    <row r="7267" ht="15.75" customHeight="1" x14ac:dyDescent="0.25"/>
    <row r="7268" ht="15.75" customHeight="1" x14ac:dyDescent="0.25"/>
    <row r="7269" ht="15.75" customHeight="1" x14ac:dyDescent="0.25"/>
    <row r="7270" ht="15.75" customHeight="1" x14ac:dyDescent="0.25"/>
    <row r="7271" ht="15.75" customHeight="1" x14ac:dyDescent="0.25"/>
    <row r="7272" ht="15.75" customHeight="1" x14ac:dyDescent="0.25"/>
    <row r="7273" ht="15.75" customHeight="1" x14ac:dyDescent="0.25"/>
    <row r="7274" ht="15.75" customHeight="1" x14ac:dyDescent="0.25"/>
    <row r="7275" ht="15.75" customHeight="1" x14ac:dyDescent="0.25"/>
    <row r="7276" ht="15.75" customHeight="1" x14ac:dyDescent="0.25"/>
    <row r="7277" ht="15.75" customHeight="1" x14ac:dyDescent="0.25"/>
    <row r="7278" ht="15.75" customHeight="1" x14ac:dyDescent="0.25"/>
    <row r="7279" ht="15.75" customHeight="1" x14ac:dyDescent="0.25"/>
    <row r="7280" ht="15.75" customHeight="1" x14ac:dyDescent="0.25"/>
    <row r="7281" ht="15.75" customHeight="1" x14ac:dyDescent="0.25"/>
    <row r="7282" ht="15.75" customHeight="1" x14ac:dyDescent="0.25"/>
    <row r="7283" ht="15.75" customHeight="1" x14ac:dyDescent="0.25"/>
    <row r="7284" ht="15.75" customHeight="1" x14ac:dyDescent="0.25"/>
    <row r="7285" ht="15.75" customHeight="1" x14ac:dyDescent="0.25"/>
    <row r="7286" ht="15.75" customHeight="1" x14ac:dyDescent="0.25"/>
    <row r="7287" ht="15.75" customHeight="1" x14ac:dyDescent="0.25"/>
    <row r="7288" ht="15.75" customHeight="1" x14ac:dyDescent="0.25"/>
    <row r="7289" ht="15.75" customHeight="1" x14ac:dyDescent="0.25"/>
    <row r="7290" ht="15.75" customHeight="1" x14ac:dyDescent="0.25"/>
    <row r="7291" ht="15.75" customHeight="1" x14ac:dyDescent="0.25"/>
    <row r="7292" ht="15.75" customHeight="1" x14ac:dyDescent="0.25"/>
    <row r="7293" ht="15.75" customHeight="1" x14ac:dyDescent="0.25"/>
    <row r="7294" ht="15.75" customHeight="1" x14ac:dyDescent="0.25"/>
    <row r="7295" ht="15.75" customHeight="1" x14ac:dyDescent="0.25"/>
    <row r="7296" ht="15.75" customHeight="1" x14ac:dyDescent="0.25"/>
    <row r="7297" ht="15.75" customHeight="1" x14ac:dyDescent="0.25"/>
    <row r="7298" ht="15.75" customHeight="1" x14ac:dyDescent="0.25"/>
    <row r="7299" ht="15.75" customHeight="1" x14ac:dyDescent="0.25"/>
    <row r="7300" ht="15.75" customHeight="1" x14ac:dyDescent="0.25"/>
    <row r="7301" ht="15.75" customHeight="1" x14ac:dyDescent="0.25"/>
    <row r="7302" ht="15.75" customHeight="1" x14ac:dyDescent="0.25"/>
    <row r="7303" ht="15.75" customHeight="1" x14ac:dyDescent="0.25"/>
    <row r="7304" ht="15.75" customHeight="1" x14ac:dyDescent="0.25"/>
    <row r="7305" ht="15.75" customHeight="1" x14ac:dyDescent="0.25"/>
    <row r="7306" ht="15.75" customHeight="1" x14ac:dyDescent="0.25"/>
    <row r="7307" ht="15.75" customHeight="1" x14ac:dyDescent="0.25"/>
    <row r="7308" ht="15.75" customHeight="1" x14ac:dyDescent="0.25"/>
    <row r="7309" ht="15.75" customHeight="1" x14ac:dyDescent="0.25"/>
    <row r="7310" ht="15.75" customHeight="1" x14ac:dyDescent="0.25"/>
    <row r="7311" ht="15.75" customHeight="1" x14ac:dyDescent="0.25"/>
    <row r="7312" ht="15.75" customHeight="1" x14ac:dyDescent="0.25"/>
    <row r="7313" ht="15.75" customHeight="1" x14ac:dyDescent="0.25"/>
    <row r="7314" ht="15.75" customHeight="1" x14ac:dyDescent="0.25"/>
    <row r="7315" ht="15.75" customHeight="1" x14ac:dyDescent="0.25"/>
    <row r="7316" ht="15.75" customHeight="1" x14ac:dyDescent="0.25"/>
    <row r="7317" ht="15.75" customHeight="1" x14ac:dyDescent="0.25"/>
    <row r="7318" ht="15.75" customHeight="1" x14ac:dyDescent="0.25"/>
    <row r="7319" ht="15.75" customHeight="1" x14ac:dyDescent="0.25"/>
    <row r="7320" ht="15.75" customHeight="1" x14ac:dyDescent="0.25"/>
    <row r="7321" ht="15.75" customHeight="1" x14ac:dyDescent="0.25"/>
    <row r="7322" ht="15.75" customHeight="1" x14ac:dyDescent="0.25"/>
    <row r="7323" ht="15.75" customHeight="1" x14ac:dyDescent="0.25"/>
    <row r="7324" ht="15.75" customHeight="1" x14ac:dyDescent="0.25"/>
    <row r="7325" ht="15.75" customHeight="1" x14ac:dyDescent="0.25"/>
    <row r="7326" ht="15.75" customHeight="1" x14ac:dyDescent="0.25"/>
    <row r="7327" ht="15.75" customHeight="1" x14ac:dyDescent="0.25"/>
    <row r="7328" ht="15.75" customHeight="1" x14ac:dyDescent="0.25"/>
    <row r="7329" ht="15.75" customHeight="1" x14ac:dyDescent="0.25"/>
    <row r="7330" ht="15.75" customHeight="1" x14ac:dyDescent="0.25"/>
    <row r="7331" ht="15.75" customHeight="1" x14ac:dyDescent="0.25"/>
    <row r="7332" ht="15.75" customHeight="1" x14ac:dyDescent="0.25"/>
    <row r="7333" ht="15.75" customHeight="1" x14ac:dyDescent="0.25"/>
    <row r="7334" ht="15.75" customHeight="1" x14ac:dyDescent="0.25"/>
    <row r="7335" ht="15.75" customHeight="1" x14ac:dyDescent="0.25"/>
    <row r="7336" ht="15.75" customHeight="1" x14ac:dyDescent="0.25"/>
    <row r="7337" ht="15.75" customHeight="1" x14ac:dyDescent="0.25"/>
    <row r="7338" ht="15.75" customHeight="1" x14ac:dyDescent="0.25"/>
    <row r="7339" ht="15.75" customHeight="1" x14ac:dyDescent="0.25"/>
    <row r="7340" ht="15.75" customHeight="1" x14ac:dyDescent="0.25"/>
    <row r="7341" ht="15.75" customHeight="1" x14ac:dyDescent="0.25"/>
    <row r="7342" ht="15.75" customHeight="1" x14ac:dyDescent="0.25"/>
    <row r="7343" ht="15.75" customHeight="1" x14ac:dyDescent="0.25"/>
    <row r="7344" ht="15.75" customHeight="1" x14ac:dyDescent="0.25"/>
    <row r="7345" ht="15.75" customHeight="1" x14ac:dyDescent="0.25"/>
    <row r="7346" ht="15.75" customHeight="1" x14ac:dyDescent="0.25"/>
    <row r="7347" ht="15.75" customHeight="1" x14ac:dyDescent="0.25"/>
    <row r="7348" ht="15.75" customHeight="1" x14ac:dyDescent="0.25"/>
    <row r="7349" ht="15.75" customHeight="1" x14ac:dyDescent="0.25"/>
    <row r="7350" ht="15.75" customHeight="1" x14ac:dyDescent="0.25"/>
    <row r="7351" ht="15.75" customHeight="1" x14ac:dyDescent="0.25"/>
    <row r="7352" ht="15.75" customHeight="1" x14ac:dyDescent="0.25"/>
    <row r="7353" ht="15.75" customHeight="1" x14ac:dyDescent="0.25"/>
    <row r="7354" ht="15.75" customHeight="1" x14ac:dyDescent="0.25"/>
    <row r="7355" ht="15.75" customHeight="1" x14ac:dyDescent="0.25"/>
    <row r="7356" ht="15.75" customHeight="1" x14ac:dyDescent="0.25"/>
    <row r="7357" ht="15.75" customHeight="1" x14ac:dyDescent="0.25"/>
    <row r="7358" ht="15.75" customHeight="1" x14ac:dyDescent="0.25"/>
    <row r="7359" ht="15.75" customHeight="1" x14ac:dyDescent="0.25"/>
    <row r="7360" ht="15.75" customHeight="1" x14ac:dyDescent="0.25"/>
    <row r="7361" ht="15.75" customHeight="1" x14ac:dyDescent="0.25"/>
    <row r="7362" ht="15.75" customHeight="1" x14ac:dyDescent="0.25"/>
    <row r="7363" ht="15.75" customHeight="1" x14ac:dyDescent="0.25"/>
    <row r="7364" ht="15.75" customHeight="1" x14ac:dyDescent="0.25"/>
    <row r="7365" ht="15.75" customHeight="1" x14ac:dyDescent="0.25"/>
    <row r="7366" ht="15.75" customHeight="1" x14ac:dyDescent="0.25"/>
    <row r="7367" ht="15.75" customHeight="1" x14ac:dyDescent="0.25"/>
    <row r="7368" ht="15.75" customHeight="1" x14ac:dyDescent="0.25"/>
    <row r="7369" ht="15.75" customHeight="1" x14ac:dyDescent="0.25"/>
    <row r="7370" ht="15.75" customHeight="1" x14ac:dyDescent="0.25"/>
    <row r="7371" ht="15.75" customHeight="1" x14ac:dyDescent="0.25"/>
    <row r="7372" ht="15.75" customHeight="1" x14ac:dyDescent="0.25"/>
    <row r="7373" ht="15.75" customHeight="1" x14ac:dyDescent="0.25"/>
    <row r="7374" ht="15.75" customHeight="1" x14ac:dyDescent="0.25"/>
    <row r="7375" ht="15.75" customHeight="1" x14ac:dyDescent="0.25"/>
    <row r="7376" ht="15.75" customHeight="1" x14ac:dyDescent="0.25"/>
    <row r="7377" ht="15.75" customHeight="1" x14ac:dyDescent="0.25"/>
    <row r="7378" ht="15.75" customHeight="1" x14ac:dyDescent="0.25"/>
    <row r="7379" ht="15.75" customHeight="1" x14ac:dyDescent="0.25"/>
    <row r="7380" ht="15.75" customHeight="1" x14ac:dyDescent="0.25"/>
    <row r="7381" ht="15.75" customHeight="1" x14ac:dyDescent="0.25"/>
    <row r="7382" ht="15.75" customHeight="1" x14ac:dyDescent="0.25"/>
    <row r="7383" ht="15.75" customHeight="1" x14ac:dyDescent="0.25"/>
    <row r="7384" ht="15.75" customHeight="1" x14ac:dyDescent="0.25"/>
    <row r="7385" ht="15.75" customHeight="1" x14ac:dyDescent="0.25"/>
    <row r="7386" ht="15.75" customHeight="1" x14ac:dyDescent="0.25"/>
    <row r="7387" ht="15.75" customHeight="1" x14ac:dyDescent="0.25"/>
    <row r="7388" ht="15.75" customHeight="1" x14ac:dyDescent="0.25"/>
    <row r="7389" ht="15.75" customHeight="1" x14ac:dyDescent="0.25"/>
    <row r="7390" ht="15.75" customHeight="1" x14ac:dyDescent="0.25"/>
    <row r="7391" ht="15.75" customHeight="1" x14ac:dyDescent="0.25"/>
    <row r="7392" ht="15.75" customHeight="1" x14ac:dyDescent="0.25"/>
    <row r="7393" ht="15.75" customHeight="1" x14ac:dyDescent="0.25"/>
    <row r="7394" ht="15.75" customHeight="1" x14ac:dyDescent="0.25"/>
    <row r="7395" ht="15.75" customHeight="1" x14ac:dyDescent="0.25"/>
    <row r="7396" ht="15.75" customHeight="1" x14ac:dyDescent="0.25"/>
    <row r="7397" ht="15.75" customHeight="1" x14ac:dyDescent="0.25"/>
    <row r="7398" ht="15.75" customHeight="1" x14ac:dyDescent="0.25"/>
    <row r="7399" ht="15.75" customHeight="1" x14ac:dyDescent="0.25"/>
    <row r="7400" ht="15.75" customHeight="1" x14ac:dyDescent="0.25"/>
    <row r="7401" ht="15.75" customHeight="1" x14ac:dyDescent="0.25"/>
    <row r="7402" ht="15.75" customHeight="1" x14ac:dyDescent="0.25"/>
    <row r="7403" ht="15.75" customHeight="1" x14ac:dyDescent="0.25"/>
    <row r="7404" ht="15.75" customHeight="1" x14ac:dyDescent="0.25"/>
    <row r="7405" ht="15.75" customHeight="1" x14ac:dyDescent="0.25"/>
    <row r="7406" ht="15.75" customHeight="1" x14ac:dyDescent="0.25"/>
    <row r="7407" ht="15.75" customHeight="1" x14ac:dyDescent="0.25"/>
    <row r="7408" ht="15.75" customHeight="1" x14ac:dyDescent="0.25"/>
    <row r="7409" ht="15.75" customHeight="1" x14ac:dyDescent="0.25"/>
    <row r="7410" ht="15.75" customHeight="1" x14ac:dyDescent="0.25"/>
    <row r="7411" ht="15.75" customHeight="1" x14ac:dyDescent="0.25"/>
    <row r="7412" ht="15.75" customHeight="1" x14ac:dyDescent="0.25"/>
    <row r="7413" ht="15.75" customHeight="1" x14ac:dyDescent="0.25"/>
    <row r="7414" ht="15.75" customHeight="1" x14ac:dyDescent="0.25"/>
    <row r="7415" ht="15.75" customHeight="1" x14ac:dyDescent="0.25"/>
    <row r="7416" ht="15.75" customHeight="1" x14ac:dyDescent="0.25"/>
    <row r="7417" ht="15.75" customHeight="1" x14ac:dyDescent="0.25"/>
    <row r="7418" ht="15.75" customHeight="1" x14ac:dyDescent="0.25"/>
    <row r="7419" ht="15.75" customHeight="1" x14ac:dyDescent="0.25"/>
    <row r="7420" ht="15.75" customHeight="1" x14ac:dyDescent="0.25"/>
    <row r="7421" ht="15.75" customHeight="1" x14ac:dyDescent="0.25"/>
    <row r="7422" ht="15.75" customHeight="1" x14ac:dyDescent="0.25"/>
    <row r="7423" ht="15.75" customHeight="1" x14ac:dyDescent="0.25"/>
    <row r="7424" ht="15.75" customHeight="1" x14ac:dyDescent="0.25"/>
    <row r="7425" ht="15.75" customHeight="1" x14ac:dyDescent="0.25"/>
    <row r="7426" ht="15.75" customHeight="1" x14ac:dyDescent="0.25"/>
    <row r="7427" ht="15.75" customHeight="1" x14ac:dyDescent="0.25"/>
    <row r="7428" ht="15.75" customHeight="1" x14ac:dyDescent="0.25"/>
    <row r="7429" ht="15.75" customHeight="1" x14ac:dyDescent="0.25"/>
    <row r="7430" ht="15.75" customHeight="1" x14ac:dyDescent="0.25"/>
    <row r="7431" ht="15.75" customHeight="1" x14ac:dyDescent="0.25"/>
    <row r="7432" ht="15.75" customHeight="1" x14ac:dyDescent="0.25"/>
    <row r="7433" ht="15.75" customHeight="1" x14ac:dyDescent="0.25"/>
    <row r="7434" ht="15.75" customHeight="1" x14ac:dyDescent="0.25"/>
    <row r="7435" ht="15.75" customHeight="1" x14ac:dyDescent="0.25"/>
    <row r="7436" ht="15.75" customHeight="1" x14ac:dyDescent="0.25"/>
    <row r="7437" ht="15.75" customHeight="1" x14ac:dyDescent="0.25"/>
    <row r="7438" ht="15.75" customHeight="1" x14ac:dyDescent="0.25"/>
    <row r="7439" ht="15.75" customHeight="1" x14ac:dyDescent="0.25"/>
    <row r="7440" ht="15.75" customHeight="1" x14ac:dyDescent="0.25"/>
    <row r="7441" ht="15.75" customHeight="1" x14ac:dyDescent="0.25"/>
    <row r="7442" ht="15.75" customHeight="1" x14ac:dyDescent="0.25"/>
    <row r="7443" ht="15.75" customHeight="1" x14ac:dyDescent="0.25"/>
    <row r="7444" ht="15.75" customHeight="1" x14ac:dyDescent="0.25"/>
    <row r="7445" ht="15.75" customHeight="1" x14ac:dyDescent="0.25"/>
    <row r="7446" ht="15.75" customHeight="1" x14ac:dyDescent="0.25"/>
    <row r="7447" ht="15.75" customHeight="1" x14ac:dyDescent="0.25"/>
    <row r="7448" ht="15.75" customHeight="1" x14ac:dyDescent="0.25"/>
    <row r="7449" ht="15.75" customHeight="1" x14ac:dyDescent="0.25"/>
    <row r="7450" ht="15.75" customHeight="1" x14ac:dyDescent="0.25"/>
    <row r="7451" ht="15.75" customHeight="1" x14ac:dyDescent="0.25"/>
    <row r="7452" ht="15.75" customHeight="1" x14ac:dyDescent="0.25"/>
    <row r="7453" ht="15.75" customHeight="1" x14ac:dyDescent="0.25"/>
    <row r="7454" ht="15.75" customHeight="1" x14ac:dyDescent="0.25"/>
    <row r="7455" ht="15.75" customHeight="1" x14ac:dyDescent="0.25"/>
    <row r="7456" ht="15.75" customHeight="1" x14ac:dyDescent="0.25"/>
    <row r="7457" ht="15.75" customHeight="1" x14ac:dyDescent="0.25"/>
    <row r="7458" ht="15.75" customHeight="1" x14ac:dyDescent="0.25"/>
    <row r="7459" ht="15.75" customHeight="1" x14ac:dyDescent="0.25"/>
    <row r="7460" ht="15.75" customHeight="1" x14ac:dyDescent="0.25"/>
    <row r="7461" ht="15.75" customHeight="1" x14ac:dyDescent="0.25"/>
    <row r="7462" ht="15.75" customHeight="1" x14ac:dyDescent="0.25"/>
    <row r="7463" ht="15.75" customHeight="1" x14ac:dyDescent="0.25"/>
    <row r="7464" ht="15.75" customHeight="1" x14ac:dyDescent="0.25"/>
    <row r="7465" ht="15.75" customHeight="1" x14ac:dyDescent="0.25"/>
    <row r="7466" ht="15.75" customHeight="1" x14ac:dyDescent="0.25"/>
    <row r="7467" ht="15.75" customHeight="1" x14ac:dyDescent="0.25"/>
    <row r="7468" ht="15.75" customHeight="1" x14ac:dyDescent="0.25"/>
    <row r="7469" ht="15.75" customHeight="1" x14ac:dyDescent="0.25"/>
    <row r="7470" ht="15.75" customHeight="1" x14ac:dyDescent="0.25"/>
    <row r="7471" ht="15.75" customHeight="1" x14ac:dyDescent="0.25"/>
    <row r="7472" ht="15.75" customHeight="1" x14ac:dyDescent="0.25"/>
    <row r="7473" ht="15.75" customHeight="1" x14ac:dyDescent="0.25"/>
    <row r="7474" ht="15.75" customHeight="1" x14ac:dyDescent="0.25"/>
    <row r="7475" ht="15.75" customHeight="1" x14ac:dyDescent="0.25"/>
    <row r="7476" ht="15.75" customHeight="1" x14ac:dyDescent="0.25"/>
    <row r="7477" ht="15.75" customHeight="1" x14ac:dyDescent="0.25"/>
    <row r="7478" ht="15.75" customHeight="1" x14ac:dyDescent="0.25"/>
    <row r="7479" ht="15.75" customHeight="1" x14ac:dyDescent="0.25"/>
    <row r="7480" ht="15.75" customHeight="1" x14ac:dyDescent="0.25"/>
    <row r="7481" ht="15.75" customHeight="1" x14ac:dyDescent="0.25"/>
    <row r="7482" ht="15.75" customHeight="1" x14ac:dyDescent="0.25"/>
    <row r="7483" ht="15.75" customHeight="1" x14ac:dyDescent="0.25"/>
    <row r="7484" ht="15.75" customHeight="1" x14ac:dyDescent="0.25"/>
    <row r="7485" ht="15.75" customHeight="1" x14ac:dyDescent="0.25"/>
    <row r="7486" ht="15.75" customHeight="1" x14ac:dyDescent="0.25"/>
    <row r="7487" ht="15.75" customHeight="1" x14ac:dyDescent="0.25"/>
    <row r="7488" ht="15.75" customHeight="1" x14ac:dyDescent="0.25"/>
    <row r="7489" ht="15.75" customHeight="1" x14ac:dyDescent="0.25"/>
    <row r="7490" ht="15.75" customHeight="1" x14ac:dyDescent="0.25"/>
    <row r="7491" ht="15.75" customHeight="1" x14ac:dyDescent="0.25"/>
    <row r="7492" ht="15.75" customHeight="1" x14ac:dyDescent="0.25"/>
    <row r="7493" ht="15.75" customHeight="1" x14ac:dyDescent="0.25"/>
    <row r="7494" ht="15.75" customHeight="1" x14ac:dyDescent="0.25"/>
    <row r="7495" ht="15.75" customHeight="1" x14ac:dyDescent="0.25"/>
    <row r="7496" ht="15.75" customHeight="1" x14ac:dyDescent="0.25"/>
    <row r="7497" ht="15.75" customHeight="1" x14ac:dyDescent="0.25"/>
    <row r="7498" ht="15.75" customHeight="1" x14ac:dyDescent="0.25"/>
    <row r="7499" ht="15.75" customHeight="1" x14ac:dyDescent="0.25"/>
    <row r="7500" ht="15.75" customHeight="1" x14ac:dyDescent="0.25"/>
    <row r="7501" ht="15.75" customHeight="1" x14ac:dyDescent="0.25"/>
    <row r="7502" ht="15.75" customHeight="1" x14ac:dyDescent="0.25"/>
    <row r="7503" ht="15.75" customHeight="1" x14ac:dyDescent="0.25"/>
    <row r="7504" ht="15.75" customHeight="1" x14ac:dyDescent="0.25"/>
    <row r="7505" ht="15.75" customHeight="1" x14ac:dyDescent="0.25"/>
    <row r="7506" ht="15.75" customHeight="1" x14ac:dyDescent="0.25"/>
    <row r="7507" ht="15.75" customHeight="1" x14ac:dyDescent="0.25"/>
    <row r="7508" ht="15.75" customHeight="1" x14ac:dyDescent="0.25"/>
    <row r="7509" ht="15.75" customHeight="1" x14ac:dyDescent="0.25"/>
    <row r="7510" ht="15.75" customHeight="1" x14ac:dyDescent="0.25"/>
    <row r="7511" ht="15.75" customHeight="1" x14ac:dyDescent="0.25"/>
    <row r="7512" ht="15.75" customHeight="1" x14ac:dyDescent="0.25"/>
    <row r="7513" ht="15.75" customHeight="1" x14ac:dyDescent="0.25"/>
    <row r="7514" ht="15.75" customHeight="1" x14ac:dyDescent="0.25"/>
    <row r="7515" ht="15.75" customHeight="1" x14ac:dyDescent="0.25"/>
    <row r="7516" ht="15.75" customHeight="1" x14ac:dyDescent="0.25"/>
    <row r="7517" ht="15.75" customHeight="1" x14ac:dyDescent="0.25"/>
    <row r="7518" ht="15.75" customHeight="1" x14ac:dyDescent="0.25"/>
    <row r="7519" ht="15.75" customHeight="1" x14ac:dyDescent="0.25"/>
    <row r="7520" ht="15.75" customHeight="1" x14ac:dyDescent="0.25"/>
    <row r="7521" ht="15.75" customHeight="1" x14ac:dyDescent="0.25"/>
    <row r="7522" ht="15.75" customHeight="1" x14ac:dyDescent="0.25"/>
    <row r="7523" ht="15.75" customHeight="1" x14ac:dyDescent="0.25"/>
    <row r="7524" ht="15.75" customHeight="1" x14ac:dyDescent="0.25"/>
    <row r="7525" ht="15.75" customHeight="1" x14ac:dyDescent="0.25"/>
    <row r="7526" ht="15.75" customHeight="1" x14ac:dyDescent="0.25"/>
    <row r="7527" ht="15.75" customHeight="1" x14ac:dyDescent="0.25"/>
    <row r="7528" ht="15.75" customHeight="1" x14ac:dyDescent="0.25"/>
    <row r="7529" ht="15.75" customHeight="1" x14ac:dyDescent="0.25"/>
    <row r="7530" ht="15.75" customHeight="1" x14ac:dyDescent="0.25"/>
    <row r="7531" ht="15.75" customHeight="1" x14ac:dyDescent="0.25"/>
    <row r="7532" ht="15.75" customHeight="1" x14ac:dyDescent="0.25"/>
    <row r="7533" ht="15.75" customHeight="1" x14ac:dyDescent="0.25"/>
    <row r="7534" ht="15.75" customHeight="1" x14ac:dyDescent="0.25"/>
    <row r="7535" ht="15.75" customHeight="1" x14ac:dyDescent="0.25"/>
    <row r="7536" ht="15.75" customHeight="1" x14ac:dyDescent="0.25"/>
    <row r="7537" ht="15.75" customHeight="1" x14ac:dyDescent="0.25"/>
    <row r="7538" ht="15.75" customHeight="1" x14ac:dyDescent="0.25"/>
    <row r="7539" ht="15.75" customHeight="1" x14ac:dyDescent="0.25"/>
    <row r="7540" ht="15.75" customHeight="1" x14ac:dyDescent="0.25"/>
    <row r="7541" ht="15.75" customHeight="1" x14ac:dyDescent="0.25"/>
    <row r="7542" ht="15.75" customHeight="1" x14ac:dyDescent="0.25"/>
    <row r="7543" ht="15.75" customHeight="1" x14ac:dyDescent="0.25"/>
    <row r="7544" ht="15.75" customHeight="1" x14ac:dyDescent="0.25"/>
    <row r="7545" ht="15.75" customHeight="1" x14ac:dyDescent="0.25"/>
    <row r="7546" ht="15.75" customHeight="1" x14ac:dyDescent="0.25"/>
    <row r="7547" ht="15.75" customHeight="1" x14ac:dyDescent="0.25"/>
    <row r="7548" ht="15.75" customHeight="1" x14ac:dyDescent="0.25"/>
    <row r="7549" ht="15.75" customHeight="1" x14ac:dyDescent="0.25"/>
    <row r="7550" ht="15.75" customHeight="1" x14ac:dyDescent="0.25"/>
    <row r="7551" ht="15.75" customHeight="1" x14ac:dyDescent="0.25"/>
    <row r="7552" ht="15.75" customHeight="1" x14ac:dyDescent="0.25"/>
    <row r="7553" ht="15.75" customHeight="1" x14ac:dyDescent="0.25"/>
    <row r="7554" ht="15.75" customHeight="1" x14ac:dyDescent="0.25"/>
    <row r="7555" ht="15.75" customHeight="1" x14ac:dyDescent="0.25"/>
    <row r="7556" ht="15.75" customHeight="1" x14ac:dyDescent="0.25"/>
    <row r="7557" ht="15.75" customHeight="1" x14ac:dyDescent="0.25"/>
    <row r="7558" ht="15.75" customHeight="1" x14ac:dyDescent="0.25"/>
    <row r="7559" ht="15.75" customHeight="1" x14ac:dyDescent="0.25"/>
    <row r="7560" ht="15.75" customHeight="1" x14ac:dyDescent="0.25"/>
    <row r="7561" ht="15.75" customHeight="1" x14ac:dyDescent="0.25"/>
    <row r="7562" ht="15.75" customHeight="1" x14ac:dyDescent="0.25"/>
    <row r="7563" ht="15.75" customHeight="1" x14ac:dyDescent="0.25"/>
    <row r="7564" ht="15.75" customHeight="1" x14ac:dyDescent="0.25"/>
    <row r="7565" ht="15.75" customHeight="1" x14ac:dyDescent="0.25"/>
    <row r="7566" ht="15.75" customHeight="1" x14ac:dyDescent="0.25"/>
    <row r="7567" ht="15.75" customHeight="1" x14ac:dyDescent="0.25"/>
    <row r="7568" ht="15.75" customHeight="1" x14ac:dyDescent="0.25"/>
    <row r="7569" ht="15.75" customHeight="1" x14ac:dyDescent="0.25"/>
    <row r="7570" ht="15.75" customHeight="1" x14ac:dyDescent="0.25"/>
    <row r="7571" ht="15.75" customHeight="1" x14ac:dyDescent="0.25"/>
    <row r="7572" ht="15.75" customHeight="1" x14ac:dyDescent="0.25"/>
    <row r="7573" ht="15.75" customHeight="1" x14ac:dyDescent="0.25"/>
    <row r="7574" ht="15.75" customHeight="1" x14ac:dyDescent="0.25"/>
    <row r="7575" ht="15.75" customHeight="1" x14ac:dyDescent="0.25"/>
    <row r="7576" ht="15.75" customHeight="1" x14ac:dyDescent="0.25"/>
    <row r="7577" ht="15.75" customHeight="1" x14ac:dyDescent="0.25"/>
    <row r="7578" ht="15.75" customHeight="1" x14ac:dyDescent="0.25"/>
    <row r="7579" ht="15.75" customHeight="1" x14ac:dyDescent="0.25"/>
    <row r="7580" ht="15.75" customHeight="1" x14ac:dyDescent="0.25"/>
    <row r="7581" ht="15.75" customHeight="1" x14ac:dyDescent="0.25"/>
    <row r="7582" ht="15.75" customHeight="1" x14ac:dyDescent="0.25"/>
    <row r="7583" ht="15.75" customHeight="1" x14ac:dyDescent="0.25"/>
    <row r="7584" ht="15.75" customHeight="1" x14ac:dyDescent="0.25"/>
    <row r="7585" ht="15.75" customHeight="1" x14ac:dyDescent="0.25"/>
    <row r="7586" ht="15.75" customHeight="1" x14ac:dyDescent="0.25"/>
    <row r="7587" ht="15.75" customHeight="1" x14ac:dyDescent="0.25"/>
    <row r="7588" ht="15.75" customHeight="1" x14ac:dyDescent="0.25"/>
    <row r="7589" ht="15.75" customHeight="1" x14ac:dyDescent="0.25"/>
    <row r="7590" ht="15.75" customHeight="1" x14ac:dyDescent="0.25"/>
    <row r="7591" ht="15.75" customHeight="1" x14ac:dyDescent="0.25"/>
    <row r="7592" ht="15.75" customHeight="1" x14ac:dyDescent="0.25"/>
    <row r="7593" ht="15.75" customHeight="1" x14ac:dyDescent="0.25"/>
    <row r="7594" ht="15.75" customHeight="1" x14ac:dyDescent="0.25"/>
    <row r="7595" ht="15.75" customHeight="1" x14ac:dyDescent="0.25"/>
    <row r="7596" ht="15.75" customHeight="1" x14ac:dyDescent="0.25"/>
    <row r="7597" ht="15.75" customHeight="1" x14ac:dyDescent="0.25"/>
    <row r="7598" ht="15.75" customHeight="1" x14ac:dyDescent="0.25"/>
    <row r="7599" ht="15.75" customHeight="1" x14ac:dyDescent="0.25"/>
    <row r="7600" ht="15.75" customHeight="1" x14ac:dyDescent="0.25"/>
    <row r="7601" ht="15.75" customHeight="1" x14ac:dyDescent="0.25"/>
    <row r="7602" ht="15.75" customHeight="1" x14ac:dyDescent="0.25"/>
    <row r="7603" ht="15.75" customHeight="1" x14ac:dyDescent="0.25"/>
    <row r="7604" ht="15.75" customHeight="1" x14ac:dyDescent="0.25"/>
    <row r="7605" ht="15.75" customHeight="1" x14ac:dyDescent="0.25"/>
    <row r="7606" ht="15.75" customHeight="1" x14ac:dyDescent="0.25"/>
    <row r="7607" ht="15.75" customHeight="1" x14ac:dyDescent="0.25"/>
    <row r="7608" ht="15.75" customHeight="1" x14ac:dyDescent="0.25"/>
    <row r="7609" ht="15.75" customHeight="1" x14ac:dyDescent="0.25"/>
    <row r="7610" ht="15.75" customHeight="1" x14ac:dyDescent="0.25"/>
    <row r="7611" ht="15.75" customHeight="1" x14ac:dyDescent="0.25"/>
    <row r="7612" ht="15.75" customHeight="1" x14ac:dyDescent="0.25"/>
    <row r="7613" ht="15.75" customHeight="1" x14ac:dyDescent="0.25"/>
    <row r="7614" ht="15.75" customHeight="1" x14ac:dyDescent="0.25"/>
    <row r="7615" ht="15.75" customHeight="1" x14ac:dyDescent="0.25"/>
    <row r="7616" ht="15.75" customHeight="1" x14ac:dyDescent="0.25"/>
    <row r="7617" ht="15.75" customHeight="1" x14ac:dyDescent="0.25"/>
    <row r="7618" ht="15.75" customHeight="1" x14ac:dyDescent="0.25"/>
    <row r="7619" ht="15.75" customHeight="1" x14ac:dyDescent="0.25"/>
    <row r="7620" ht="15.75" customHeight="1" x14ac:dyDescent="0.25"/>
    <row r="7621" ht="15.75" customHeight="1" x14ac:dyDescent="0.25"/>
    <row r="7622" ht="15.75" customHeight="1" x14ac:dyDescent="0.25"/>
    <row r="7623" ht="15.75" customHeight="1" x14ac:dyDescent="0.25"/>
    <row r="7624" ht="15.75" customHeight="1" x14ac:dyDescent="0.25"/>
    <row r="7625" ht="15.75" customHeight="1" x14ac:dyDescent="0.25"/>
    <row r="7626" ht="15.75" customHeight="1" x14ac:dyDescent="0.25"/>
    <row r="7627" ht="15.75" customHeight="1" x14ac:dyDescent="0.25"/>
    <row r="7628" ht="15.75" customHeight="1" x14ac:dyDescent="0.25"/>
    <row r="7629" ht="15.75" customHeight="1" x14ac:dyDescent="0.25"/>
    <row r="7630" ht="15.75" customHeight="1" x14ac:dyDescent="0.25"/>
    <row r="7631" ht="15.75" customHeight="1" x14ac:dyDescent="0.25"/>
    <row r="7632" ht="15.75" customHeight="1" x14ac:dyDescent="0.25"/>
    <row r="7633" ht="15.75" customHeight="1" x14ac:dyDescent="0.25"/>
    <row r="7634" ht="15.75" customHeight="1" x14ac:dyDescent="0.25"/>
    <row r="7635" ht="15.75" customHeight="1" x14ac:dyDescent="0.25"/>
    <row r="7636" ht="15.75" customHeight="1" x14ac:dyDescent="0.25"/>
    <row r="7637" ht="15.75" customHeight="1" x14ac:dyDescent="0.25"/>
    <row r="7638" ht="15.75" customHeight="1" x14ac:dyDescent="0.25"/>
    <row r="7639" ht="15.75" customHeight="1" x14ac:dyDescent="0.25"/>
    <row r="7640" ht="15.75" customHeight="1" x14ac:dyDescent="0.25"/>
    <row r="7641" ht="15.75" customHeight="1" x14ac:dyDescent="0.25"/>
    <row r="7642" ht="15.75" customHeight="1" x14ac:dyDescent="0.25"/>
    <row r="7643" ht="15.75" customHeight="1" x14ac:dyDescent="0.25"/>
    <row r="7644" ht="15.75" customHeight="1" x14ac:dyDescent="0.25"/>
    <row r="7645" ht="15.75" customHeight="1" x14ac:dyDescent="0.25"/>
    <row r="7646" ht="15.75" customHeight="1" x14ac:dyDescent="0.25"/>
    <row r="7647" ht="15.75" customHeight="1" x14ac:dyDescent="0.25"/>
    <row r="7648" ht="15.75" customHeight="1" x14ac:dyDescent="0.25"/>
    <row r="7649" ht="15.75" customHeight="1" x14ac:dyDescent="0.25"/>
    <row r="7650" ht="15.75" customHeight="1" x14ac:dyDescent="0.25"/>
    <row r="7651" ht="15.75" customHeight="1" x14ac:dyDescent="0.25"/>
    <row r="7652" ht="15.75" customHeight="1" x14ac:dyDescent="0.25"/>
    <row r="7653" ht="15.75" customHeight="1" x14ac:dyDescent="0.25"/>
    <row r="7654" ht="15.75" customHeight="1" x14ac:dyDescent="0.25"/>
    <row r="7655" ht="15.75" customHeight="1" x14ac:dyDescent="0.25"/>
    <row r="7656" ht="15.75" customHeight="1" x14ac:dyDescent="0.25"/>
    <row r="7657" ht="15.75" customHeight="1" x14ac:dyDescent="0.25"/>
    <row r="7658" ht="15.75" customHeight="1" x14ac:dyDescent="0.25"/>
    <row r="7659" ht="15.75" customHeight="1" x14ac:dyDescent="0.25"/>
    <row r="7660" ht="15.75" customHeight="1" x14ac:dyDescent="0.25"/>
    <row r="7661" ht="15.75" customHeight="1" x14ac:dyDescent="0.25"/>
    <row r="7662" ht="15.75" customHeight="1" x14ac:dyDescent="0.25"/>
    <row r="7663" ht="15.75" customHeight="1" x14ac:dyDescent="0.25"/>
    <row r="7664" ht="15.75" customHeight="1" x14ac:dyDescent="0.25"/>
    <row r="7665" ht="15.75" customHeight="1" x14ac:dyDescent="0.25"/>
    <row r="7666" ht="15.75" customHeight="1" x14ac:dyDescent="0.25"/>
    <row r="7667" ht="15.75" customHeight="1" x14ac:dyDescent="0.25"/>
    <row r="7668" ht="15.75" customHeight="1" x14ac:dyDescent="0.25"/>
    <row r="7669" ht="15.75" customHeight="1" x14ac:dyDescent="0.25"/>
    <row r="7670" ht="15.75" customHeight="1" x14ac:dyDescent="0.25"/>
    <row r="7671" ht="15.75" customHeight="1" x14ac:dyDescent="0.25"/>
    <row r="7672" ht="15.75" customHeight="1" x14ac:dyDescent="0.25"/>
    <row r="7673" ht="15.75" customHeight="1" x14ac:dyDescent="0.25"/>
    <row r="7674" ht="15.75" customHeight="1" x14ac:dyDescent="0.25"/>
    <row r="7675" ht="15.75" customHeight="1" x14ac:dyDescent="0.25"/>
    <row r="7676" ht="15.75" customHeight="1" x14ac:dyDescent="0.25"/>
    <row r="7677" ht="15.75" customHeight="1" x14ac:dyDescent="0.25"/>
    <row r="7678" ht="15.75" customHeight="1" x14ac:dyDescent="0.25"/>
    <row r="7679" ht="15.75" customHeight="1" x14ac:dyDescent="0.25"/>
    <row r="7680" ht="15.75" customHeight="1" x14ac:dyDescent="0.25"/>
    <row r="7681" ht="15.75" customHeight="1" x14ac:dyDescent="0.25"/>
    <row r="7682" ht="15.75" customHeight="1" x14ac:dyDescent="0.25"/>
    <row r="7683" ht="15.75" customHeight="1" x14ac:dyDescent="0.25"/>
    <row r="7684" ht="15.75" customHeight="1" x14ac:dyDescent="0.25"/>
    <row r="7685" ht="15.75" customHeight="1" x14ac:dyDescent="0.25"/>
    <row r="7686" ht="15.75" customHeight="1" x14ac:dyDescent="0.25"/>
    <row r="7687" ht="15.75" customHeight="1" x14ac:dyDescent="0.25"/>
    <row r="7688" ht="15.75" customHeight="1" x14ac:dyDescent="0.25"/>
    <row r="7689" ht="15.75" customHeight="1" x14ac:dyDescent="0.25"/>
    <row r="7690" ht="15.75" customHeight="1" x14ac:dyDescent="0.25"/>
    <row r="7691" ht="15.75" customHeight="1" x14ac:dyDescent="0.25"/>
    <row r="7692" ht="15.75" customHeight="1" x14ac:dyDescent="0.25"/>
    <row r="7693" ht="15.75" customHeight="1" x14ac:dyDescent="0.25"/>
    <row r="7694" ht="15.75" customHeight="1" x14ac:dyDescent="0.25"/>
    <row r="7695" ht="15.75" customHeight="1" x14ac:dyDescent="0.25"/>
    <row r="7696" ht="15.75" customHeight="1" x14ac:dyDescent="0.25"/>
    <row r="7697" ht="15.75" customHeight="1" x14ac:dyDescent="0.25"/>
    <row r="7698" ht="15.75" customHeight="1" x14ac:dyDescent="0.25"/>
    <row r="7699" ht="15.75" customHeight="1" x14ac:dyDescent="0.25"/>
    <row r="7700" ht="15.75" customHeight="1" x14ac:dyDescent="0.25"/>
    <row r="7701" ht="15.75" customHeight="1" x14ac:dyDescent="0.25"/>
    <row r="7702" ht="15.75" customHeight="1" x14ac:dyDescent="0.25"/>
    <row r="7703" ht="15.75" customHeight="1" x14ac:dyDescent="0.25"/>
    <row r="7704" ht="15.75" customHeight="1" x14ac:dyDescent="0.25"/>
    <row r="7705" ht="15.75" customHeight="1" x14ac:dyDescent="0.25"/>
    <row r="7706" ht="15.75" customHeight="1" x14ac:dyDescent="0.25"/>
    <row r="7707" ht="15.75" customHeight="1" x14ac:dyDescent="0.25"/>
    <row r="7708" ht="15.75" customHeight="1" x14ac:dyDescent="0.25"/>
    <row r="7709" ht="15.75" customHeight="1" x14ac:dyDescent="0.25"/>
    <row r="7710" ht="15.75" customHeight="1" x14ac:dyDescent="0.25"/>
    <row r="7711" ht="15.75" customHeight="1" x14ac:dyDescent="0.25"/>
    <row r="7712" ht="15.75" customHeight="1" x14ac:dyDescent="0.25"/>
    <row r="7713" ht="15.75" customHeight="1" x14ac:dyDescent="0.25"/>
    <row r="7714" ht="15.75" customHeight="1" x14ac:dyDescent="0.25"/>
    <row r="7715" ht="15.75" customHeight="1" x14ac:dyDescent="0.25"/>
    <row r="7716" ht="15.75" customHeight="1" x14ac:dyDescent="0.25"/>
    <row r="7717" ht="15.75" customHeight="1" x14ac:dyDescent="0.25"/>
    <row r="7718" ht="15.75" customHeight="1" x14ac:dyDescent="0.25"/>
    <row r="7719" ht="15.75" customHeight="1" x14ac:dyDescent="0.25"/>
    <row r="7720" ht="15.75" customHeight="1" x14ac:dyDescent="0.25"/>
    <row r="7721" ht="15.75" customHeight="1" x14ac:dyDescent="0.25"/>
    <row r="7722" ht="15.75" customHeight="1" x14ac:dyDescent="0.25"/>
    <row r="7723" ht="15.75" customHeight="1" x14ac:dyDescent="0.25"/>
    <row r="7724" ht="15.75" customHeight="1" x14ac:dyDescent="0.25"/>
    <row r="7725" ht="15.75" customHeight="1" x14ac:dyDescent="0.25"/>
    <row r="7726" ht="15.75" customHeight="1" x14ac:dyDescent="0.25"/>
    <row r="7727" ht="15.75" customHeight="1" x14ac:dyDescent="0.25"/>
    <row r="7728" ht="15.75" customHeight="1" x14ac:dyDescent="0.25"/>
    <row r="7729" ht="15.75" customHeight="1" x14ac:dyDescent="0.25"/>
    <row r="7730" ht="15.75" customHeight="1" x14ac:dyDescent="0.25"/>
    <row r="7731" ht="15.75" customHeight="1" x14ac:dyDescent="0.25"/>
    <row r="7732" ht="15.75" customHeight="1" x14ac:dyDescent="0.25"/>
    <row r="7733" ht="15.75" customHeight="1" x14ac:dyDescent="0.25"/>
    <row r="7734" ht="15.75" customHeight="1" x14ac:dyDescent="0.25"/>
    <row r="7735" ht="15.75" customHeight="1" x14ac:dyDescent="0.25"/>
    <row r="7736" ht="15.75" customHeight="1" x14ac:dyDescent="0.25"/>
    <row r="7737" ht="15.75" customHeight="1" x14ac:dyDescent="0.25"/>
    <row r="7738" ht="15.75" customHeight="1" x14ac:dyDescent="0.25"/>
    <row r="7739" ht="15.75" customHeight="1" x14ac:dyDescent="0.25"/>
    <row r="7740" ht="15.75" customHeight="1" x14ac:dyDescent="0.25"/>
    <row r="7741" ht="15.75" customHeight="1" x14ac:dyDescent="0.25"/>
    <row r="7742" ht="15.75" customHeight="1" x14ac:dyDescent="0.25"/>
    <row r="7743" ht="15.75" customHeight="1" x14ac:dyDescent="0.25"/>
    <row r="7744" ht="15.75" customHeight="1" x14ac:dyDescent="0.25"/>
    <row r="7745" ht="15.75" customHeight="1" x14ac:dyDescent="0.25"/>
    <row r="7746" ht="15.75" customHeight="1" x14ac:dyDescent="0.25"/>
    <row r="7747" ht="15.75" customHeight="1" x14ac:dyDescent="0.25"/>
    <row r="7748" ht="15.75" customHeight="1" x14ac:dyDescent="0.25"/>
    <row r="7749" ht="15.75" customHeight="1" x14ac:dyDescent="0.25"/>
    <row r="7750" ht="15.75" customHeight="1" x14ac:dyDescent="0.25"/>
    <row r="7751" ht="15.75" customHeight="1" x14ac:dyDescent="0.25"/>
    <row r="7752" ht="15.75" customHeight="1" x14ac:dyDescent="0.25"/>
    <row r="7753" ht="15.75" customHeight="1" x14ac:dyDescent="0.25"/>
    <row r="7754" ht="15.75" customHeight="1" x14ac:dyDescent="0.25"/>
    <row r="7755" ht="15.75" customHeight="1" x14ac:dyDescent="0.25"/>
    <row r="7756" ht="15.75" customHeight="1" x14ac:dyDescent="0.25"/>
    <row r="7757" ht="15.75" customHeight="1" x14ac:dyDescent="0.25"/>
    <row r="7758" ht="15.75" customHeight="1" x14ac:dyDescent="0.25"/>
    <row r="7759" ht="15.75" customHeight="1" x14ac:dyDescent="0.25"/>
    <row r="7760" ht="15.75" customHeight="1" x14ac:dyDescent="0.25"/>
    <row r="7761" ht="15.75" customHeight="1" x14ac:dyDescent="0.25"/>
    <row r="7762" ht="15.75" customHeight="1" x14ac:dyDescent="0.25"/>
    <row r="7763" ht="15.75" customHeight="1" x14ac:dyDescent="0.25"/>
    <row r="7764" ht="15.75" customHeight="1" x14ac:dyDescent="0.25"/>
    <row r="7765" ht="15.75" customHeight="1" x14ac:dyDescent="0.25"/>
    <row r="7766" ht="15.75" customHeight="1" x14ac:dyDescent="0.25"/>
    <row r="7767" ht="15.75" customHeight="1" x14ac:dyDescent="0.25"/>
    <row r="7768" ht="15.75" customHeight="1" x14ac:dyDescent="0.25"/>
    <row r="7769" ht="15.75" customHeight="1" x14ac:dyDescent="0.25"/>
    <row r="7770" ht="15.75" customHeight="1" x14ac:dyDescent="0.25"/>
    <row r="7771" ht="15.75" customHeight="1" x14ac:dyDescent="0.25"/>
    <row r="7772" ht="15.75" customHeight="1" x14ac:dyDescent="0.25"/>
    <row r="7773" ht="15.75" customHeight="1" x14ac:dyDescent="0.25"/>
    <row r="7774" ht="15.75" customHeight="1" x14ac:dyDescent="0.25"/>
    <row r="7775" ht="15.75" customHeight="1" x14ac:dyDescent="0.25"/>
    <row r="7776" ht="15.75" customHeight="1" x14ac:dyDescent="0.25"/>
    <row r="7777" ht="15.75" customHeight="1" x14ac:dyDescent="0.25"/>
    <row r="7778" ht="15.75" customHeight="1" x14ac:dyDescent="0.25"/>
    <row r="7779" ht="15.75" customHeight="1" x14ac:dyDescent="0.25"/>
    <row r="7780" ht="15.75" customHeight="1" x14ac:dyDescent="0.25"/>
    <row r="7781" ht="15.75" customHeight="1" x14ac:dyDescent="0.25"/>
    <row r="7782" ht="15.75" customHeight="1" x14ac:dyDescent="0.25"/>
    <row r="7783" ht="15.75" customHeight="1" x14ac:dyDescent="0.25"/>
    <row r="7784" ht="15.75" customHeight="1" x14ac:dyDescent="0.25"/>
    <row r="7785" ht="15.75" customHeight="1" x14ac:dyDescent="0.25"/>
    <row r="7786" ht="15.75" customHeight="1" x14ac:dyDescent="0.25"/>
    <row r="7787" ht="15.75" customHeight="1" x14ac:dyDescent="0.25"/>
    <row r="7788" ht="15.75" customHeight="1" x14ac:dyDescent="0.25"/>
    <row r="7789" ht="15.75" customHeight="1" x14ac:dyDescent="0.25"/>
    <row r="7790" ht="15.75" customHeight="1" x14ac:dyDescent="0.25"/>
    <row r="7791" ht="15.75" customHeight="1" x14ac:dyDescent="0.25"/>
    <row r="7792" ht="15.75" customHeight="1" x14ac:dyDescent="0.25"/>
    <row r="7793" ht="15.75" customHeight="1" x14ac:dyDescent="0.25"/>
    <row r="7794" ht="15.75" customHeight="1" x14ac:dyDescent="0.25"/>
    <row r="7795" ht="15.75" customHeight="1" x14ac:dyDescent="0.25"/>
    <row r="7796" ht="15.75" customHeight="1" x14ac:dyDescent="0.25"/>
    <row r="7797" ht="15.75" customHeight="1" x14ac:dyDescent="0.25"/>
    <row r="7798" ht="15.75" customHeight="1" x14ac:dyDescent="0.25"/>
    <row r="7799" ht="15.75" customHeight="1" x14ac:dyDescent="0.25"/>
    <row r="7800" ht="15.75" customHeight="1" x14ac:dyDescent="0.25"/>
    <row r="7801" ht="15.75" customHeight="1" x14ac:dyDescent="0.25"/>
    <row r="7802" ht="15.75" customHeight="1" x14ac:dyDescent="0.25"/>
    <row r="7803" ht="15.75" customHeight="1" x14ac:dyDescent="0.25"/>
    <row r="7804" ht="15.75" customHeight="1" x14ac:dyDescent="0.25"/>
    <row r="7805" ht="15.75" customHeight="1" x14ac:dyDescent="0.25"/>
    <row r="7806" ht="15.75" customHeight="1" x14ac:dyDescent="0.25"/>
    <row r="7807" ht="15.75" customHeight="1" x14ac:dyDescent="0.25"/>
    <row r="7808" ht="15.75" customHeight="1" x14ac:dyDescent="0.25"/>
    <row r="7809" ht="15.75" customHeight="1" x14ac:dyDescent="0.25"/>
    <row r="7810" ht="15.75" customHeight="1" x14ac:dyDescent="0.25"/>
    <row r="7811" ht="15.75" customHeight="1" x14ac:dyDescent="0.25"/>
    <row r="7812" ht="15.75" customHeight="1" x14ac:dyDescent="0.25"/>
    <row r="7813" ht="15.75" customHeight="1" x14ac:dyDescent="0.25"/>
    <row r="7814" ht="15.75" customHeight="1" x14ac:dyDescent="0.25"/>
    <row r="7815" ht="15.75" customHeight="1" x14ac:dyDescent="0.25"/>
    <row r="7816" ht="15.75" customHeight="1" x14ac:dyDescent="0.25"/>
    <row r="7817" ht="15.75" customHeight="1" x14ac:dyDescent="0.25"/>
    <row r="7818" ht="15.75" customHeight="1" x14ac:dyDescent="0.25"/>
    <row r="7819" ht="15.75" customHeight="1" x14ac:dyDescent="0.25"/>
    <row r="7820" ht="15.75" customHeight="1" x14ac:dyDescent="0.25"/>
    <row r="7821" ht="15.75" customHeight="1" x14ac:dyDescent="0.25"/>
    <row r="7822" ht="15.75" customHeight="1" x14ac:dyDescent="0.25"/>
    <row r="7823" ht="15.75" customHeight="1" x14ac:dyDescent="0.25"/>
    <row r="7824" ht="15.75" customHeight="1" x14ac:dyDescent="0.25"/>
    <row r="7825" ht="15.75" customHeight="1" x14ac:dyDescent="0.25"/>
    <row r="7826" ht="15.75" customHeight="1" x14ac:dyDescent="0.25"/>
    <row r="7827" ht="15.75" customHeight="1" x14ac:dyDescent="0.25"/>
    <row r="7828" ht="15.75" customHeight="1" x14ac:dyDescent="0.25"/>
    <row r="7829" ht="15.75" customHeight="1" x14ac:dyDescent="0.25"/>
    <row r="7830" ht="15.75" customHeight="1" x14ac:dyDescent="0.25"/>
    <row r="7831" ht="15.75" customHeight="1" x14ac:dyDescent="0.25"/>
    <row r="7832" ht="15.75" customHeight="1" x14ac:dyDescent="0.25"/>
    <row r="7833" ht="15.75" customHeight="1" x14ac:dyDescent="0.25"/>
    <row r="7834" ht="15.75" customHeight="1" x14ac:dyDescent="0.25"/>
    <row r="7835" ht="15.75" customHeight="1" x14ac:dyDescent="0.25"/>
    <row r="7836" ht="15.75" customHeight="1" x14ac:dyDescent="0.25"/>
    <row r="7837" ht="15.75" customHeight="1" x14ac:dyDescent="0.25"/>
    <row r="7838" ht="15.75" customHeight="1" x14ac:dyDescent="0.25"/>
    <row r="7839" ht="15.75" customHeight="1" x14ac:dyDescent="0.25"/>
    <row r="7840" ht="15.75" customHeight="1" x14ac:dyDescent="0.25"/>
    <row r="7841" ht="15.75" customHeight="1" x14ac:dyDescent="0.25"/>
    <row r="7842" ht="15.75" customHeight="1" x14ac:dyDescent="0.25"/>
    <row r="7843" ht="15.75" customHeight="1" x14ac:dyDescent="0.25"/>
    <row r="7844" ht="15.75" customHeight="1" x14ac:dyDescent="0.25"/>
    <row r="7845" ht="15.75" customHeight="1" x14ac:dyDescent="0.25"/>
    <row r="7846" ht="15.75" customHeight="1" x14ac:dyDescent="0.25"/>
    <row r="7847" ht="15.75" customHeight="1" x14ac:dyDescent="0.25"/>
    <row r="7848" ht="15.75" customHeight="1" x14ac:dyDescent="0.25"/>
    <row r="7849" ht="15.75" customHeight="1" x14ac:dyDescent="0.25"/>
    <row r="7850" ht="15.75" customHeight="1" x14ac:dyDescent="0.25"/>
    <row r="7851" ht="15.75" customHeight="1" x14ac:dyDescent="0.25"/>
    <row r="7852" ht="15.75" customHeight="1" x14ac:dyDescent="0.25"/>
    <row r="7853" ht="15.75" customHeight="1" x14ac:dyDescent="0.25"/>
    <row r="7854" ht="15.75" customHeight="1" x14ac:dyDescent="0.25"/>
    <row r="7855" ht="15.75" customHeight="1" x14ac:dyDescent="0.25"/>
    <row r="7856" ht="15.75" customHeight="1" x14ac:dyDescent="0.25"/>
    <row r="7857" ht="15.75" customHeight="1" x14ac:dyDescent="0.25"/>
    <row r="7858" ht="15.75" customHeight="1" x14ac:dyDescent="0.25"/>
    <row r="7859" ht="15.75" customHeight="1" x14ac:dyDescent="0.25"/>
    <row r="7860" ht="15.75" customHeight="1" x14ac:dyDescent="0.25"/>
    <row r="7861" ht="15.75" customHeight="1" x14ac:dyDescent="0.25"/>
    <row r="7862" ht="15.75" customHeight="1" x14ac:dyDescent="0.25"/>
    <row r="7863" ht="15.75" customHeight="1" x14ac:dyDescent="0.25"/>
    <row r="7864" ht="15.75" customHeight="1" x14ac:dyDescent="0.25"/>
    <row r="7865" ht="15.75" customHeight="1" x14ac:dyDescent="0.25"/>
    <row r="7866" ht="15.75" customHeight="1" x14ac:dyDescent="0.25"/>
    <row r="7867" ht="15.75" customHeight="1" x14ac:dyDescent="0.25"/>
    <row r="7868" ht="15.75" customHeight="1" x14ac:dyDescent="0.25"/>
    <row r="7869" ht="15.75" customHeight="1" x14ac:dyDescent="0.25"/>
    <row r="7870" ht="15.75" customHeight="1" x14ac:dyDescent="0.25"/>
    <row r="7871" ht="15.75" customHeight="1" x14ac:dyDescent="0.25"/>
    <row r="7872" ht="15.75" customHeight="1" x14ac:dyDescent="0.25"/>
    <row r="7873" ht="15.75" customHeight="1" x14ac:dyDescent="0.25"/>
    <row r="7874" ht="15.75" customHeight="1" x14ac:dyDescent="0.25"/>
    <row r="7875" ht="15.75" customHeight="1" x14ac:dyDescent="0.25"/>
    <row r="7876" ht="15.75" customHeight="1" x14ac:dyDescent="0.25"/>
    <row r="7877" ht="15.75" customHeight="1" x14ac:dyDescent="0.25"/>
    <row r="7878" ht="15.75" customHeight="1" x14ac:dyDescent="0.25"/>
    <row r="7879" ht="15.75" customHeight="1" x14ac:dyDescent="0.25"/>
    <row r="7880" ht="15.75" customHeight="1" x14ac:dyDescent="0.25"/>
    <row r="7881" ht="15.75" customHeight="1" x14ac:dyDescent="0.25"/>
    <row r="7882" ht="15.75" customHeight="1" x14ac:dyDescent="0.25"/>
    <row r="7883" ht="15.75" customHeight="1" x14ac:dyDescent="0.25"/>
    <row r="7884" ht="15.75" customHeight="1" x14ac:dyDescent="0.25"/>
    <row r="7885" ht="15.75" customHeight="1" x14ac:dyDescent="0.25"/>
    <row r="7886" ht="15.75" customHeight="1" x14ac:dyDescent="0.25"/>
    <row r="7887" ht="15.75" customHeight="1" x14ac:dyDescent="0.25"/>
    <row r="7888" ht="15.75" customHeight="1" x14ac:dyDescent="0.25"/>
    <row r="7889" ht="15.75" customHeight="1" x14ac:dyDescent="0.25"/>
    <row r="7890" ht="15.75" customHeight="1" x14ac:dyDescent="0.25"/>
    <row r="7891" ht="15.75" customHeight="1" x14ac:dyDescent="0.25"/>
    <row r="7892" ht="15.75" customHeight="1" x14ac:dyDescent="0.25"/>
    <row r="7893" ht="15.75" customHeight="1" x14ac:dyDescent="0.25"/>
    <row r="7894" ht="15.75" customHeight="1" x14ac:dyDescent="0.25"/>
    <row r="7895" ht="15.75" customHeight="1" x14ac:dyDescent="0.25"/>
    <row r="7896" ht="15.75" customHeight="1" x14ac:dyDescent="0.25"/>
    <row r="7897" ht="15.75" customHeight="1" x14ac:dyDescent="0.25"/>
    <row r="7898" ht="15.75" customHeight="1" x14ac:dyDescent="0.25"/>
    <row r="7899" ht="15.75" customHeight="1" x14ac:dyDescent="0.25"/>
    <row r="7900" ht="15.75" customHeight="1" x14ac:dyDescent="0.25"/>
    <row r="7901" ht="15.75" customHeight="1" x14ac:dyDescent="0.25"/>
    <row r="7902" ht="15.75" customHeight="1" x14ac:dyDescent="0.25"/>
    <row r="7903" ht="15.75" customHeight="1" x14ac:dyDescent="0.25"/>
    <row r="7904" ht="15.75" customHeight="1" x14ac:dyDescent="0.25"/>
    <row r="7905" ht="15.75" customHeight="1" x14ac:dyDescent="0.25"/>
    <row r="7906" ht="15.75" customHeight="1" x14ac:dyDescent="0.25"/>
    <row r="7907" ht="15.75" customHeight="1" x14ac:dyDescent="0.25"/>
    <row r="7908" ht="15.75" customHeight="1" x14ac:dyDescent="0.25"/>
    <row r="7909" ht="15.75" customHeight="1" x14ac:dyDescent="0.25"/>
    <row r="7910" ht="15.75" customHeight="1" x14ac:dyDescent="0.25"/>
    <row r="7911" ht="15.75" customHeight="1" x14ac:dyDescent="0.25"/>
    <row r="7912" ht="15.75" customHeight="1" x14ac:dyDescent="0.25"/>
    <row r="7913" ht="15.75" customHeight="1" x14ac:dyDescent="0.25"/>
    <row r="7914" ht="15.75" customHeight="1" x14ac:dyDescent="0.25"/>
    <row r="7915" ht="15.75" customHeight="1" x14ac:dyDescent="0.25"/>
    <row r="7916" ht="15.75" customHeight="1" x14ac:dyDescent="0.25"/>
    <row r="7917" ht="15.75" customHeight="1" x14ac:dyDescent="0.25"/>
    <row r="7918" ht="15.75" customHeight="1" x14ac:dyDescent="0.25"/>
    <row r="7919" ht="15.75" customHeight="1" x14ac:dyDescent="0.25"/>
    <row r="7920" ht="15.75" customHeight="1" x14ac:dyDescent="0.25"/>
    <row r="7921" ht="15.75" customHeight="1" x14ac:dyDescent="0.25"/>
    <row r="7922" ht="15.75" customHeight="1" x14ac:dyDescent="0.25"/>
    <row r="7923" ht="15.75" customHeight="1" x14ac:dyDescent="0.25"/>
    <row r="7924" ht="15.75" customHeight="1" x14ac:dyDescent="0.25"/>
    <row r="7925" ht="15.75" customHeight="1" x14ac:dyDescent="0.25"/>
    <row r="7926" ht="15.75" customHeight="1" x14ac:dyDescent="0.25"/>
    <row r="7927" ht="15.75" customHeight="1" x14ac:dyDescent="0.25"/>
    <row r="7928" ht="15.75" customHeight="1" x14ac:dyDescent="0.25"/>
    <row r="7929" ht="15.75" customHeight="1" x14ac:dyDescent="0.25"/>
    <row r="7930" ht="15.75" customHeight="1" x14ac:dyDescent="0.25"/>
    <row r="7931" ht="15.75" customHeight="1" x14ac:dyDescent="0.25"/>
    <row r="7932" ht="15.75" customHeight="1" x14ac:dyDescent="0.25"/>
    <row r="7933" ht="15.75" customHeight="1" x14ac:dyDescent="0.25"/>
    <row r="7934" ht="15.75" customHeight="1" x14ac:dyDescent="0.25"/>
    <row r="7935" ht="15.75" customHeight="1" x14ac:dyDescent="0.25"/>
    <row r="7936" ht="15.75" customHeight="1" x14ac:dyDescent="0.25"/>
    <row r="7937" ht="15.75" customHeight="1" x14ac:dyDescent="0.25"/>
    <row r="7938" ht="15.75" customHeight="1" x14ac:dyDescent="0.25"/>
    <row r="7939" ht="15.75" customHeight="1" x14ac:dyDescent="0.25"/>
    <row r="7940" ht="15.75" customHeight="1" x14ac:dyDescent="0.25"/>
    <row r="7941" ht="15.75" customHeight="1" x14ac:dyDescent="0.25"/>
    <row r="7942" ht="15.75" customHeight="1" x14ac:dyDescent="0.25"/>
    <row r="7943" ht="15.75" customHeight="1" x14ac:dyDescent="0.25"/>
    <row r="7944" ht="15.75" customHeight="1" x14ac:dyDescent="0.25"/>
    <row r="7945" ht="15.75" customHeight="1" x14ac:dyDescent="0.25"/>
    <row r="7946" ht="15.75" customHeight="1" x14ac:dyDescent="0.25"/>
    <row r="7947" ht="15.75" customHeight="1" x14ac:dyDescent="0.25"/>
    <row r="7948" ht="15.75" customHeight="1" x14ac:dyDescent="0.25"/>
    <row r="7949" ht="15.75" customHeight="1" x14ac:dyDescent="0.25"/>
    <row r="7950" ht="15.75" customHeight="1" x14ac:dyDescent="0.25"/>
    <row r="7951" ht="15.75" customHeight="1" x14ac:dyDescent="0.25"/>
    <row r="7952" ht="15.75" customHeight="1" x14ac:dyDescent="0.25"/>
    <row r="7953" ht="15.75" customHeight="1" x14ac:dyDescent="0.25"/>
    <row r="7954" ht="15.75" customHeight="1" x14ac:dyDescent="0.25"/>
    <row r="7955" ht="15.75" customHeight="1" x14ac:dyDescent="0.25"/>
    <row r="7956" ht="15.75" customHeight="1" x14ac:dyDescent="0.25"/>
    <row r="7957" ht="15.75" customHeight="1" x14ac:dyDescent="0.25"/>
    <row r="7958" ht="15.75" customHeight="1" x14ac:dyDescent="0.25"/>
    <row r="7959" ht="15.75" customHeight="1" x14ac:dyDescent="0.25"/>
    <row r="7960" ht="15.75" customHeight="1" x14ac:dyDescent="0.25"/>
    <row r="7961" ht="15.75" customHeight="1" x14ac:dyDescent="0.25"/>
    <row r="7962" ht="15.75" customHeight="1" x14ac:dyDescent="0.25"/>
    <row r="7963" ht="15.75" customHeight="1" x14ac:dyDescent="0.25"/>
    <row r="7964" ht="15.75" customHeight="1" x14ac:dyDescent="0.25"/>
    <row r="7965" ht="15.75" customHeight="1" x14ac:dyDescent="0.25"/>
    <row r="7966" ht="15.75" customHeight="1" x14ac:dyDescent="0.25"/>
    <row r="7967" ht="15.75" customHeight="1" x14ac:dyDescent="0.25"/>
    <row r="7968" ht="15.75" customHeight="1" x14ac:dyDescent="0.25"/>
    <row r="7969" ht="15.75" customHeight="1" x14ac:dyDescent="0.25"/>
    <row r="7970" ht="15.75" customHeight="1" x14ac:dyDescent="0.25"/>
    <row r="7971" ht="15.75" customHeight="1" x14ac:dyDescent="0.25"/>
    <row r="7972" ht="15.75" customHeight="1" x14ac:dyDescent="0.25"/>
    <row r="7973" ht="15.75" customHeight="1" x14ac:dyDescent="0.25"/>
    <row r="7974" ht="15.75" customHeight="1" x14ac:dyDescent="0.25"/>
    <row r="7975" ht="15.75" customHeight="1" x14ac:dyDescent="0.25"/>
    <row r="7976" ht="15.75" customHeight="1" x14ac:dyDescent="0.25"/>
    <row r="7977" ht="15.75" customHeight="1" x14ac:dyDescent="0.25"/>
    <row r="7978" ht="15.75" customHeight="1" x14ac:dyDescent="0.25"/>
    <row r="7979" ht="15.75" customHeight="1" x14ac:dyDescent="0.25"/>
    <row r="7980" ht="15.75" customHeight="1" x14ac:dyDescent="0.25"/>
    <row r="7981" ht="15.75" customHeight="1" x14ac:dyDescent="0.25"/>
    <row r="7982" ht="15.75" customHeight="1" x14ac:dyDescent="0.25"/>
    <row r="7983" ht="15.75" customHeight="1" x14ac:dyDescent="0.25"/>
    <row r="7984" ht="15.75" customHeight="1" x14ac:dyDescent="0.25"/>
    <row r="7985" ht="15.75" customHeight="1" x14ac:dyDescent="0.25"/>
    <row r="7986" ht="15.75" customHeight="1" x14ac:dyDescent="0.25"/>
    <row r="7987" ht="15.75" customHeight="1" x14ac:dyDescent="0.25"/>
    <row r="7988" ht="15.75" customHeight="1" x14ac:dyDescent="0.25"/>
    <row r="7989" ht="15.75" customHeight="1" x14ac:dyDescent="0.25"/>
    <row r="7990" ht="15.75" customHeight="1" x14ac:dyDescent="0.25"/>
    <row r="7991" ht="15.75" customHeight="1" x14ac:dyDescent="0.25"/>
    <row r="7992" ht="15.75" customHeight="1" x14ac:dyDescent="0.25"/>
    <row r="7993" ht="15.75" customHeight="1" x14ac:dyDescent="0.25"/>
    <row r="7994" ht="15.75" customHeight="1" x14ac:dyDescent="0.25"/>
    <row r="7995" ht="15.75" customHeight="1" x14ac:dyDescent="0.25"/>
    <row r="7996" ht="15.75" customHeight="1" x14ac:dyDescent="0.25"/>
    <row r="7997" ht="15.75" customHeight="1" x14ac:dyDescent="0.25"/>
    <row r="7998" ht="15.75" customHeight="1" x14ac:dyDescent="0.25"/>
    <row r="7999" ht="15.75" customHeight="1" x14ac:dyDescent="0.25"/>
    <row r="8000" ht="15.75" customHeight="1" x14ac:dyDescent="0.25"/>
    <row r="8001" ht="15.75" customHeight="1" x14ac:dyDescent="0.25"/>
    <row r="8002" ht="15.75" customHeight="1" x14ac:dyDescent="0.25"/>
    <row r="8003" ht="15.75" customHeight="1" x14ac:dyDescent="0.25"/>
    <row r="8004" ht="15.75" customHeight="1" x14ac:dyDescent="0.25"/>
    <row r="8005" ht="15.75" customHeight="1" x14ac:dyDescent="0.25"/>
    <row r="8006" ht="15.75" customHeight="1" x14ac:dyDescent="0.25"/>
    <row r="8007" ht="15.75" customHeight="1" x14ac:dyDescent="0.25"/>
    <row r="8008" ht="15.75" customHeight="1" x14ac:dyDescent="0.25"/>
    <row r="8009" ht="15.75" customHeight="1" x14ac:dyDescent="0.25"/>
    <row r="8010" ht="15.75" customHeight="1" x14ac:dyDescent="0.25"/>
    <row r="8011" ht="15.75" customHeight="1" x14ac:dyDescent="0.25"/>
    <row r="8012" ht="15.75" customHeight="1" x14ac:dyDescent="0.25"/>
    <row r="8013" ht="15.75" customHeight="1" x14ac:dyDescent="0.25"/>
    <row r="8014" ht="15.75" customHeight="1" x14ac:dyDescent="0.25"/>
    <row r="8015" ht="15.75" customHeight="1" x14ac:dyDescent="0.25"/>
    <row r="8016" ht="15.75" customHeight="1" x14ac:dyDescent="0.25"/>
    <row r="8017" ht="15.75" customHeight="1" x14ac:dyDescent="0.25"/>
    <row r="8018" ht="15.75" customHeight="1" x14ac:dyDescent="0.25"/>
    <row r="8019" ht="15.75" customHeight="1" x14ac:dyDescent="0.25"/>
    <row r="8020" ht="15.75" customHeight="1" x14ac:dyDescent="0.25"/>
    <row r="8021" ht="15.75" customHeight="1" x14ac:dyDescent="0.25"/>
    <row r="8022" ht="15.75" customHeight="1" x14ac:dyDescent="0.25"/>
    <row r="8023" ht="15.75" customHeight="1" x14ac:dyDescent="0.25"/>
    <row r="8024" ht="15.75" customHeight="1" x14ac:dyDescent="0.25"/>
    <row r="8025" ht="15.75" customHeight="1" x14ac:dyDescent="0.25"/>
    <row r="8026" ht="15.75" customHeight="1" x14ac:dyDescent="0.25"/>
    <row r="8027" ht="15.75" customHeight="1" x14ac:dyDescent="0.25"/>
    <row r="8028" ht="15.75" customHeight="1" x14ac:dyDescent="0.25"/>
    <row r="8029" ht="15.75" customHeight="1" x14ac:dyDescent="0.25"/>
    <row r="8030" ht="15.75" customHeight="1" x14ac:dyDescent="0.25"/>
    <row r="8031" ht="15.75" customHeight="1" x14ac:dyDescent="0.25"/>
    <row r="8032" ht="15.75" customHeight="1" x14ac:dyDescent="0.25"/>
    <row r="8033" ht="15.75" customHeight="1" x14ac:dyDescent="0.25"/>
    <row r="8034" ht="15.75" customHeight="1" x14ac:dyDescent="0.25"/>
    <row r="8035" ht="15.75" customHeight="1" x14ac:dyDescent="0.25"/>
    <row r="8036" ht="15.75" customHeight="1" x14ac:dyDescent="0.25"/>
    <row r="8037" ht="15.75" customHeight="1" x14ac:dyDescent="0.25"/>
    <row r="8038" ht="15.75" customHeight="1" x14ac:dyDescent="0.25"/>
    <row r="8039" ht="15.75" customHeight="1" x14ac:dyDescent="0.25"/>
    <row r="8040" ht="15.75" customHeight="1" x14ac:dyDescent="0.25"/>
    <row r="8041" ht="15.75" customHeight="1" x14ac:dyDescent="0.25"/>
    <row r="8042" ht="15.75" customHeight="1" x14ac:dyDescent="0.25"/>
    <row r="8043" ht="15.75" customHeight="1" x14ac:dyDescent="0.25"/>
    <row r="8044" ht="15.75" customHeight="1" x14ac:dyDescent="0.25"/>
    <row r="8045" ht="15.75" customHeight="1" x14ac:dyDescent="0.25"/>
    <row r="8046" ht="15.75" customHeight="1" x14ac:dyDescent="0.25"/>
    <row r="8047" ht="15.75" customHeight="1" x14ac:dyDescent="0.25"/>
    <row r="8048" ht="15.75" customHeight="1" x14ac:dyDescent="0.25"/>
    <row r="8049" ht="15.75" customHeight="1" x14ac:dyDescent="0.25"/>
    <row r="8050" ht="15.75" customHeight="1" x14ac:dyDescent="0.25"/>
    <row r="8051" ht="15.75" customHeight="1" x14ac:dyDescent="0.25"/>
    <row r="8052" ht="15.75" customHeight="1" x14ac:dyDescent="0.25"/>
    <row r="8053" ht="15.75" customHeight="1" x14ac:dyDescent="0.25"/>
    <row r="8054" ht="15.75" customHeight="1" x14ac:dyDescent="0.25"/>
    <row r="8055" ht="15.75" customHeight="1" x14ac:dyDescent="0.25"/>
    <row r="8056" ht="15.75" customHeight="1" x14ac:dyDescent="0.25"/>
    <row r="8057" ht="15.75" customHeight="1" x14ac:dyDescent="0.25"/>
    <row r="8058" ht="15.75" customHeight="1" x14ac:dyDescent="0.25"/>
    <row r="8059" ht="15.75" customHeight="1" x14ac:dyDescent="0.25"/>
    <row r="8060" ht="15.75" customHeight="1" x14ac:dyDescent="0.25"/>
    <row r="8061" ht="15.75" customHeight="1" x14ac:dyDescent="0.25"/>
    <row r="8062" ht="15.75" customHeight="1" x14ac:dyDescent="0.25"/>
    <row r="8063" ht="15.75" customHeight="1" x14ac:dyDescent="0.25"/>
    <row r="8064" ht="15.75" customHeight="1" x14ac:dyDescent="0.25"/>
    <row r="8065" ht="15.75" customHeight="1" x14ac:dyDescent="0.25"/>
    <row r="8066" ht="15.75" customHeight="1" x14ac:dyDescent="0.25"/>
    <row r="8067" ht="15.75" customHeight="1" x14ac:dyDescent="0.25"/>
    <row r="8068" ht="15.75" customHeight="1" x14ac:dyDescent="0.25"/>
    <row r="8069" ht="15.75" customHeight="1" x14ac:dyDescent="0.25"/>
    <row r="8070" ht="15.75" customHeight="1" x14ac:dyDescent="0.25"/>
    <row r="8071" ht="15.75" customHeight="1" x14ac:dyDescent="0.25"/>
    <row r="8072" ht="15.75" customHeight="1" x14ac:dyDescent="0.25"/>
    <row r="8073" ht="15.75" customHeight="1" x14ac:dyDescent="0.25"/>
    <row r="8074" ht="15.75" customHeight="1" x14ac:dyDescent="0.25"/>
    <row r="8075" ht="15.75" customHeight="1" x14ac:dyDescent="0.25"/>
    <row r="8076" ht="15.75" customHeight="1" x14ac:dyDescent="0.25"/>
    <row r="8077" ht="15.75" customHeight="1" x14ac:dyDescent="0.25"/>
    <row r="8078" ht="15.75" customHeight="1" x14ac:dyDescent="0.25"/>
    <row r="8079" ht="15.75" customHeight="1" x14ac:dyDescent="0.25"/>
    <row r="8080" ht="15.75" customHeight="1" x14ac:dyDescent="0.25"/>
    <row r="8081" ht="15.75" customHeight="1" x14ac:dyDescent="0.25"/>
    <row r="8082" ht="15.75" customHeight="1" x14ac:dyDescent="0.25"/>
    <row r="8083" ht="15.75" customHeight="1" x14ac:dyDescent="0.25"/>
    <row r="8084" ht="15.75" customHeight="1" x14ac:dyDescent="0.25"/>
    <row r="8085" ht="15.75" customHeight="1" x14ac:dyDescent="0.25"/>
    <row r="8086" ht="15.75" customHeight="1" x14ac:dyDescent="0.25"/>
    <row r="8087" ht="15.75" customHeight="1" x14ac:dyDescent="0.25"/>
    <row r="8088" ht="15.75" customHeight="1" x14ac:dyDescent="0.25"/>
    <row r="8089" ht="15.75" customHeight="1" x14ac:dyDescent="0.25"/>
    <row r="8090" ht="15.75" customHeight="1" x14ac:dyDescent="0.25"/>
    <row r="8091" ht="15.75" customHeight="1" x14ac:dyDescent="0.25"/>
    <row r="8092" ht="15.75" customHeight="1" x14ac:dyDescent="0.25"/>
    <row r="8093" ht="15.75" customHeight="1" x14ac:dyDescent="0.25"/>
    <row r="8094" ht="15.75" customHeight="1" x14ac:dyDescent="0.25"/>
    <row r="8095" ht="15.75" customHeight="1" x14ac:dyDescent="0.25"/>
    <row r="8096" ht="15.75" customHeight="1" x14ac:dyDescent="0.25"/>
    <row r="8097" ht="15.75" customHeight="1" x14ac:dyDescent="0.25"/>
    <row r="8098" ht="15.75" customHeight="1" x14ac:dyDescent="0.25"/>
    <row r="8099" ht="15.75" customHeight="1" x14ac:dyDescent="0.25"/>
    <row r="8100" ht="15.75" customHeight="1" x14ac:dyDescent="0.25"/>
    <row r="8101" ht="15.75" customHeight="1" x14ac:dyDescent="0.25"/>
    <row r="8102" ht="15.75" customHeight="1" x14ac:dyDescent="0.25"/>
    <row r="8103" ht="15.75" customHeight="1" x14ac:dyDescent="0.25"/>
    <row r="8104" ht="15.75" customHeight="1" x14ac:dyDescent="0.25"/>
    <row r="8105" ht="15.75" customHeight="1" x14ac:dyDescent="0.25"/>
    <row r="8106" ht="15.75" customHeight="1" x14ac:dyDescent="0.25"/>
    <row r="8107" ht="15.75" customHeight="1" x14ac:dyDescent="0.25"/>
    <row r="8108" ht="15.75" customHeight="1" x14ac:dyDescent="0.25"/>
    <row r="8109" ht="15.75" customHeight="1" x14ac:dyDescent="0.25"/>
    <row r="8110" ht="15.75" customHeight="1" x14ac:dyDescent="0.25"/>
    <row r="8111" ht="15.75" customHeight="1" x14ac:dyDescent="0.25"/>
    <row r="8112" ht="15.75" customHeight="1" x14ac:dyDescent="0.25"/>
    <row r="8113" ht="15.75" customHeight="1" x14ac:dyDescent="0.25"/>
    <row r="8114" ht="15.75" customHeight="1" x14ac:dyDescent="0.25"/>
    <row r="8115" ht="15.75" customHeight="1" x14ac:dyDescent="0.25"/>
    <row r="8116" ht="15.75" customHeight="1" x14ac:dyDescent="0.25"/>
    <row r="8117" ht="15.75" customHeight="1" x14ac:dyDescent="0.25"/>
    <row r="8118" ht="15.75" customHeight="1" x14ac:dyDescent="0.25"/>
    <row r="8119" ht="15.75" customHeight="1" x14ac:dyDescent="0.25"/>
    <row r="8120" ht="15.75" customHeight="1" x14ac:dyDescent="0.25"/>
    <row r="8121" ht="15.75" customHeight="1" x14ac:dyDescent="0.25"/>
    <row r="8122" ht="15.75" customHeight="1" x14ac:dyDescent="0.25"/>
    <row r="8123" ht="15.75" customHeight="1" x14ac:dyDescent="0.25"/>
    <row r="8124" ht="15.75" customHeight="1" x14ac:dyDescent="0.25"/>
    <row r="8125" ht="15.75" customHeight="1" x14ac:dyDescent="0.25"/>
    <row r="8126" ht="15.75" customHeight="1" x14ac:dyDescent="0.25"/>
    <row r="8127" ht="15.75" customHeight="1" x14ac:dyDescent="0.25"/>
    <row r="8128" ht="15.75" customHeight="1" x14ac:dyDescent="0.25"/>
    <row r="8129" ht="15.75" customHeight="1" x14ac:dyDescent="0.25"/>
    <row r="8130" ht="15.75" customHeight="1" x14ac:dyDescent="0.25"/>
    <row r="8131" ht="15.75" customHeight="1" x14ac:dyDescent="0.25"/>
    <row r="8132" ht="15.75" customHeight="1" x14ac:dyDescent="0.25"/>
    <row r="8133" ht="15.75" customHeight="1" x14ac:dyDescent="0.25"/>
    <row r="8134" ht="15.75" customHeight="1" x14ac:dyDescent="0.25"/>
    <row r="8135" ht="15.75" customHeight="1" x14ac:dyDescent="0.25"/>
    <row r="8136" ht="15.75" customHeight="1" x14ac:dyDescent="0.25"/>
    <row r="8137" ht="15.75" customHeight="1" x14ac:dyDescent="0.25"/>
    <row r="8138" ht="15.75" customHeight="1" x14ac:dyDescent="0.25"/>
    <row r="8139" ht="15.75" customHeight="1" x14ac:dyDescent="0.25"/>
    <row r="8140" ht="15.75" customHeight="1" x14ac:dyDescent="0.25"/>
    <row r="8141" ht="15.75" customHeight="1" x14ac:dyDescent="0.25"/>
    <row r="8142" ht="15.75" customHeight="1" x14ac:dyDescent="0.25"/>
    <row r="8143" ht="15.75" customHeight="1" x14ac:dyDescent="0.25"/>
    <row r="8144" ht="15.75" customHeight="1" x14ac:dyDescent="0.25"/>
    <row r="8145" ht="15.75" customHeight="1" x14ac:dyDescent="0.25"/>
    <row r="8146" ht="15.75" customHeight="1" x14ac:dyDescent="0.25"/>
    <row r="8147" ht="15.75" customHeight="1" x14ac:dyDescent="0.25"/>
    <row r="8148" ht="15.75" customHeight="1" x14ac:dyDescent="0.25"/>
    <row r="8149" ht="15.75" customHeight="1" x14ac:dyDescent="0.25"/>
    <row r="8150" ht="15.75" customHeight="1" x14ac:dyDescent="0.25"/>
    <row r="8151" ht="15.75" customHeight="1" x14ac:dyDescent="0.25"/>
    <row r="8152" ht="15.75" customHeight="1" x14ac:dyDescent="0.25"/>
    <row r="8153" ht="15.75" customHeight="1" x14ac:dyDescent="0.25"/>
    <row r="8154" ht="15.75" customHeight="1" x14ac:dyDescent="0.25"/>
    <row r="8155" ht="15.75" customHeight="1" x14ac:dyDescent="0.25"/>
    <row r="8156" ht="15.75" customHeight="1" x14ac:dyDescent="0.25"/>
    <row r="8157" ht="15.75" customHeight="1" x14ac:dyDescent="0.25"/>
    <row r="8158" ht="15.75" customHeight="1" x14ac:dyDescent="0.25"/>
    <row r="8159" ht="15.75" customHeight="1" x14ac:dyDescent="0.25"/>
    <row r="8160" ht="15.75" customHeight="1" x14ac:dyDescent="0.25"/>
    <row r="8161" ht="15.75" customHeight="1" x14ac:dyDescent="0.25"/>
    <row r="8162" ht="15.75" customHeight="1" x14ac:dyDescent="0.25"/>
    <row r="8163" ht="15.75" customHeight="1" x14ac:dyDescent="0.25"/>
    <row r="8164" ht="15.75" customHeight="1" x14ac:dyDescent="0.25"/>
    <row r="8165" ht="15.75" customHeight="1" x14ac:dyDescent="0.25"/>
    <row r="8166" ht="15.75" customHeight="1" x14ac:dyDescent="0.25"/>
    <row r="8167" ht="15.75" customHeight="1" x14ac:dyDescent="0.25"/>
    <row r="8168" ht="15.75" customHeight="1" x14ac:dyDescent="0.25"/>
    <row r="8169" ht="15.75" customHeight="1" x14ac:dyDescent="0.25"/>
    <row r="8170" ht="15.75" customHeight="1" x14ac:dyDescent="0.25"/>
    <row r="8171" ht="15.75" customHeight="1" x14ac:dyDescent="0.25"/>
    <row r="8172" ht="15.75" customHeight="1" x14ac:dyDescent="0.25"/>
    <row r="8173" ht="15.75" customHeight="1" x14ac:dyDescent="0.25"/>
    <row r="8174" ht="15.75" customHeight="1" x14ac:dyDescent="0.25"/>
    <row r="8175" ht="15.75" customHeight="1" x14ac:dyDescent="0.25"/>
    <row r="8176" ht="15.75" customHeight="1" x14ac:dyDescent="0.25"/>
    <row r="8177" ht="15.75" customHeight="1" x14ac:dyDescent="0.25"/>
    <row r="8178" ht="15.75" customHeight="1" x14ac:dyDescent="0.25"/>
    <row r="8179" ht="15.75" customHeight="1" x14ac:dyDescent="0.25"/>
    <row r="8180" ht="15.75" customHeight="1" x14ac:dyDescent="0.25"/>
    <row r="8181" ht="15.75" customHeight="1" x14ac:dyDescent="0.25"/>
    <row r="8182" ht="15.75" customHeight="1" x14ac:dyDescent="0.25"/>
    <row r="8183" ht="15.75" customHeight="1" x14ac:dyDescent="0.25"/>
    <row r="8184" ht="15.75" customHeight="1" x14ac:dyDescent="0.25"/>
    <row r="8185" ht="15.75" customHeight="1" x14ac:dyDescent="0.25"/>
    <row r="8186" ht="15.75" customHeight="1" x14ac:dyDescent="0.25"/>
    <row r="8187" ht="15.75" customHeight="1" x14ac:dyDescent="0.25"/>
    <row r="8188" ht="15.75" customHeight="1" x14ac:dyDescent="0.25"/>
    <row r="8189" ht="15.75" customHeight="1" x14ac:dyDescent="0.25"/>
    <row r="8190" ht="15.75" customHeight="1" x14ac:dyDescent="0.25"/>
    <row r="8191" ht="15.75" customHeight="1" x14ac:dyDescent="0.25"/>
    <row r="8192" ht="15.75" customHeight="1" x14ac:dyDescent="0.25"/>
    <row r="8193" ht="15.75" customHeight="1" x14ac:dyDescent="0.25"/>
    <row r="8194" ht="15.75" customHeight="1" x14ac:dyDescent="0.25"/>
    <row r="8195" ht="15.75" customHeight="1" x14ac:dyDescent="0.25"/>
    <row r="8196" ht="15.75" customHeight="1" x14ac:dyDescent="0.25"/>
    <row r="8197" ht="15.75" customHeight="1" x14ac:dyDescent="0.25"/>
    <row r="8198" ht="15.75" customHeight="1" x14ac:dyDescent="0.25"/>
    <row r="8199" ht="15.75" customHeight="1" x14ac:dyDescent="0.25"/>
    <row r="8200" ht="15.75" customHeight="1" x14ac:dyDescent="0.25"/>
    <row r="8201" ht="15.75" customHeight="1" x14ac:dyDescent="0.25"/>
    <row r="8202" ht="15.75" customHeight="1" x14ac:dyDescent="0.25"/>
    <row r="8203" ht="15.75" customHeight="1" x14ac:dyDescent="0.25"/>
    <row r="8204" ht="15.75" customHeight="1" x14ac:dyDescent="0.25"/>
    <row r="8205" ht="15.75" customHeight="1" x14ac:dyDescent="0.25"/>
    <row r="8206" ht="15.75" customHeight="1" x14ac:dyDescent="0.25"/>
    <row r="8207" ht="15.75" customHeight="1" x14ac:dyDescent="0.25"/>
    <row r="8208" ht="15.75" customHeight="1" x14ac:dyDescent="0.25"/>
    <row r="8209" ht="15.75" customHeight="1" x14ac:dyDescent="0.25"/>
    <row r="8210" ht="15.75" customHeight="1" x14ac:dyDescent="0.25"/>
    <row r="8211" ht="15.75" customHeight="1" x14ac:dyDescent="0.25"/>
    <row r="8212" ht="15.75" customHeight="1" x14ac:dyDescent="0.25"/>
    <row r="8213" ht="15.75" customHeight="1" x14ac:dyDescent="0.25"/>
    <row r="8214" ht="15.75" customHeight="1" x14ac:dyDescent="0.25"/>
    <row r="8215" ht="15.75" customHeight="1" x14ac:dyDescent="0.25"/>
    <row r="8216" ht="15.75" customHeight="1" x14ac:dyDescent="0.25"/>
    <row r="8217" ht="15.75" customHeight="1" x14ac:dyDescent="0.25"/>
    <row r="8218" ht="15.75" customHeight="1" x14ac:dyDescent="0.25"/>
    <row r="8219" ht="15.75" customHeight="1" x14ac:dyDescent="0.25"/>
    <row r="8220" ht="15.75" customHeight="1" x14ac:dyDescent="0.25"/>
    <row r="8221" ht="15.75" customHeight="1" x14ac:dyDescent="0.25"/>
    <row r="8222" ht="15.75" customHeight="1" x14ac:dyDescent="0.25"/>
    <row r="8223" ht="15.75" customHeight="1" x14ac:dyDescent="0.25"/>
    <row r="8224" ht="15.75" customHeight="1" x14ac:dyDescent="0.25"/>
    <row r="8225" ht="15.75" customHeight="1" x14ac:dyDescent="0.25"/>
    <row r="8226" ht="15.75" customHeight="1" x14ac:dyDescent="0.25"/>
    <row r="8227" ht="15.75" customHeight="1" x14ac:dyDescent="0.25"/>
    <row r="8228" ht="15.75" customHeight="1" x14ac:dyDescent="0.25"/>
    <row r="8229" ht="15.75" customHeight="1" x14ac:dyDescent="0.25"/>
    <row r="8230" ht="15.75" customHeight="1" x14ac:dyDescent="0.25"/>
    <row r="8231" ht="15.75" customHeight="1" x14ac:dyDescent="0.25"/>
    <row r="8232" ht="15.75" customHeight="1" x14ac:dyDescent="0.25"/>
    <row r="8233" ht="15.75" customHeight="1" x14ac:dyDescent="0.25"/>
    <row r="8234" ht="15.75" customHeight="1" x14ac:dyDescent="0.25"/>
    <row r="8235" ht="15.75" customHeight="1" x14ac:dyDescent="0.25"/>
    <row r="8236" ht="15.75" customHeight="1" x14ac:dyDescent="0.25"/>
    <row r="8237" ht="15.75" customHeight="1" x14ac:dyDescent="0.25"/>
    <row r="8238" ht="15.75" customHeight="1" x14ac:dyDescent="0.25"/>
    <row r="8239" ht="15.75" customHeight="1" x14ac:dyDescent="0.25"/>
    <row r="8240" ht="15.75" customHeight="1" x14ac:dyDescent="0.25"/>
    <row r="8241" ht="15.75" customHeight="1" x14ac:dyDescent="0.25"/>
    <row r="8242" ht="15.75" customHeight="1" x14ac:dyDescent="0.25"/>
    <row r="8243" ht="15.75" customHeight="1" x14ac:dyDescent="0.25"/>
    <row r="8244" ht="15.75" customHeight="1" x14ac:dyDescent="0.25"/>
    <row r="8245" ht="15.75" customHeight="1" x14ac:dyDescent="0.25"/>
    <row r="8246" ht="15.75" customHeight="1" x14ac:dyDescent="0.25"/>
    <row r="8247" ht="15.75" customHeight="1" x14ac:dyDescent="0.25"/>
    <row r="8248" ht="15.75" customHeight="1" x14ac:dyDescent="0.25"/>
    <row r="8249" ht="15.75" customHeight="1" x14ac:dyDescent="0.25"/>
    <row r="8250" ht="15.75" customHeight="1" x14ac:dyDescent="0.25"/>
    <row r="8251" ht="15.75" customHeight="1" x14ac:dyDescent="0.25"/>
    <row r="8252" ht="15.75" customHeight="1" x14ac:dyDescent="0.25"/>
    <row r="8253" ht="15.75" customHeight="1" x14ac:dyDescent="0.25"/>
    <row r="8254" ht="15.75" customHeight="1" x14ac:dyDescent="0.25"/>
    <row r="8255" ht="15.75" customHeight="1" x14ac:dyDescent="0.25"/>
    <row r="8256" ht="15.75" customHeight="1" x14ac:dyDescent="0.25"/>
    <row r="8257" ht="15.75" customHeight="1" x14ac:dyDescent="0.25"/>
    <row r="8258" ht="15.75" customHeight="1" x14ac:dyDescent="0.25"/>
    <row r="8259" ht="15.75" customHeight="1" x14ac:dyDescent="0.25"/>
    <row r="8260" ht="15.75" customHeight="1" x14ac:dyDescent="0.25"/>
    <row r="8261" ht="15.75" customHeight="1" x14ac:dyDescent="0.25"/>
    <row r="8262" ht="15.75" customHeight="1" x14ac:dyDescent="0.25"/>
    <row r="8263" ht="15.75" customHeight="1" x14ac:dyDescent="0.25"/>
    <row r="8264" ht="15.75" customHeight="1" x14ac:dyDescent="0.25"/>
    <row r="8265" ht="15.75" customHeight="1" x14ac:dyDescent="0.25"/>
    <row r="8266" ht="15.75" customHeight="1" x14ac:dyDescent="0.25"/>
    <row r="8267" ht="15.75" customHeight="1" x14ac:dyDescent="0.25"/>
    <row r="8268" ht="15.75" customHeight="1" x14ac:dyDescent="0.25"/>
    <row r="8269" ht="15.75" customHeight="1" x14ac:dyDescent="0.25"/>
    <row r="8270" ht="15.75" customHeight="1" x14ac:dyDescent="0.25"/>
    <row r="8271" ht="15.75" customHeight="1" x14ac:dyDescent="0.25"/>
    <row r="8272" ht="15.75" customHeight="1" x14ac:dyDescent="0.25"/>
    <row r="8273" ht="15.75" customHeight="1" x14ac:dyDescent="0.25"/>
    <row r="8274" ht="15.75" customHeight="1" x14ac:dyDescent="0.25"/>
    <row r="8275" ht="15.75" customHeight="1" x14ac:dyDescent="0.25"/>
    <row r="8276" ht="15.75" customHeight="1" x14ac:dyDescent="0.25"/>
    <row r="8277" ht="15.75" customHeight="1" x14ac:dyDescent="0.25"/>
    <row r="8278" ht="15.75" customHeight="1" x14ac:dyDescent="0.25"/>
    <row r="8279" ht="15.75" customHeight="1" x14ac:dyDescent="0.25"/>
    <row r="8280" ht="15.75" customHeight="1" x14ac:dyDescent="0.25"/>
    <row r="8281" ht="15.75" customHeight="1" x14ac:dyDescent="0.25"/>
    <row r="8282" ht="15.75" customHeight="1" x14ac:dyDescent="0.25"/>
    <row r="8283" ht="15.75" customHeight="1" x14ac:dyDescent="0.25"/>
    <row r="8284" ht="15.75" customHeight="1" x14ac:dyDescent="0.25"/>
    <row r="8285" ht="15.75" customHeight="1" x14ac:dyDescent="0.25"/>
    <row r="8286" ht="15.75" customHeight="1" x14ac:dyDescent="0.25"/>
    <row r="8287" ht="15.75" customHeight="1" x14ac:dyDescent="0.25"/>
    <row r="8288" ht="15.75" customHeight="1" x14ac:dyDescent="0.25"/>
    <row r="8289" ht="15.75" customHeight="1" x14ac:dyDescent="0.25"/>
    <row r="8290" ht="15.75" customHeight="1" x14ac:dyDescent="0.25"/>
    <row r="8291" ht="15.75" customHeight="1" x14ac:dyDescent="0.25"/>
    <row r="8292" ht="15.75" customHeight="1" x14ac:dyDescent="0.25"/>
    <row r="8293" ht="15.75" customHeight="1" x14ac:dyDescent="0.25"/>
    <row r="8294" ht="15.75" customHeight="1" x14ac:dyDescent="0.25"/>
    <row r="8295" ht="15.75" customHeight="1" x14ac:dyDescent="0.25"/>
    <row r="8296" ht="15.75" customHeight="1" x14ac:dyDescent="0.25"/>
    <row r="8297" ht="15.75" customHeight="1" x14ac:dyDescent="0.25"/>
    <row r="8298" ht="15.75" customHeight="1" x14ac:dyDescent="0.25"/>
    <row r="8299" ht="15.75" customHeight="1" x14ac:dyDescent="0.25"/>
    <row r="8300" ht="15.75" customHeight="1" x14ac:dyDescent="0.25"/>
    <row r="8301" ht="15.75" customHeight="1" x14ac:dyDescent="0.25"/>
    <row r="8302" ht="15.75" customHeight="1" x14ac:dyDescent="0.25"/>
    <row r="8303" ht="15.75" customHeight="1" x14ac:dyDescent="0.25"/>
    <row r="8304" ht="15.75" customHeight="1" x14ac:dyDescent="0.25"/>
    <row r="8305" ht="15.75" customHeight="1" x14ac:dyDescent="0.25"/>
    <row r="8306" ht="15.75" customHeight="1" x14ac:dyDescent="0.25"/>
    <row r="8307" ht="15.75" customHeight="1" x14ac:dyDescent="0.25"/>
    <row r="8308" ht="15.75" customHeight="1" x14ac:dyDescent="0.25"/>
    <row r="8309" ht="15.75" customHeight="1" x14ac:dyDescent="0.25"/>
    <row r="8310" ht="15.75" customHeight="1" x14ac:dyDescent="0.25"/>
    <row r="8311" ht="15.75" customHeight="1" x14ac:dyDescent="0.25"/>
    <row r="8312" ht="15.75" customHeight="1" x14ac:dyDescent="0.25"/>
    <row r="8313" ht="15.75" customHeight="1" x14ac:dyDescent="0.25"/>
    <row r="8314" ht="15.75" customHeight="1" x14ac:dyDescent="0.25"/>
    <row r="8315" ht="15.75" customHeight="1" x14ac:dyDescent="0.25"/>
    <row r="8316" ht="15.75" customHeight="1" x14ac:dyDescent="0.25"/>
    <row r="8317" ht="15.75" customHeight="1" x14ac:dyDescent="0.25"/>
    <row r="8318" ht="15.75" customHeight="1" x14ac:dyDescent="0.25"/>
    <row r="8319" ht="15.75" customHeight="1" x14ac:dyDescent="0.25"/>
    <row r="8320" ht="15.75" customHeight="1" x14ac:dyDescent="0.25"/>
    <row r="8321" ht="15.75" customHeight="1" x14ac:dyDescent="0.25"/>
    <row r="8322" ht="15.75" customHeight="1" x14ac:dyDescent="0.25"/>
    <row r="8323" ht="15.75" customHeight="1" x14ac:dyDescent="0.25"/>
    <row r="8324" ht="15.75" customHeight="1" x14ac:dyDescent="0.25"/>
    <row r="8325" ht="15.75" customHeight="1" x14ac:dyDescent="0.25"/>
    <row r="8326" ht="15.75" customHeight="1" x14ac:dyDescent="0.25"/>
    <row r="8327" ht="15.75" customHeight="1" x14ac:dyDescent="0.25"/>
    <row r="8328" ht="15.75" customHeight="1" x14ac:dyDescent="0.25"/>
    <row r="8329" ht="15.75" customHeight="1" x14ac:dyDescent="0.25"/>
    <row r="8330" ht="15.75" customHeight="1" x14ac:dyDescent="0.25"/>
    <row r="8331" ht="15.75" customHeight="1" x14ac:dyDescent="0.25"/>
    <row r="8332" ht="15.75" customHeight="1" x14ac:dyDescent="0.25"/>
    <row r="8333" ht="15.75" customHeight="1" x14ac:dyDescent="0.25"/>
    <row r="8334" ht="15.75" customHeight="1" x14ac:dyDescent="0.25"/>
    <row r="8335" ht="15.75" customHeight="1" x14ac:dyDescent="0.25"/>
    <row r="8336" ht="15.75" customHeight="1" x14ac:dyDescent="0.25"/>
    <row r="8337" ht="15.75" customHeight="1" x14ac:dyDescent="0.25"/>
    <row r="8338" ht="15.75" customHeight="1" x14ac:dyDescent="0.25"/>
    <row r="8339" ht="15.75" customHeight="1" x14ac:dyDescent="0.25"/>
    <row r="8340" ht="15.75" customHeight="1" x14ac:dyDescent="0.25"/>
    <row r="8341" ht="15.75" customHeight="1" x14ac:dyDescent="0.25"/>
    <row r="8342" ht="15.75" customHeight="1" x14ac:dyDescent="0.25"/>
    <row r="8343" ht="15.75" customHeight="1" x14ac:dyDescent="0.25"/>
    <row r="8344" ht="15.75" customHeight="1" x14ac:dyDescent="0.25"/>
    <row r="8345" ht="15.75" customHeight="1" x14ac:dyDescent="0.25"/>
    <row r="8346" ht="15.75" customHeight="1" x14ac:dyDescent="0.25"/>
    <row r="8347" ht="15.75" customHeight="1" x14ac:dyDescent="0.25"/>
    <row r="8348" ht="15.75" customHeight="1" x14ac:dyDescent="0.25"/>
    <row r="8349" ht="15.75" customHeight="1" x14ac:dyDescent="0.25"/>
    <row r="8350" ht="15.75" customHeight="1" x14ac:dyDescent="0.25"/>
    <row r="8351" ht="15.75" customHeight="1" x14ac:dyDescent="0.25"/>
    <row r="8352" ht="15.75" customHeight="1" x14ac:dyDescent="0.25"/>
    <row r="8353" ht="15.75" customHeight="1" x14ac:dyDescent="0.25"/>
    <row r="8354" ht="15.75" customHeight="1" x14ac:dyDescent="0.25"/>
    <row r="8355" ht="15.75" customHeight="1" x14ac:dyDescent="0.25"/>
    <row r="8356" ht="15.75" customHeight="1" x14ac:dyDescent="0.25"/>
    <row r="8357" ht="15.75" customHeight="1" x14ac:dyDescent="0.25"/>
    <row r="8358" ht="15.75" customHeight="1" x14ac:dyDescent="0.25"/>
    <row r="8359" ht="15.75" customHeight="1" x14ac:dyDescent="0.25"/>
    <row r="8360" ht="15.75" customHeight="1" x14ac:dyDescent="0.25"/>
    <row r="8361" ht="15.75" customHeight="1" x14ac:dyDescent="0.25"/>
    <row r="8362" ht="15.75" customHeight="1" x14ac:dyDescent="0.25"/>
    <row r="8363" ht="15.75" customHeight="1" x14ac:dyDescent="0.25"/>
    <row r="8364" ht="15.75" customHeight="1" x14ac:dyDescent="0.25"/>
    <row r="8365" ht="15.75" customHeight="1" x14ac:dyDescent="0.25"/>
    <row r="8366" ht="15.75" customHeight="1" x14ac:dyDescent="0.25"/>
    <row r="8367" ht="15.75" customHeight="1" x14ac:dyDescent="0.25"/>
    <row r="8368" ht="15.75" customHeight="1" x14ac:dyDescent="0.25"/>
    <row r="8369" ht="15.75" customHeight="1" x14ac:dyDescent="0.25"/>
    <row r="8370" ht="15.75" customHeight="1" x14ac:dyDescent="0.25"/>
    <row r="8371" ht="15.75" customHeight="1" x14ac:dyDescent="0.25"/>
    <row r="8372" ht="15.75" customHeight="1" x14ac:dyDescent="0.25"/>
    <row r="8373" ht="15.75" customHeight="1" x14ac:dyDescent="0.25"/>
    <row r="8374" ht="15.75" customHeight="1" x14ac:dyDescent="0.25"/>
    <row r="8375" ht="15.75" customHeight="1" x14ac:dyDescent="0.25"/>
    <row r="8376" ht="15.75" customHeight="1" x14ac:dyDescent="0.25"/>
    <row r="8377" ht="15.75" customHeight="1" x14ac:dyDescent="0.25"/>
    <row r="8378" ht="15.75" customHeight="1" x14ac:dyDescent="0.25"/>
    <row r="8379" ht="15.75" customHeight="1" x14ac:dyDescent="0.25"/>
    <row r="8380" ht="15.75" customHeight="1" x14ac:dyDescent="0.25"/>
    <row r="8381" ht="15.75" customHeight="1" x14ac:dyDescent="0.25"/>
    <row r="8382" ht="15.75" customHeight="1" x14ac:dyDescent="0.25"/>
    <row r="8383" ht="15.75" customHeight="1" x14ac:dyDescent="0.25"/>
    <row r="8384" ht="15.75" customHeight="1" x14ac:dyDescent="0.25"/>
    <row r="8385" ht="15.75" customHeight="1" x14ac:dyDescent="0.25"/>
    <row r="8386" ht="15.75" customHeight="1" x14ac:dyDescent="0.25"/>
    <row r="8387" ht="15.75" customHeight="1" x14ac:dyDescent="0.25"/>
    <row r="8388" ht="15.75" customHeight="1" x14ac:dyDescent="0.25"/>
    <row r="8389" ht="15.75" customHeight="1" x14ac:dyDescent="0.25"/>
    <row r="8390" ht="15.75" customHeight="1" x14ac:dyDescent="0.25"/>
    <row r="8391" ht="15.75" customHeight="1" x14ac:dyDescent="0.25"/>
    <row r="8392" ht="15.75" customHeight="1" x14ac:dyDescent="0.25"/>
    <row r="8393" ht="15.75" customHeight="1" x14ac:dyDescent="0.25"/>
    <row r="8394" ht="15.75" customHeight="1" x14ac:dyDescent="0.25"/>
    <row r="8395" ht="15.75" customHeight="1" x14ac:dyDescent="0.25"/>
    <row r="8396" ht="15.75" customHeight="1" x14ac:dyDescent="0.25"/>
    <row r="8397" ht="15.75" customHeight="1" x14ac:dyDescent="0.25"/>
    <row r="8398" ht="15.75" customHeight="1" x14ac:dyDescent="0.25"/>
    <row r="8399" ht="15.75" customHeight="1" x14ac:dyDescent="0.25"/>
    <row r="8400" ht="15.75" customHeight="1" x14ac:dyDescent="0.25"/>
    <row r="8401" ht="15.75" customHeight="1" x14ac:dyDescent="0.25"/>
    <row r="8402" ht="15.75" customHeight="1" x14ac:dyDescent="0.25"/>
    <row r="8403" ht="15.75" customHeight="1" x14ac:dyDescent="0.25"/>
    <row r="8404" ht="15.75" customHeight="1" x14ac:dyDescent="0.25"/>
    <row r="8405" ht="15.75" customHeight="1" x14ac:dyDescent="0.25"/>
    <row r="8406" ht="15.75" customHeight="1" x14ac:dyDescent="0.25"/>
    <row r="8407" ht="15.75" customHeight="1" x14ac:dyDescent="0.25"/>
    <row r="8408" ht="15.75" customHeight="1" x14ac:dyDescent="0.25"/>
    <row r="8409" ht="15.75" customHeight="1" x14ac:dyDescent="0.25"/>
    <row r="8410" ht="15.75" customHeight="1" x14ac:dyDescent="0.25"/>
    <row r="8411" ht="15.75" customHeight="1" x14ac:dyDescent="0.25"/>
    <row r="8412" ht="15.75" customHeight="1" x14ac:dyDescent="0.25"/>
    <row r="8413" ht="15.75" customHeight="1" x14ac:dyDescent="0.25"/>
    <row r="8414" ht="15.75" customHeight="1" x14ac:dyDescent="0.25"/>
    <row r="8415" ht="15.75" customHeight="1" x14ac:dyDescent="0.25"/>
    <row r="8416" ht="15.75" customHeight="1" x14ac:dyDescent="0.25"/>
    <row r="8417" ht="15.75" customHeight="1" x14ac:dyDescent="0.25"/>
    <row r="8418" ht="15.75" customHeight="1" x14ac:dyDescent="0.25"/>
    <row r="8419" ht="15.75" customHeight="1" x14ac:dyDescent="0.25"/>
    <row r="8420" ht="15.75" customHeight="1" x14ac:dyDescent="0.25"/>
    <row r="8421" ht="15.75" customHeight="1" x14ac:dyDescent="0.25"/>
    <row r="8422" ht="15.75" customHeight="1" x14ac:dyDescent="0.25"/>
    <row r="8423" ht="15.75" customHeight="1" x14ac:dyDescent="0.25"/>
    <row r="8424" ht="15.75" customHeight="1" x14ac:dyDescent="0.25"/>
    <row r="8425" ht="15.75" customHeight="1" x14ac:dyDescent="0.25"/>
    <row r="8426" ht="15.75" customHeight="1" x14ac:dyDescent="0.25"/>
    <row r="8427" ht="15.75" customHeight="1" x14ac:dyDescent="0.25"/>
    <row r="8428" ht="15.75" customHeight="1" x14ac:dyDescent="0.25"/>
    <row r="8429" ht="15.75" customHeight="1" x14ac:dyDescent="0.25"/>
    <row r="8430" ht="15.75" customHeight="1" x14ac:dyDescent="0.25"/>
    <row r="8431" ht="15.75" customHeight="1" x14ac:dyDescent="0.25"/>
    <row r="8432" ht="15.75" customHeight="1" x14ac:dyDescent="0.25"/>
    <row r="8433" ht="15.75" customHeight="1" x14ac:dyDescent="0.25"/>
    <row r="8434" ht="15.75" customHeight="1" x14ac:dyDescent="0.25"/>
    <row r="8435" ht="15.75" customHeight="1" x14ac:dyDescent="0.25"/>
    <row r="8436" ht="15.75" customHeight="1" x14ac:dyDescent="0.25"/>
    <row r="8437" ht="15.75" customHeight="1" x14ac:dyDescent="0.25"/>
    <row r="8438" ht="15.75" customHeight="1" x14ac:dyDescent="0.25"/>
    <row r="8439" ht="15.75" customHeight="1" x14ac:dyDescent="0.25"/>
    <row r="8440" ht="15.75" customHeight="1" x14ac:dyDescent="0.25"/>
    <row r="8441" ht="15.75" customHeight="1" x14ac:dyDescent="0.25"/>
    <row r="8442" ht="15.75" customHeight="1" x14ac:dyDescent="0.25"/>
    <row r="8443" ht="15.75" customHeight="1" x14ac:dyDescent="0.25"/>
    <row r="8444" ht="15.75" customHeight="1" x14ac:dyDescent="0.25"/>
    <row r="8445" ht="15.75" customHeight="1" x14ac:dyDescent="0.25"/>
    <row r="8446" ht="15.75" customHeight="1" x14ac:dyDescent="0.25"/>
    <row r="8447" ht="15.75" customHeight="1" x14ac:dyDescent="0.25"/>
    <row r="8448" ht="15.75" customHeight="1" x14ac:dyDescent="0.25"/>
    <row r="8449" ht="15.75" customHeight="1" x14ac:dyDescent="0.25"/>
    <row r="8450" ht="15.75" customHeight="1" x14ac:dyDescent="0.25"/>
    <row r="8451" ht="15.75" customHeight="1" x14ac:dyDescent="0.25"/>
    <row r="8452" ht="15.75" customHeight="1" x14ac:dyDescent="0.25"/>
    <row r="8453" ht="15.75" customHeight="1" x14ac:dyDescent="0.25"/>
    <row r="8454" ht="15.75" customHeight="1" x14ac:dyDescent="0.25"/>
    <row r="8455" ht="15.75" customHeight="1" x14ac:dyDescent="0.25"/>
    <row r="8456" ht="15.75" customHeight="1" x14ac:dyDescent="0.25"/>
    <row r="8457" ht="15.75" customHeight="1" x14ac:dyDescent="0.25"/>
    <row r="8458" ht="15.75" customHeight="1" x14ac:dyDescent="0.25"/>
    <row r="8459" ht="15.75" customHeight="1" x14ac:dyDescent="0.25"/>
    <row r="8460" ht="15.75" customHeight="1" x14ac:dyDescent="0.25"/>
    <row r="8461" ht="15.75" customHeight="1" x14ac:dyDescent="0.25"/>
    <row r="8462" ht="15.75" customHeight="1" x14ac:dyDescent="0.25"/>
    <row r="8463" ht="15.75" customHeight="1" x14ac:dyDescent="0.25"/>
    <row r="8464" ht="15.75" customHeight="1" x14ac:dyDescent="0.25"/>
    <row r="8465" ht="15.75" customHeight="1" x14ac:dyDescent="0.25"/>
    <row r="8466" ht="15.75" customHeight="1" x14ac:dyDescent="0.25"/>
    <row r="8467" ht="15.75" customHeight="1" x14ac:dyDescent="0.25"/>
    <row r="8468" ht="15.75" customHeight="1" x14ac:dyDescent="0.25"/>
    <row r="8469" ht="15.75" customHeight="1" x14ac:dyDescent="0.25"/>
    <row r="8470" ht="15.75" customHeight="1" x14ac:dyDescent="0.25"/>
    <row r="8471" ht="15.75" customHeight="1" x14ac:dyDescent="0.25"/>
    <row r="8472" ht="15.75" customHeight="1" x14ac:dyDescent="0.25"/>
    <row r="8473" ht="15.75" customHeight="1" x14ac:dyDescent="0.25"/>
    <row r="8474" ht="15.75" customHeight="1" x14ac:dyDescent="0.25"/>
    <row r="8475" ht="15.75" customHeight="1" x14ac:dyDescent="0.25"/>
    <row r="8476" ht="15.75" customHeight="1" x14ac:dyDescent="0.25"/>
    <row r="8477" ht="15.75" customHeight="1" x14ac:dyDescent="0.25"/>
    <row r="8478" ht="15.75" customHeight="1" x14ac:dyDescent="0.25"/>
    <row r="8479" ht="15.75" customHeight="1" x14ac:dyDescent="0.25"/>
    <row r="8480" ht="15.75" customHeight="1" x14ac:dyDescent="0.25"/>
    <row r="8481" ht="15.75" customHeight="1" x14ac:dyDescent="0.25"/>
    <row r="8482" ht="15.75" customHeight="1" x14ac:dyDescent="0.25"/>
    <row r="8483" ht="15.75" customHeight="1" x14ac:dyDescent="0.25"/>
    <row r="8484" ht="15.75" customHeight="1" x14ac:dyDescent="0.25"/>
    <row r="8485" ht="15.75" customHeight="1" x14ac:dyDescent="0.25"/>
    <row r="8486" ht="15.75" customHeight="1" x14ac:dyDescent="0.25"/>
    <row r="8487" ht="15.75" customHeight="1" x14ac:dyDescent="0.25"/>
    <row r="8488" ht="15.75" customHeight="1" x14ac:dyDescent="0.25"/>
    <row r="8489" ht="15.75" customHeight="1" x14ac:dyDescent="0.25"/>
    <row r="8490" ht="15.75" customHeight="1" x14ac:dyDescent="0.25"/>
    <row r="8491" ht="15.75" customHeight="1" x14ac:dyDescent="0.25"/>
    <row r="8492" ht="15.75" customHeight="1" x14ac:dyDescent="0.25"/>
    <row r="8493" ht="15.75" customHeight="1" x14ac:dyDescent="0.25"/>
    <row r="8494" ht="15.75" customHeight="1" x14ac:dyDescent="0.25"/>
    <row r="8495" ht="15.75" customHeight="1" x14ac:dyDescent="0.25"/>
    <row r="8496" ht="15.75" customHeight="1" x14ac:dyDescent="0.25"/>
    <row r="8497" ht="15.75" customHeight="1" x14ac:dyDescent="0.25"/>
    <row r="8498" ht="15.75" customHeight="1" x14ac:dyDescent="0.25"/>
    <row r="8499" ht="15.75" customHeight="1" x14ac:dyDescent="0.25"/>
    <row r="8500" ht="15.75" customHeight="1" x14ac:dyDescent="0.25"/>
    <row r="8501" ht="15.75" customHeight="1" x14ac:dyDescent="0.25"/>
    <row r="8502" ht="15.75" customHeight="1" x14ac:dyDescent="0.25"/>
    <row r="8503" ht="15.75" customHeight="1" x14ac:dyDescent="0.25"/>
    <row r="8504" ht="15.75" customHeight="1" x14ac:dyDescent="0.25"/>
    <row r="8505" ht="15.75" customHeight="1" x14ac:dyDescent="0.25"/>
    <row r="8506" ht="15.75" customHeight="1" x14ac:dyDescent="0.25"/>
    <row r="8507" ht="15.75" customHeight="1" x14ac:dyDescent="0.25"/>
    <row r="8508" ht="15.75" customHeight="1" x14ac:dyDescent="0.25"/>
    <row r="8509" ht="15.75" customHeight="1" x14ac:dyDescent="0.25"/>
    <row r="8510" ht="15.75" customHeight="1" x14ac:dyDescent="0.25"/>
    <row r="8511" ht="15.75" customHeight="1" x14ac:dyDescent="0.25"/>
    <row r="8512" ht="15.75" customHeight="1" x14ac:dyDescent="0.25"/>
    <row r="8513" ht="15.75" customHeight="1" x14ac:dyDescent="0.25"/>
    <row r="8514" ht="15.75" customHeight="1" x14ac:dyDescent="0.25"/>
    <row r="8515" ht="15.75" customHeight="1" x14ac:dyDescent="0.25"/>
    <row r="8516" ht="15.75" customHeight="1" x14ac:dyDescent="0.25"/>
    <row r="8517" ht="15.75" customHeight="1" x14ac:dyDescent="0.25"/>
    <row r="8518" ht="15.75" customHeight="1" x14ac:dyDescent="0.25"/>
    <row r="8519" ht="15.75" customHeight="1" x14ac:dyDescent="0.25"/>
    <row r="8520" ht="15.75" customHeight="1" x14ac:dyDescent="0.25"/>
    <row r="8521" ht="15.75" customHeight="1" x14ac:dyDescent="0.25"/>
    <row r="8522" ht="15.75" customHeight="1" x14ac:dyDescent="0.25"/>
    <row r="8523" ht="15.75" customHeight="1" x14ac:dyDescent="0.25"/>
    <row r="8524" ht="15.75" customHeight="1" x14ac:dyDescent="0.25"/>
    <row r="8525" ht="15.75" customHeight="1" x14ac:dyDescent="0.25"/>
    <row r="8526" ht="15.75" customHeight="1" x14ac:dyDescent="0.25"/>
    <row r="8527" ht="15.75" customHeight="1" x14ac:dyDescent="0.25"/>
    <row r="8528" ht="15.75" customHeight="1" x14ac:dyDescent="0.25"/>
    <row r="8529" ht="15.75" customHeight="1" x14ac:dyDescent="0.25"/>
    <row r="8530" ht="15.75" customHeight="1" x14ac:dyDescent="0.25"/>
    <row r="8531" ht="15.75" customHeight="1" x14ac:dyDescent="0.25"/>
    <row r="8532" ht="15.75" customHeight="1" x14ac:dyDescent="0.25"/>
    <row r="8533" ht="15.75" customHeight="1" x14ac:dyDescent="0.25"/>
    <row r="8534" ht="15.75" customHeight="1" x14ac:dyDescent="0.25"/>
    <row r="8535" ht="15.75" customHeight="1" x14ac:dyDescent="0.25"/>
    <row r="8536" ht="15.75" customHeight="1" x14ac:dyDescent="0.25"/>
    <row r="8537" ht="15.75" customHeight="1" x14ac:dyDescent="0.25"/>
    <row r="8538" ht="15.75" customHeight="1" x14ac:dyDescent="0.25"/>
    <row r="8539" ht="15.75" customHeight="1" x14ac:dyDescent="0.25"/>
    <row r="8540" ht="15.75" customHeight="1" x14ac:dyDescent="0.25"/>
    <row r="8541" ht="15.75" customHeight="1" x14ac:dyDescent="0.25"/>
    <row r="8542" ht="15.75" customHeight="1" x14ac:dyDescent="0.25"/>
    <row r="8543" ht="15.75" customHeight="1" x14ac:dyDescent="0.25"/>
    <row r="8544" ht="15.75" customHeight="1" x14ac:dyDescent="0.25"/>
    <row r="8545" ht="15.75" customHeight="1" x14ac:dyDescent="0.25"/>
    <row r="8546" ht="15.75" customHeight="1" x14ac:dyDescent="0.25"/>
    <row r="8547" ht="15.75" customHeight="1" x14ac:dyDescent="0.25"/>
    <row r="8548" ht="15.75" customHeight="1" x14ac:dyDescent="0.25"/>
    <row r="8549" ht="15.75" customHeight="1" x14ac:dyDescent="0.25"/>
    <row r="8550" ht="15.75" customHeight="1" x14ac:dyDescent="0.25"/>
    <row r="8551" ht="15.75" customHeight="1" x14ac:dyDescent="0.25"/>
    <row r="8552" ht="15.75" customHeight="1" x14ac:dyDescent="0.25"/>
    <row r="8553" ht="15.75" customHeight="1" x14ac:dyDescent="0.25"/>
    <row r="8554" ht="15.75" customHeight="1" x14ac:dyDescent="0.25"/>
    <row r="8555" ht="15.75" customHeight="1" x14ac:dyDescent="0.25"/>
    <row r="8556" ht="15.75" customHeight="1" x14ac:dyDescent="0.25"/>
    <row r="8557" ht="15.75" customHeight="1" x14ac:dyDescent="0.25"/>
    <row r="8558" ht="15.75" customHeight="1" x14ac:dyDescent="0.25"/>
    <row r="8559" ht="15.75" customHeight="1" x14ac:dyDescent="0.25"/>
    <row r="8560" ht="15.75" customHeight="1" x14ac:dyDescent="0.25"/>
    <row r="8561" ht="15.75" customHeight="1" x14ac:dyDescent="0.25"/>
    <row r="8562" ht="15.75" customHeight="1" x14ac:dyDescent="0.25"/>
    <row r="8563" ht="15.75" customHeight="1" x14ac:dyDescent="0.25"/>
    <row r="8564" ht="15.75" customHeight="1" x14ac:dyDescent="0.25"/>
    <row r="8565" ht="15.75" customHeight="1" x14ac:dyDescent="0.25"/>
    <row r="8566" ht="15.75" customHeight="1" x14ac:dyDescent="0.25"/>
    <row r="8567" ht="15.75" customHeight="1" x14ac:dyDescent="0.25"/>
    <row r="8568" ht="15.75" customHeight="1" x14ac:dyDescent="0.25"/>
    <row r="8569" ht="15.75" customHeight="1" x14ac:dyDescent="0.25"/>
    <row r="8570" ht="15.75" customHeight="1" x14ac:dyDescent="0.25"/>
    <row r="8571" ht="15.75" customHeight="1" x14ac:dyDescent="0.25"/>
    <row r="8572" ht="15.75" customHeight="1" x14ac:dyDescent="0.25"/>
    <row r="8573" ht="15.75" customHeight="1" x14ac:dyDescent="0.25"/>
    <row r="8574" ht="15.75" customHeight="1" x14ac:dyDescent="0.25"/>
    <row r="8575" ht="15.75" customHeight="1" x14ac:dyDescent="0.25"/>
    <row r="8576" ht="15.75" customHeight="1" x14ac:dyDescent="0.25"/>
    <row r="8577" ht="15.75" customHeight="1" x14ac:dyDescent="0.25"/>
    <row r="8578" ht="15.75" customHeight="1" x14ac:dyDescent="0.25"/>
    <row r="8579" ht="15.75" customHeight="1" x14ac:dyDescent="0.25"/>
    <row r="8580" ht="15.75" customHeight="1" x14ac:dyDescent="0.25"/>
    <row r="8581" ht="15.75" customHeight="1" x14ac:dyDescent="0.25"/>
    <row r="8582" ht="15.75" customHeight="1" x14ac:dyDescent="0.25"/>
    <row r="8583" ht="15.75" customHeight="1" x14ac:dyDescent="0.25"/>
    <row r="8584" ht="15.75" customHeight="1" x14ac:dyDescent="0.25"/>
    <row r="8585" ht="15.75" customHeight="1" x14ac:dyDescent="0.25"/>
    <row r="8586" ht="15.75" customHeight="1" x14ac:dyDescent="0.25"/>
    <row r="8587" ht="15.75" customHeight="1" x14ac:dyDescent="0.25"/>
    <row r="8588" ht="15.75" customHeight="1" x14ac:dyDescent="0.25"/>
    <row r="8589" ht="15.75" customHeight="1" x14ac:dyDescent="0.25"/>
    <row r="8590" ht="15.75" customHeight="1" x14ac:dyDescent="0.25"/>
    <row r="8591" ht="15.75" customHeight="1" x14ac:dyDescent="0.25"/>
    <row r="8592" ht="15.75" customHeight="1" x14ac:dyDescent="0.25"/>
    <row r="8593" ht="15.75" customHeight="1" x14ac:dyDescent="0.25"/>
    <row r="8594" ht="15.75" customHeight="1" x14ac:dyDescent="0.25"/>
    <row r="8595" ht="15.75" customHeight="1" x14ac:dyDescent="0.25"/>
    <row r="8596" ht="15.75" customHeight="1" x14ac:dyDescent="0.25"/>
    <row r="8597" ht="15.75" customHeight="1" x14ac:dyDescent="0.25"/>
    <row r="8598" ht="15.75" customHeight="1" x14ac:dyDescent="0.25"/>
    <row r="8599" ht="15.75" customHeight="1" x14ac:dyDescent="0.25"/>
    <row r="8600" ht="15.75" customHeight="1" x14ac:dyDescent="0.25"/>
    <row r="8601" ht="15.75" customHeight="1" x14ac:dyDescent="0.25"/>
    <row r="8602" ht="15.75" customHeight="1" x14ac:dyDescent="0.25"/>
    <row r="8603" ht="15.75" customHeight="1" x14ac:dyDescent="0.25"/>
    <row r="8604" ht="15.75" customHeight="1" x14ac:dyDescent="0.25"/>
    <row r="8605" ht="15.75" customHeight="1" x14ac:dyDescent="0.25"/>
    <row r="8606" ht="15.75" customHeight="1" x14ac:dyDescent="0.25"/>
    <row r="8607" ht="15.75" customHeight="1" x14ac:dyDescent="0.25"/>
    <row r="8608" ht="15.75" customHeight="1" x14ac:dyDescent="0.25"/>
    <row r="8609" ht="15.75" customHeight="1" x14ac:dyDescent="0.25"/>
    <row r="8610" ht="15.75" customHeight="1" x14ac:dyDescent="0.25"/>
    <row r="8611" ht="15.75" customHeight="1" x14ac:dyDescent="0.25"/>
    <row r="8612" ht="15.75" customHeight="1" x14ac:dyDescent="0.25"/>
    <row r="8613" ht="15.75" customHeight="1" x14ac:dyDescent="0.25"/>
    <row r="8614" ht="15.75" customHeight="1" x14ac:dyDescent="0.25"/>
    <row r="8615" ht="15.75" customHeight="1" x14ac:dyDescent="0.25"/>
    <row r="8616" ht="15.75" customHeight="1" x14ac:dyDescent="0.25"/>
    <row r="8617" ht="15.75" customHeight="1" x14ac:dyDescent="0.25"/>
    <row r="8618" ht="15.75" customHeight="1" x14ac:dyDescent="0.25"/>
    <row r="8619" ht="15.75" customHeight="1" x14ac:dyDescent="0.25"/>
    <row r="8620" ht="15.75" customHeight="1" x14ac:dyDescent="0.25"/>
    <row r="8621" ht="15.75" customHeight="1" x14ac:dyDescent="0.25"/>
    <row r="8622" ht="15.75" customHeight="1" x14ac:dyDescent="0.25"/>
    <row r="8623" ht="15.75" customHeight="1" x14ac:dyDescent="0.25"/>
    <row r="8624" ht="15.75" customHeight="1" x14ac:dyDescent="0.25"/>
    <row r="8625" ht="15.75" customHeight="1" x14ac:dyDescent="0.25"/>
    <row r="8626" ht="15.75" customHeight="1" x14ac:dyDescent="0.25"/>
    <row r="8627" ht="15.75" customHeight="1" x14ac:dyDescent="0.25"/>
    <row r="8628" ht="15.75" customHeight="1" x14ac:dyDescent="0.25"/>
    <row r="8629" ht="15.75" customHeight="1" x14ac:dyDescent="0.25"/>
    <row r="8630" ht="15.75" customHeight="1" x14ac:dyDescent="0.25"/>
    <row r="8631" ht="15.75" customHeight="1" x14ac:dyDescent="0.25"/>
    <row r="8632" ht="15.75" customHeight="1" x14ac:dyDescent="0.25"/>
    <row r="8633" ht="15.75" customHeight="1" x14ac:dyDescent="0.25"/>
    <row r="8634" ht="15.75" customHeight="1" x14ac:dyDescent="0.25"/>
    <row r="8635" ht="15.75" customHeight="1" x14ac:dyDescent="0.25"/>
    <row r="8636" ht="15.75" customHeight="1" x14ac:dyDescent="0.25"/>
    <row r="8637" ht="15.75" customHeight="1" x14ac:dyDescent="0.25"/>
    <row r="8638" ht="15.75" customHeight="1" x14ac:dyDescent="0.25"/>
    <row r="8639" ht="15.75" customHeight="1" x14ac:dyDescent="0.25"/>
    <row r="8640" ht="15.75" customHeight="1" x14ac:dyDescent="0.25"/>
    <row r="8641" ht="15.75" customHeight="1" x14ac:dyDescent="0.25"/>
    <row r="8642" ht="15.75" customHeight="1" x14ac:dyDescent="0.25"/>
    <row r="8643" ht="15.75" customHeight="1" x14ac:dyDescent="0.25"/>
    <row r="8644" ht="15.75" customHeight="1" x14ac:dyDescent="0.25"/>
    <row r="8645" ht="15.75" customHeight="1" x14ac:dyDescent="0.25"/>
    <row r="8646" ht="15.75" customHeight="1" x14ac:dyDescent="0.25"/>
    <row r="8647" ht="15.75" customHeight="1" x14ac:dyDescent="0.25"/>
    <row r="8648" ht="15.75" customHeight="1" x14ac:dyDescent="0.25"/>
    <row r="8649" ht="15.75" customHeight="1" x14ac:dyDescent="0.25"/>
    <row r="8650" ht="15.75" customHeight="1" x14ac:dyDescent="0.25"/>
    <row r="8651" ht="15.75" customHeight="1" x14ac:dyDescent="0.25"/>
    <row r="8652" ht="15.75" customHeight="1" x14ac:dyDescent="0.25"/>
    <row r="8653" ht="15.75" customHeight="1" x14ac:dyDescent="0.25"/>
    <row r="8654" ht="15.75" customHeight="1" x14ac:dyDescent="0.25"/>
    <row r="8655" ht="15.75" customHeight="1" x14ac:dyDescent="0.25"/>
    <row r="8656" ht="15.75" customHeight="1" x14ac:dyDescent="0.25"/>
    <row r="8657" ht="15.75" customHeight="1" x14ac:dyDescent="0.25"/>
    <row r="8658" ht="15.75" customHeight="1" x14ac:dyDescent="0.25"/>
    <row r="8659" ht="15.75" customHeight="1" x14ac:dyDescent="0.25"/>
    <row r="8660" ht="15.75" customHeight="1" x14ac:dyDescent="0.25"/>
    <row r="8661" ht="15.75" customHeight="1" x14ac:dyDescent="0.25"/>
    <row r="8662" ht="15.75" customHeight="1" x14ac:dyDescent="0.25"/>
    <row r="8663" ht="15.75" customHeight="1" x14ac:dyDescent="0.25"/>
    <row r="8664" ht="15.75" customHeight="1" x14ac:dyDescent="0.25"/>
    <row r="8665" ht="15.75" customHeight="1" x14ac:dyDescent="0.25"/>
    <row r="8666" ht="15.75" customHeight="1" x14ac:dyDescent="0.25"/>
    <row r="8667" ht="15.75" customHeight="1" x14ac:dyDescent="0.25"/>
    <row r="8668" ht="15.75" customHeight="1" x14ac:dyDescent="0.25"/>
    <row r="8669" ht="15.75" customHeight="1" x14ac:dyDescent="0.25"/>
    <row r="8670" ht="15.75" customHeight="1" x14ac:dyDescent="0.25"/>
    <row r="8671" ht="15.75" customHeight="1" x14ac:dyDescent="0.25"/>
    <row r="8672" ht="15.75" customHeight="1" x14ac:dyDescent="0.25"/>
    <row r="8673" ht="15.75" customHeight="1" x14ac:dyDescent="0.25"/>
    <row r="8674" ht="15.75" customHeight="1" x14ac:dyDescent="0.25"/>
    <row r="8675" ht="15.75" customHeight="1" x14ac:dyDescent="0.25"/>
    <row r="8676" ht="15.75" customHeight="1" x14ac:dyDescent="0.25"/>
    <row r="8677" ht="15.75" customHeight="1" x14ac:dyDescent="0.25"/>
    <row r="8678" ht="15.75" customHeight="1" x14ac:dyDescent="0.25"/>
    <row r="8679" ht="15.75" customHeight="1" x14ac:dyDescent="0.25"/>
    <row r="8680" ht="15.75" customHeight="1" x14ac:dyDescent="0.25"/>
    <row r="8681" ht="15.75" customHeight="1" x14ac:dyDescent="0.25"/>
    <row r="8682" ht="15.75" customHeight="1" x14ac:dyDescent="0.25"/>
    <row r="8683" ht="15.75" customHeight="1" x14ac:dyDescent="0.25"/>
    <row r="8684" ht="15.75" customHeight="1" x14ac:dyDescent="0.25"/>
    <row r="8685" ht="15.75" customHeight="1" x14ac:dyDescent="0.25"/>
    <row r="8686" ht="15.75" customHeight="1" x14ac:dyDescent="0.25"/>
    <row r="8687" ht="15.75" customHeight="1" x14ac:dyDescent="0.25"/>
    <row r="8688" ht="15.75" customHeight="1" x14ac:dyDescent="0.25"/>
    <row r="8689" ht="15.75" customHeight="1" x14ac:dyDescent="0.25"/>
    <row r="8690" ht="15.75" customHeight="1" x14ac:dyDescent="0.25"/>
    <row r="8691" ht="15.75" customHeight="1" x14ac:dyDescent="0.25"/>
    <row r="8692" ht="15.75" customHeight="1" x14ac:dyDescent="0.25"/>
    <row r="8693" ht="15.75" customHeight="1" x14ac:dyDescent="0.25"/>
    <row r="8694" ht="15.75" customHeight="1" x14ac:dyDescent="0.25"/>
    <row r="8695" ht="15.75" customHeight="1" x14ac:dyDescent="0.25"/>
    <row r="8696" ht="15.75" customHeight="1" x14ac:dyDescent="0.25"/>
    <row r="8697" ht="15.75" customHeight="1" x14ac:dyDescent="0.25"/>
    <row r="8698" ht="15.75" customHeight="1" x14ac:dyDescent="0.25"/>
    <row r="8699" ht="15.75" customHeight="1" x14ac:dyDescent="0.25"/>
    <row r="8700" ht="15.75" customHeight="1" x14ac:dyDescent="0.25"/>
    <row r="8701" ht="15.75" customHeight="1" x14ac:dyDescent="0.25"/>
    <row r="8702" ht="15.75" customHeight="1" x14ac:dyDescent="0.25"/>
    <row r="8703" ht="15.75" customHeight="1" x14ac:dyDescent="0.25"/>
    <row r="8704" ht="15.75" customHeight="1" x14ac:dyDescent="0.25"/>
    <row r="8705" ht="15.75" customHeight="1" x14ac:dyDescent="0.25"/>
    <row r="8706" ht="15.75" customHeight="1" x14ac:dyDescent="0.25"/>
    <row r="8707" ht="15.75" customHeight="1" x14ac:dyDescent="0.25"/>
    <row r="8708" ht="15.75" customHeight="1" x14ac:dyDescent="0.25"/>
    <row r="8709" ht="15.75" customHeight="1" x14ac:dyDescent="0.25"/>
    <row r="8710" ht="15.75" customHeight="1" x14ac:dyDescent="0.25"/>
    <row r="8711" ht="15.75" customHeight="1" x14ac:dyDescent="0.25"/>
    <row r="8712" ht="15.75" customHeight="1" x14ac:dyDescent="0.25"/>
    <row r="8713" ht="15.75" customHeight="1" x14ac:dyDescent="0.25"/>
    <row r="8714" ht="15.75" customHeight="1" x14ac:dyDescent="0.25"/>
    <row r="8715" ht="15.75" customHeight="1" x14ac:dyDescent="0.25"/>
    <row r="8716" ht="15.75" customHeight="1" x14ac:dyDescent="0.25"/>
    <row r="8717" ht="15.75" customHeight="1" x14ac:dyDescent="0.25"/>
    <row r="8718" ht="15.75" customHeight="1" x14ac:dyDescent="0.25"/>
    <row r="8719" ht="15.75" customHeight="1" x14ac:dyDescent="0.25"/>
    <row r="8720" ht="15.75" customHeight="1" x14ac:dyDescent="0.25"/>
    <row r="8721" ht="15.75" customHeight="1" x14ac:dyDescent="0.25"/>
    <row r="8722" ht="15.75" customHeight="1" x14ac:dyDescent="0.25"/>
    <row r="8723" ht="15.75" customHeight="1" x14ac:dyDescent="0.25"/>
    <row r="8724" ht="15.75" customHeight="1" x14ac:dyDescent="0.25"/>
    <row r="8725" ht="15.75" customHeight="1" x14ac:dyDescent="0.25"/>
    <row r="8726" ht="15.75" customHeight="1" x14ac:dyDescent="0.25"/>
    <row r="8727" ht="15.75" customHeight="1" x14ac:dyDescent="0.25"/>
    <row r="8728" ht="15.75" customHeight="1" x14ac:dyDescent="0.25"/>
    <row r="8729" ht="15.75" customHeight="1" x14ac:dyDescent="0.25"/>
    <row r="8730" ht="15.75" customHeight="1" x14ac:dyDescent="0.25"/>
    <row r="8731" ht="15.75" customHeight="1" x14ac:dyDescent="0.25"/>
    <row r="8732" ht="15.75" customHeight="1" x14ac:dyDescent="0.25"/>
    <row r="8733" ht="15.75" customHeight="1" x14ac:dyDescent="0.25"/>
    <row r="8734" ht="15.75" customHeight="1" x14ac:dyDescent="0.25"/>
    <row r="8735" ht="15.75" customHeight="1" x14ac:dyDescent="0.25"/>
    <row r="8736" ht="15.75" customHeight="1" x14ac:dyDescent="0.25"/>
    <row r="8737" ht="15.75" customHeight="1" x14ac:dyDescent="0.25"/>
    <row r="8738" ht="15.75" customHeight="1" x14ac:dyDescent="0.25"/>
    <row r="8739" ht="15.75" customHeight="1" x14ac:dyDescent="0.25"/>
    <row r="8740" ht="15.75" customHeight="1" x14ac:dyDescent="0.25"/>
    <row r="8741" ht="15.75" customHeight="1" x14ac:dyDescent="0.25"/>
    <row r="8742" ht="15.75" customHeight="1" x14ac:dyDescent="0.25"/>
    <row r="8743" ht="15.75" customHeight="1" x14ac:dyDescent="0.25"/>
    <row r="8744" ht="15.75" customHeight="1" x14ac:dyDescent="0.25"/>
    <row r="8745" ht="15.75" customHeight="1" x14ac:dyDescent="0.25"/>
    <row r="8746" ht="15.75" customHeight="1" x14ac:dyDescent="0.25"/>
    <row r="8747" ht="15.75" customHeight="1" x14ac:dyDescent="0.25"/>
    <row r="8748" ht="15.75" customHeight="1" x14ac:dyDescent="0.25"/>
    <row r="8749" ht="15.75" customHeight="1" x14ac:dyDescent="0.25"/>
    <row r="8750" ht="15.75" customHeight="1" x14ac:dyDescent="0.25"/>
    <row r="8751" ht="15.75" customHeight="1" x14ac:dyDescent="0.25"/>
    <row r="8752" ht="15.75" customHeight="1" x14ac:dyDescent="0.25"/>
    <row r="8753" ht="15.75" customHeight="1" x14ac:dyDescent="0.25"/>
    <row r="8754" ht="15.75" customHeight="1" x14ac:dyDescent="0.25"/>
    <row r="8755" ht="15.75" customHeight="1" x14ac:dyDescent="0.25"/>
    <row r="8756" ht="15.75" customHeight="1" x14ac:dyDescent="0.25"/>
    <row r="8757" ht="15.75" customHeight="1" x14ac:dyDescent="0.25"/>
    <row r="8758" ht="15.75" customHeight="1" x14ac:dyDescent="0.25"/>
    <row r="8759" ht="15.75" customHeight="1" x14ac:dyDescent="0.25"/>
    <row r="8760" ht="15.75" customHeight="1" x14ac:dyDescent="0.25"/>
    <row r="8761" ht="15.75" customHeight="1" x14ac:dyDescent="0.25"/>
    <row r="8762" ht="15.75" customHeight="1" x14ac:dyDescent="0.25"/>
    <row r="8763" ht="15.75" customHeight="1" x14ac:dyDescent="0.25"/>
    <row r="8764" ht="15.75" customHeight="1" x14ac:dyDescent="0.25"/>
    <row r="8765" ht="15.75" customHeight="1" x14ac:dyDescent="0.25"/>
    <row r="8766" ht="15.75" customHeight="1" x14ac:dyDescent="0.25"/>
    <row r="8767" ht="15.75" customHeight="1" x14ac:dyDescent="0.25"/>
    <row r="8768" ht="15.75" customHeight="1" x14ac:dyDescent="0.25"/>
    <row r="8769" ht="15.75" customHeight="1" x14ac:dyDescent="0.25"/>
    <row r="8770" ht="15.75" customHeight="1" x14ac:dyDescent="0.25"/>
    <row r="8771" ht="15.75" customHeight="1" x14ac:dyDescent="0.25"/>
    <row r="8772" ht="15.75" customHeight="1" x14ac:dyDescent="0.25"/>
    <row r="8773" ht="15.75" customHeight="1" x14ac:dyDescent="0.25"/>
    <row r="8774" ht="15.75" customHeight="1" x14ac:dyDescent="0.25"/>
    <row r="8775" ht="15.75" customHeight="1" x14ac:dyDescent="0.25"/>
    <row r="8776" ht="15.75" customHeight="1" x14ac:dyDescent="0.25"/>
    <row r="8777" ht="15.75" customHeight="1" x14ac:dyDescent="0.25"/>
    <row r="8778" ht="15.75" customHeight="1" x14ac:dyDescent="0.25"/>
  </sheetData>
  <mergeCells count="2155">
    <mergeCell ref="B26:C26"/>
    <mergeCell ref="B27:C27"/>
    <mergeCell ref="B28:C28"/>
    <mergeCell ref="B29:C29"/>
    <mergeCell ref="B30:C30"/>
    <mergeCell ref="B31:C31"/>
    <mergeCell ref="B11:C11"/>
    <mergeCell ref="B12:C12"/>
    <mergeCell ref="B13:C13"/>
    <mergeCell ref="B6:C6"/>
    <mergeCell ref="B7:C7"/>
    <mergeCell ref="B8:C8"/>
    <mergeCell ref="B9:C9"/>
    <mergeCell ref="B10:C10"/>
    <mergeCell ref="B68:C68"/>
    <mergeCell ref="B69:C69"/>
    <mergeCell ref="B70:C70"/>
    <mergeCell ref="B14:C14"/>
    <mergeCell ref="A16:D16"/>
    <mergeCell ref="B20:C20"/>
    <mergeCell ref="B71:C71"/>
    <mergeCell ref="B72:C72"/>
    <mergeCell ref="B73:C73"/>
    <mergeCell ref="B53:C53"/>
    <mergeCell ref="B66:C66"/>
    <mergeCell ref="B67:C67"/>
    <mergeCell ref="B54:C54"/>
    <mergeCell ref="B47:C47"/>
    <mergeCell ref="B48:C48"/>
    <mergeCell ref="B49:C49"/>
    <mergeCell ref="B50:C50"/>
    <mergeCell ref="B51:C51"/>
    <mergeCell ref="B52:C52"/>
    <mergeCell ref="B32:C32"/>
    <mergeCell ref="B33:C33"/>
    <mergeCell ref="B46:C46"/>
    <mergeCell ref="B110:C110"/>
    <mergeCell ref="B74:C74"/>
    <mergeCell ref="A36:D36"/>
    <mergeCell ref="A56:D56"/>
    <mergeCell ref="B60:C60"/>
    <mergeCell ref="A76:D76"/>
    <mergeCell ref="B80:C80"/>
    <mergeCell ref="B40:C40"/>
    <mergeCell ref="B34:C34"/>
    <mergeCell ref="B111:C111"/>
    <mergeCell ref="B112:C112"/>
    <mergeCell ref="B113:C113"/>
    <mergeCell ref="B106:C106"/>
    <mergeCell ref="B107:C107"/>
    <mergeCell ref="B108:C108"/>
    <mergeCell ref="B109:C109"/>
    <mergeCell ref="B89:C89"/>
    <mergeCell ref="B90:C90"/>
    <mergeCell ref="B91:C91"/>
    <mergeCell ref="B92:C92"/>
    <mergeCell ref="B93:C93"/>
    <mergeCell ref="B94:C94"/>
    <mergeCell ref="B86:C86"/>
    <mergeCell ref="B87:C87"/>
    <mergeCell ref="B88:C88"/>
    <mergeCell ref="B152:C152"/>
    <mergeCell ref="A116:D116"/>
    <mergeCell ref="B120:C120"/>
    <mergeCell ref="A96:D96"/>
    <mergeCell ref="B100:C100"/>
    <mergeCell ref="B114:C114"/>
    <mergeCell ref="B153:C153"/>
    <mergeCell ref="B166:C166"/>
    <mergeCell ref="B160:C160"/>
    <mergeCell ref="B146:C146"/>
    <mergeCell ref="B147:C147"/>
    <mergeCell ref="B148:C148"/>
    <mergeCell ref="B149:C149"/>
    <mergeCell ref="B150:C150"/>
    <mergeCell ref="B151:C151"/>
    <mergeCell ref="B131:C131"/>
    <mergeCell ref="B132:C132"/>
    <mergeCell ref="B133:C133"/>
    <mergeCell ref="B140:C140"/>
    <mergeCell ref="B126:C126"/>
    <mergeCell ref="B127:C127"/>
    <mergeCell ref="B128:C128"/>
    <mergeCell ref="B129:C129"/>
    <mergeCell ref="B130:C130"/>
    <mergeCell ref="B154:C154"/>
    <mergeCell ref="A136:D136"/>
    <mergeCell ref="A156:D156"/>
    <mergeCell ref="B134:C134"/>
    <mergeCell ref="B200:C200"/>
    <mergeCell ref="B188:C188"/>
    <mergeCell ref="B189:C189"/>
    <mergeCell ref="B190:C190"/>
    <mergeCell ref="B191:C191"/>
    <mergeCell ref="B192:C192"/>
    <mergeCell ref="B193:C193"/>
    <mergeCell ref="B173:C173"/>
    <mergeCell ref="B186:C186"/>
    <mergeCell ref="B187:C187"/>
    <mergeCell ref="B174:C174"/>
    <mergeCell ref="B167:C167"/>
    <mergeCell ref="B168:C168"/>
    <mergeCell ref="B169:C169"/>
    <mergeCell ref="B170:C170"/>
    <mergeCell ref="B171:C171"/>
    <mergeCell ref="B172:C172"/>
    <mergeCell ref="B180:C180"/>
    <mergeCell ref="B194:C194"/>
    <mergeCell ref="A176:D176"/>
    <mergeCell ref="A196:D196"/>
    <mergeCell ref="B230:C230"/>
    <mergeCell ref="B231:C231"/>
    <mergeCell ref="B232:C232"/>
    <mergeCell ref="B233:C233"/>
    <mergeCell ref="B234:C234"/>
    <mergeCell ref="B226:C226"/>
    <mergeCell ref="B227:C227"/>
    <mergeCell ref="B228:C228"/>
    <mergeCell ref="B229:C229"/>
    <mergeCell ref="B209:C209"/>
    <mergeCell ref="B210:C210"/>
    <mergeCell ref="B211:C211"/>
    <mergeCell ref="B212:C212"/>
    <mergeCell ref="B213:C213"/>
    <mergeCell ref="B206:C206"/>
    <mergeCell ref="B207:C207"/>
    <mergeCell ref="B208:C208"/>
    <mergeCell ref="A216:D216"/>
    <mergeCell ref="B272:C272"/>
    <mergeCell ref="B273:C273"/>
    <mergeCell ref="B286:C286"/>
    <mergeCell ref="B266:C266"/>
    <mergeCell ref="B267:C267"/>
    <mergeCell ref="B268:C268"/>
    <mergeCell ref="B269:C269"/>
    <mergeCell ref="B270:C270"/>
    <mergeCell ref="B271:C271"/>
    <mergeCell ref="B251:C251"/>
    <mergeCell ref="B252:C252"/>
    <mergeCell ref="B253:C253"/>
    <mergeCell ref="B260:C260"/>
    <mergeCell ref="B246:C246"/>
    <mergeCell ref="B247:C247"/>
    <mergeCell ref="B248:C248"/>
    <mergeCell ref="B249:C249"/>
    <mergeCell ref="B250:C250"/>
    <mergeCell ref="B280:C280"/>
    <mergeCell ref="B328:C328"/>
    <mergeCell ref="B308:C308"/>
    <mergeCell ref="B309:C309"/>
    <mergeCell ref="B310:C310"/>
    <mergeCell ref="B311:C311"/>
    <mergeCell ref="B312:C312"/>
    <mergeCell ref="B313:C313"/>
    <mergeCell ref="B293:C293"/>
    <mergeCell ref="B306:C306"/>
    <mergeCell ref="B307:C307"/>
    <mergeCell ref="B300:C300"/>
    <mergeCell ref="B287:C287"/>
    <mergeCell ref="B288:C288"/>
    <mergeCell ref="B289:C289"/>
    <mergeCell ref="B290:C290"/>
    <mergeCell ref="B291:C291"/>
    <mergeCell ref="B292:C292"/>
    <mergeCell ref="B320:C320"/>
    <mergeCell ref="B314:C314"/>
    <mergeCell ref="B326:C326"/>
    <mergeCell ref="B327:C327"/>
    <mergeCell ref="B406:C406"/>
    <mergeCell ref="B386:C386"/>
    <mergeCell ref="B387:C387"/>
    <mergeCell ref="B388:C388"/>
    <mergeCell ref="B389:C389"/>
    <mergeCell ref="B390:C390"/>
    <mergeCell ref="B391:C391"/>
    <mergeCell ref="B371:C371"/>
    <mergeCell ref="B372:C372"/>
    <mergeCell ref="B373:C373"/>
    <mergeCell ref="B366:C366"/>
    <mergeCell ref="B367:C367"/>
    <mergeCell ref="B368:C368"/>
    <mergeCell ref="B369:C369"/>
    <mergeCell ref="B370:C370"/>
    <mergeCell ref="B350:C350"/>
    <mergeCell ref="B351:C351"/>
    <mergeCell ref="B352:C352"/>
    <mergeCell ref="B353:C353"/>
    <mergeCell ref="B400:C400"/>
    <mergeCell ref="B446:C446"/>
    <mergeCell ref="B447:C447"/>
    <mergeCell ref="B448:C448"/>
    <mergeCell ref="B428:C428"/>
    <mergeCell ref="B429:C429"/>
    <mergeCell ref="B430:C430"/>
    <mergeCell ref="B431:C431"/>
    <mergeCell ref="B432:C432"/>
    <mergeCell ref="B433:C433"/>
    <mergeCell ref="B413:C413"/>
    <mergeCell ref="B426:C426"/>
    <mergeCell ref="B427:C427"/>
    <mergeCell ref="B407:C407"/>
    <mergeCell ref="B408:C408"/>
    <mergeCell ref="B409:C409"/>
    <mergeCell ref="B410:C410"/>
    <mergeCell ref="B411:C411"/>
    <mergeCell ref="B412:C412"/>
    <mergeCell ref="B440:C440"/>
    <mergeCell ref="B414:C414"/>
    <mergeCell ref="A416:D416"/>
    <mergeCell ref="B420:C420"/>
    <mergeCell ref="B486:C486"/>
    <mergeCell ref="B487:C487"/>
    <mergeCell ref="B488:C488"/>
    <mergeCell ref="B489:C489"/>
    <mergeCell ref="B490:C490"/>
    <mergeCell ref="B470:C470"/>
    <mergeCell ref="B471:C471"/>
    <mergeCell ref="B472:C472"/>
    <mergeCell ref="B473:C473"/>
    <mergeCell ref="A476:D476"/>
    <mergeCell ref="B466:C466"/>
    <mergeCell ref="B467:C467"/>
    <mergeCell ref="B468:C468"/>
    <mergeCell ref="B469:C469"/>
    <mergeCell ref="B449:C449"/>
    <mergeCell ref="B450:C450"/>
    <mergeCell ref="B451:C451"/>
    <mergeCell ref="B452:C452"/>
    <mergeCell ref="B453:C453"/>
    <mergeCell ref="B454:C454"/>
    <mergeCell ref="B460:C460"/>
    <mergeCell ref="B474:C474"/>
    <mergeCell ref="A456:D456"/>
    <mergeCell ref="B480:C480"/>
    <mergeCell ref="B527:C527"/>
    <mergeCell ref="B528:C528"/>
    <mergeCell ref="B529:C529"/>
    <mergeCell ref="B530:C530"/>
    <mergeCell ref="B531:C531"/>
    <mergeCell ref="B532:C532"/>
    <mergeCell ref="B512:C512"/>
    <mergeCell ref="B513:C513"/>
    <mergeCell ref="B526:C526"/>
    <mergeCell ref="B506:C506"/>
    <mergeCell ref="B507:C507"/>
    <mergeCell ref="B508:C508"/>
    <mergeCell ref="B509:C509"/>
    <mergeCell ref="B510:C510"/>
    <mergeCell ref="B511:C511"/>
    <mergeCell ref="B491:C491"/>
    <mergeCell ref="B492:C492"/>
    <mergeCell ref="B493:C493"/>
    <mergeCell ref="B494:C494"/>
    <mergeCell ref="B514:C514"/>
    <mergeCell ref="A496:D496"/>
    <mergeCell ref="B500:C500"/>
    <mergeCell ref="A516:D516"/>
    <mergeCell ref="B520:C520"/>
    <mergeCell ref="B571:C571"/>
    <mergeCell ref="B572:C572"/>
    <mergeCell ref="B573:C573"/>
    <mergeCell ref="B574:C574"/>
    <mergeCell ref="B566:C566"/>
    <mergeCell ref="B567:C567"/>
    <mergeCell ref="B568:C568"/>
    <mergeCell ref="B560:C560"/>
    <mergeCell ref="B548:C548"/>
    <mergeCell ref="B549:C549"/>
    <mergeCell ref="B550:C550"/>
    <mergeCell ref="B551:C551"/>
    <mergeCell ref="B552:C552"/>
    <mergeCell ref="B553:C553"/>
    <mergeCell ref="B533:C533"/>
    <mergeCell ref="B546:C546"/>
    <mergeCell ref="B547:C547"/>
    <mergeCell ref="B534:C534"/>
    <mergeCell ref="B554:C554"/>
    <mergeCell ref="B540:C540"/>
    <mergeCell ref="A556:D556"/>
    <mergeCell ref="A536:D536"/>
    <mergeCell ref="B647:C647"/>
    <mergeCell ref="B648:C648"/>
    <mergeCell ref="B649:C649"/>
    <mergeCell ref="B650:C650"/>
    <mergeCell ref="B651:C651"/>
    <mergeCell ref="B652:C652"/>
    <mergeCell ref="B632:C632"/>
    <mergeCell ref="B633:C633"/>
    <mergeCell ref="B646:C646"/>
    <mergeCell ref="B640:C640"/>
    <mergeCell ref="B626:C626"/>
    <mergeCell ref="B627:C627"/>
    <mergeCell ref="B628:C628"/>
    <mergeCell ref="B629:C629"/>
    <mergeCell ref="B630:C630"/>
    <mergeCell ref="B631:C631"/>
    <mergeCell ref="B611:C611"/>
    <mergeCell ref="B612:C612"/>
    <mergeCell ref="B613:C613"/>
    <mergeCell ref="B620:C620"/>
    <mergeCell ref="A636:D636"/>
    <mergeCell ref="B689:C689"/>
    <mergeCell ref="B690:C690"/>
    <mergeCell ref="B691:C691"/>
    <mergeCell ref="B692:C692"/>
    <mergeCell ref="B693:C693"/>
    <mergeCell ref="B686:C686"/>
    <mergeCell ref="B687:C687"/>
    <mergeCell ref="B688:C688"/>
    <mergeCell ref="B680:C680"/>
    <mergeCell ref="B668:C668"/>
    <mergeCell ref="B669:C669"/>
    <mergeCell ref="B670:C670"/>
    <mergeCell ref="B671:C671"/>
    <mergeCell ref="B672:C672"/>
    <mergeCell ref="B673:C673"/>
    <mergeCell ref="B653:C653"/>
    <mergeCell ref="B666:C666"/>
    <mergeCell ref="B667:C667"/>
    <mergeCell ref="B654:C654"/>
    <mergeCell ref="A656:D656"/>
    <mergeCell ref="B674:C674"/>
    <mergeCell ref="A676:D676"/>
    <mergeCell ref="B731:C731"/>
    <mergeCell ref="B732:C732"/>
    <mergeCell ref="B733:C733"/>
    <mergeCell ref="B740:C740"/>
    <mergeCell ref="B726:C726"/>
    <mergeCell ref="B727:C727"/>
    <mergeCell ref="B728:C728"/>
    <mergeCell ref="B729:C729"/>
    <mergeCell ref="B730:C730"/>
    <mergeCell ref="B710:C710"/>
    <mergeCell ref="B711:C711"/>
    <mergeCell ref="B712:C712"/>
    <mergeCell ref="B713:C713"/>
    <mergeCell ref="B706:C706"/>
    <mergeCell ref="B707:C707"/>
    <mergeCell ref="B708:C708"/>
    <mergeCell ref="B709:C709"/>
    <mergeCell ref="B714:C714"/>
    <mergeCell ref="A716:D716"/>
    <mergeCell ref="B734:C734"/>
    <mergeCell ref="A736:D736"/>
    <mergeCell ref="B767:C767"/>
    <mergeCell ref="B768:C768"/>
    <mergeCell ref="B769:C769"/>
    <mergeCell ref="B770:C770"/>
    <mergeCell ref="B771:C771"/>
    <mergeCell ref="B772:C772"/>
    <mergeCell ref="B752:C752"/>
    <mergeCell ref="B753:C753"/>
    <mergeCell ref="B766:C766"/>
    <mergeCell ref="B746:C746"/>
    <mergeCell ref="B747:C747"/>
    <mergeCell ref="B748:C748"/>
    <mergeCell ref="B749:C749"/>
    <mergeCell ref="B750:C750"/>
    <mergeCell ref="B751:C751"/>
    <mergeCell ref="B760:C760"/>
    <mergeCell ref="B774:C774"/>
    <mergeCell ref="A756:D756"/>
    <mergeCell ref="B853:C853"/>
    <mergeCell ref="B846:C846"/>
    <mergeCell ref="B847:C847"/>
    <mergeCell ref="B848:C848"/>
    <mergeCell ref="B849:C849"/>
    <mergeCell ref="B850:C850"/>
    <mergeCell ref="B830:C830"/>
    <mergeCell ref="B831:C831"/>
    <mergeCell ref="B832:C832"/>
    <mergeCell ref="B833:C833"/>
    <mergeCell ref="B826:C826"/>
    <mergeCell ref="B827:C827"/>
    <mergeCell ref="B828:C828"/>
    <mergeCell ref="B829:C829"/>
    <mergeCell ref="B814:C814"/>
    <mergeCell ref="B773:C773"/>
    <mergeCell ref="B786:C786"/>
    <mergeCell ref="B787:C787"/>
    <mergeCell ref="B780:C780"/>
    <mergeCell ref="B809:C809"/>
    <mergeCell ref="B810:C810"/>
    <mergeCell ref="B811:C811"/>
    <mergeCell ref="B812:C812"/>
    <mergeCell ref="B813:C813"/>
    <mergeCell ref="B806:C806"/>
    <mergeCell ref="B807:C807"/>
    <mergeCell ref="B808:C808"/>
    <mergeCell ref="B788:C788"/>
    <mergeCell ref="B1011:C1011"/>
    <mergeCell ref="B991:C991"/>
    <mergeCell ref="B992:C992"/>
    <mergeCell ref="B993:C993"/>
    <mergeCell ref="B1000:C1000"/>
    <mergeCell ref="B986:C986"/>
    <mergeCell ref="B987:C987"/>
    <mergeCell ref="B988:C988"/>
    <mergeCell ref="B989:C989"/>
    <mergeCell ref="B990:C990"/>
    <mergeCell ref="B909:C909"/>
    <mergeCell ref="B910:C910"/>
    <mergeCell ref="B911:C911"/>
    <mergeCell ref="B912:C912"/>
    <mergeCell ref="B913:C913"/>
    <mergeCell ref="B893:C893"/>
    <mergeCell ref="B906:C906"/>
    <mergeCell ref="B907:C907"/>
    <mergeCell ref="B894:C894"/>
    <mergeCell ref="B966:C966"/>
    <mergeCell ref="B967:C967"/>
    <mergeCell ref="B968:C968"/>
    <mergeCell ref="B969:C969"/>
    <mergeCell ref="B970:C970"/>
    <mergeCell ref="B950:C950"/>
    <mergeCell ref="B951:C951"/>
    <mergeCell ref="B952:C952"/>
    <mergeCell ref="B953:C953"/>
    <mergeCell ref="A956:D956"/>
    <mergeCell ref="B946:C946"/>
    <mergeCell ref="B947:C947"/>
    <mergeCell ref="B948:C948"/>
    <mergeCell ref="B994:C994"/>
    <mergeCell ref="B980:C980"/>
    <mergeCell ref="A996:D996"/>
    <mergeCell ref="B974:C974"/>
    <mergeCell ref="B926:C926"/>
    <mergeCell ref="B927:C927"/>
    <mergeCell ref="B928:C928"/>
    <mergeCell ref="B908:C908"/>
    <mergeCell ref="B214:C214"/>
    <mergeCell ref="B872:C872"/>
    <mergeCell ref="B873:C873"/>
    <mergeCell ref="B886:C886"/>
    <mergeCell ref="B1006:C1006"/>
    <mergeCell ref="B1007:C1007"/>
    <mergeCell ref="B1008:C1008"/>
    <mergeCell ref="B1009:C1009"/>
    <mergeCell ref="B1010:C1010"/>
    <mergeCell ref="B949:C949"/>
    <mergeCell ref="B940:C940"/>
    <mergeCell ref="B929:C929"/>
    <mergeCell ref="B930:C930"/>
    <mergeCell ref="B931:C931"/>
    <mergeCell ref="B932:C932"/>
    <mergeCell ref="B933:C933"/>
    <mergeCell ref="B960:C960"/>
    <mergeCell ref="B789:C789"/>
    <mergeCell ref="B790:C790"/>
    <mergeCell ref="B791:C791"/>
    <mergeCell ref="B792:C792"/>
    <mergeCell ref="B793:C793"/>
    <mergeCell ref="B794:C794"/>
    <mergeCell ref="A796:D796"/>
    <mergeCell ref="B1066:C1066"/>
    <mergeCell ref="B1067:C1067"/>
    <mergeCell ref="B1068:C1068"/>
    <mergeCell ref="B1060:C1060"/>
    <mergeCell ref="B887:C887"/>
    <mergeCell ref="B888:C888"/>
    <mergeCell ref="B889:C889"/>
    <mergeCell ref="B890:C890"/>
    <mergeCell ref="B891:C891"/>
    <mergeCell ref="B892:C892"/>
    <mergeCell ref="B1048:C1048"/>
    <mergeCell ref="B1049:C1049"/>
    <mergeCell ref="B1050:C1050"/>
    <mergeCell ref="B1051:C1051"/>
    <mergeCell ref="B1052:C1052"/>
    <mergeCell ref="B1053:C1053"/>
    <mergeCell ref="B1033:C1033"/>
    <mergeCell ref="B1046:C1046"/>
    <mergeCell ref="B1047:C1047"/>
    <mergeCell ref="B1040:C1040"/>
    <mergeCell ref="B1027:C1027"/>
    <mergeCell ref="B1028:C1028"/>
    <mergeCell ref="B1029:C1029"/>
    <mergeCell ref="B1030:C1030"/>
    <mergeCell ref="B1031:C1031"/>
    <mergeCell ref="B1032:C1032"/>
    <mergeCell ref="B1012:C1012"/>
    <mergeCell ref="B1013:C1013"/>
    <mergeCell ref="B1026:C1026"/>
    <mergeCell ref="B1014:C1014"/>
    <mergeCell ref="B1020:C1020"/>
    <mergeCell ref="B1034:C1034"/>
    <mergeCell ref="B1111:C1111"/>
    <mergeCell ref="B1112:C1112"/>
    <mergeCell ref="B1113:C1113"/>
    <mergeCell ref="B1106:C1106"/>
    <mergeCell ref="B1107:C1107"/>
    <mergeCell ref="B1108:C1108"/>
    <mergeCell ref="B1109:C1109"/>
    <mergeCell ref="B1110:C1110"/>
    <mergeCell ref="B1090:C1090"/>
    <mergeCell ref="B1091:C1091"/>
    <mergeCell ref="B1092:C1092"/>
    <mergeCell ref="B1093:C1093"/>
    <mergeCell ref="B1086:C1086"/>
    <mergeCell ref="B1087:C1087"/>
    <mergeCell ref="B1088:C1088"/>
    <mergeCell ref="B1089:C1089"/>
    <mergeCell ref="B1069:C1069"/>
    <mergeCell ref="B1070:C1070"/>
    <mergeCell ref="B1071:C1071"/>
    <mergeCell ref="B1072:C1072"/>
    <mergeCell ref="B1073:C1073"/>
    <mergeCell ref="B1153:C1153"/>
    <mergeCell ref="B1166:C1166"/>
    <mergeCell ref="B1167:C1167"/>
    <mergeCell ref="B1147:C1147"/>
    <mergeCell ref="B1148:C1148"/>
    <mergeCell ref="B1149:C1149"/>
    <mergeCell ref="B1150:C1150"/>
    <mergeCell ref="B1151:C1151"/>
    <mergeCell ref="B1152:C1152"/>
    <mergeCell ref="B1132:C1132"/>
    <mergeCell ref="B1133:C1133"/>
    <mergeCell ref="B1146:C1146"/>
    <mergeCell ref="B1140:C1140"/>
    <mergeCell ref="B1126:C1126"/>
    <mergeCell ref="B1127:C1127"/>
    <mergeCell ref="B1128:C1128"/>
    <mergeCell ref="B1129:C1129"/>
    <mergeCell ref="B1130:C1130"/>
    <mergeCell ref="B1131:C1131"/>
    <mergeCell ref="B1206:C1206"/>
    <mergeCell ref="B1207:C1207"/>
    <mergeCell ref="B1208:C1208"/>
    <mergeCell ref="B1209:C1209"/>
    <mergeCell ref="B1189:C1189"/>
    <mergeCell ref="B1190:C1190"/>
    <mergeCell ref="B1191:C1191"/>
    <mergeCell ref="B1192:C1192"/>
    <mergeCell ref="B1193:C1193"/>
    <mergeCell ref="B1186:C1186"/>
    <mergeCell ref="B1187:C1187"/>
    <mergeCell ref="B1188:C1188"/>
    <mergeCell ref="B1168:C1168"/>
    <mergeCell ref="B1169:C1169"/>
    <mergeCell ref="B1170:C1170"/>
    <mergeCell ref="B1171:C1171"/>
    <mergeCell ref="B1172:C1172"/>
    <mergeCell ref="B1173:C1173"/>
    <mergeCell ref="B1226:C1226"/>
    <mergeCell ref="B1227:C1227"/>
    <mergeCell ref="B1228:C1228"/>
    <mergeCell ref="B1229:C1229"/>
    <mergeCell ref="B1230:C1230"/>
    <mergeCell ref="B1210:C1210"/>
    <mergeCell ref="B1211:C1211"/>
    <mergeCell ref="B1212:C1212"/>
    <mergeCell ref="B1213:C1213"/>
    <mergeCell ref="B1271:C1271"/>
    <mergeCell ref="B1272:C1272"/>
    <mergeCell ref="B1252:C1252"/>
    <mergeCell ref="B1231:C1231"/>
    <mergeCell ref="B1232:C1232"/>
    <mergeCell ref="B1233:C1233"/>
    <mergeCell ref="B1234:C1234"/>
    <mergeCell ref="A1236:D1236"/>
    <mergeCell ref="B1330:C1330"/>
    <mergeCell ref="B1331:C1331"/>
    <mergeCell ref="B1332:C1332"/>
    <mergeCell ref="B1333:C1333"/>
    <mergeCell ref="B1326:C1326"/>
    <mergeCell ref="B1327:C1327"/>
    <mergeCell ref="B1328:C1328"/>
    <mergeCell ref="B1329:C1329"/>
    <mergeCell ref="B1309:C1309"/>
    <mergeCell ref="B1310:C1310"/>
    <mergeCell ref="B1311:C1311"/>
    <mergeCell ref="B1312:C1312"/>
    <mergeCell ref="B1313:C1313"/>
    <mergeCell ref="B1306:C1306"/>
    <mergeCell ref="B1307:C1307"/>
    <mergeCell ref="B1308:C1308"/>
    <mergeCell ref="B1288:C1288"/>
    <mergeCell ref="B1289:C1289"/>
    <mergeCell ref="B1290:C1290"/>
    <mergeCell ref="B1291:C1291"/>
    <mergeCell ref="B1292:C1292"/>
    <mergeCell ref="B1293:C1293"/>
    <mergeCell ref="B1372:C1372"/>
    <mergeCell ref="B1373:C1373"/>
    <mergeCell ref="B1386:C1386"/>
    <mergeCell ref="B1374:C1374"/>
    <mergeCell ref="B1366:C1366"/>
    <mergeCell ref="B1367:C1367"/>
    <mergeCell ref="B1368:C1368"/>
    <mergeCell ref="B1369:C1369"/>
    <mergeCell ref="B1370:C1370"/>
    <mergeCell ref="B1371:C1371"/>
    <mergeCell ref="B1394:C1394"/>
    <mergeCell ref="B1351:C1351"/>
    <mergeCell ref="B1352:C1352"/>
    <mergeCell ref="B1353:C1353"/>
    <mergeCell ref="B1346:C1346"/>
    <mergeCell ref="B1347:C1347"/>
    <mergeCell ref="B1348:C1348"/>
    <mergeCell ref="B1349:C1349"/>
    <mergeCell ref="B1350:C1350"/>
    <mergeCell ref="B1354:C1354"/>
    <mergeCell ref="A1376:D1376"/>
    <mergeCell ref="B1380:C1380"/>
    <mergeCell ref="B1408:C1408"/>
    <mergeCell ref="B1409:C1409"/>
    <mergeCell ref="B1410:C1410"/>
    <mergeCell ref="B1411:C1411"/>
    <mergeCell ref="B1412:C1412"/>
    <mergeCell ref="B1413:C1413"/>
    <mergeCell ref="B1440:C1440"/>
    <mergeCell ref="A1436:D1436"/>
    <mergeCell ref="B1414:C1414"/>
    <mergeCell ref="B1420:C1420"/>
    <mergeCell ref="A1416:D1416"/>
    <mergeCell ref="B1393:C1393"/>
    <mergeCell ref="B1406:C1406"/>
    <mergeCell ref="B1407:C1407"/>
    <mergeCell ref="B1400:C1400"/>
    <mergeCell ref="B1387:C1387"/>
    <mergeCell ref="B1388:C1388"/>
    <mergeCell ref="B1389:C1389"/>
    <mergeCell ref="B1390:C1390"/>
    <mergeCell ref="B1391:C1391"/>
    <mergeCell ref="B1392:C1392"/>
    <mergeCell ref="A1396:D1396"/>
    <mergeCell ref="B1450:C1450"/>
    <mergeCell ref="B1451:C1451"/>
    <mergeCell ref="B1452:C1452"/>
    <mergeCell ref="B1453:C1453"/>
    <mergeCell ref="B1460:C1460"/>
    <mergeCell ref="B1446:C1446"/>
    <mergeCell ref="B1447:C1447"/>
    <mergeCell ref="B1448:C1448"/>
    <mergeCell ref="B1449:C1449"/>
    <mergeCell ref="B1429:C1429"/>
    <mergeCell ref="B1430:C1430"/>
    <mergeCell ref="B1431:C1431"/>
    <mergeCell ref="B1432:C1432"/>
    <mergeCell ref="B1433:C1433"/>
    <mergeCell ref="B1434:C1434"/>
    <mergeCell ref="B1426:C1426"/>
    <mergeCell ref="B1427:C1427"/>
    <mergeCell ref="B1428:C1428"/>
    <mergeCell ref="B1591:C1591"/>
    <mergeCell ref="B1592:C1592"/>
    <mergeCell ref="B1593:C1593"/>
    <mergeCell ref="A1596:D1596"/>
    <mergeCell ref="B1586:C1586"/>
    <mergeCell ref="B1587:C1587"/>
    <mergeCell ref="B1588:C1588"/>
    <mergeCell ref="B1589:C1589"/>
    <mergeCell ref="B1590:C1590"/>
    <mergeCell ref="B1509:C1509"/>
    <mergeCell ref="B1510:C1510"/>
    <mergeCell ref="B1511:C1511"/>
    <mergeCell ref="B1512:C1512"/>
    <mergeCell ref="B1492:C1492"/>
    <mergeCell ref="B1493:C1493"/>
    <mergeCell ref="B1506:C1506"/>
    <mergeCell ref="B1500:C1500"/>
    <mergeCell ref="B1594:C1594"/>
    <mergeCell ref="B1560:C1560"/>
    <mergeCell ref="B1520:C1520"/>
    <mergeCell ref="B1514:C1514"/>
    <mergeCell ref="A1516:D1516"/>
    <mergeCell ref="A1576:D1576"/>
    <mergeCell ref="B1580:C1580"/>
    <mergeCell ref="B1547:C1547"/>
    <mergeCell ref="B1548:C1548"/>
    <mergeCell ref="B1540:C1540"/>
    <mergeCell ref="B1528:C1528"/>
    <mergeCell ref="B1529:C1529"/>
    <mergeCell ref="B1530:C1530"/>
    <mergeCell ref="B1531:C1531"/>
    <mergeCell ref="B1532:C1532"/>
    <mergeCell ref="B1633:C1633"/>
    <mergeCell ref="B1646:C1646"/>
    <mergeCell ref="B1647:C1647"/>
    <mergeCell ref="B1640:C1640"/>
    <mergeCell ref="B1627:C1627"/>
    <mergeCell ref="B1628:C1628"/>
    <mergeCell ref="B1629:C1629"/>
    <mergeCell ref="B1630:C1630"/>
    <mergeCell ref="B1631:C1631"/>
    <mergeCell ref="B1632:C1632"/>
    <mergeCell ref="B1654:C1654"/>
    <mergeCell ref="A1656:D1656"/>
    <mergeCell ref="B1660:C1660"/>
    <mergeCell ref="B1612:C1612"/>
    <mergeCell ref="B1613:C1613"/>
    <mergeCell ref="B1626:C1626"/>
    <mergeCell ref="B1606:C1606"/>
    <mergeCell ref="B1607:C1607"/>
    <mergeCell ref="B1608:C1608"/>
    <mergeCell ref="B1609:C1609"/>
    <mergeCell ref="B1610:C1610"/>
    <mergeCell ref="B1611:C1611"/>
    <mergeCell ref="B1686:C1686"/>
    <mergeCell ref="B1687:C1687"/>
    <mergeCell ref="B1688:C1688"/>
    <mergeCell ref="B1689:C1689"/>
    <mergeCell ref="B1669:C1669"/>
    <mergeCell ref="B1670:C1670"/>
    <mergeCell ref="B1671:C1671"/>
    <mergeCell ref="B1672:C1672"/>
    <mergeCell ref="B1673:C1673"/>
    <mergeCell ref="B1674:C1674"/>
    <mergeCell ref="B1666:C1666"/>
    <mergeCell ref="B1667:C1667"/>
    <mergeCell ref="B1668:C1668"/>
    <mergeCell ref="B1648:C1648"/>
    <mergeCell ref="B1649:C1649"/>
    <mergeCell ref="B1650:C1650"/>
    <mergeCell ref="B1651:C1651"/>
    <mergeCell ref="B1652:C1652"/>
    <mergeCell ref="B1653:C1653"/>
    <mergeCell ref="A1676:D1676"/>
    <mergeCell ref="B1680:C1680"/>
    <mergeCell ref="B1726:C1726"/>
    <mergeCell ref="B1727:C1727"/>
    <mergeCell ref="B1728:C1728"/>
    <mergeCell ref="B1729:C1729"/>
    <mergeCell ref="B1730:C1730"/>
    <mergeCell ref="B1731:C1731"/>
    <mergeCell ref="B1711:C1711"/>
    <mergeCell ref="B1712:C1712"/>
    <mergeCell ref="B1713:C1713"/>
    <mergeCell ref="B1706:C1706"/>
    <mergeCell ref="B1707:C1707"/>
    <mergeCell ref="B1708:C1708"/>
    <mergeCell ref="B1709:C1709"/>
    <mergeCell ref="B1710:C1710"/>
    <mergeCell ref="B1690:C1690"/>
    <mergeCell ref="B1691:C1691"/>
    <mergeCell ref="B1692:C1692"/>
    <mergeCell ref="B1693:C1693"/>
    <mergeCell ref="A1716:D1716"/>
    <mergeCell ref="B1720:C1720"/>
    <mergeCell ref="B1768:C1768"/>
    <mergeCell ref="B1769:C1769"/>
    <mergeCell ref="B1770:C1770"/>
    <mergeCell ref="B1771:C1771"/>
    <mergeCell ref="B1772:C1772"/>
    <mergeCell ref="B1773:C1773"/>
    <mergeCell ref="B1753:C1753"/>
    <mergeCell ref="B1766:C1766"/>
    <mergeCell ref="B1767:C1767"/>
    <mergeCell ref="B1760:C1760"/>
    <mergeCell ref="B1747:C1747"/>
    <mergeCell ref="B1748:C1748"/>
    <mergeCell ref="B1749:C1749"/>
    <mergeCell ref="B1750:C1750"/>
    <mergeCell ref="B1751:C1751"/>
    <mergeCell ref="B1752:C1752"/>
    <mergeCell ref="B1732:C1732"/>
    <mergeCell ref="B1733:C1733"/>
    <mergeCell ref="B1746:C1746"/>
    <mergeCell ref="B1734:C1734"/>
    <mergeCell ref="A1736:D1736"/>
    <mergeCell ref="B1740:C1740"/>
    <mergeCell ref="B1810:C1810"/>
    <mergeCell ref="B1811:C1811"/>
    <mergeCell ref="B1812:C1812"/>
    <mergeCell ref="B1813:C1813"/>
    <mergeCell ref="A1816:D1816"/>
    <mergeCell ref="B1806:C1806"/>
    <mergeCell ref="B1807:C1807"/>
    <mergeCell ref="B1808:C1808"/>
    <mergeCell ref="B1809:C1809"/>
    <mergeCell ref="B1789:C1789"/>
    <mergeCell ref="B1790:C1790"/>
    <mergeCell ref="B1791:C1791"/>
    <mergeCell ref="B1792:C1792"/>
    <mergeCell ref="B1793:C1793"/>
    <mergeCell ref="B1794:C1794"/>
    <mergeCell ref="B1786:C1786"/>
    <mergeCell ref="B1787:C1787"/>
    <mergeCell ref="B1788:C1788"/>
    <mergeCell ref="B1852:C1852"/>
    <mergeCell ref="B1853:C1853"/>
    <mergeCell ref="B1866:C1866"/>
    <mergeCell ref="B1854:C1854"/>
    <mergeCell ref="B1888:C1888"/>
    <mergeCell ref="B1846:C1846"/>
    <mergeCell ref="B1847:C1847"/>
    <mergeCell ref="B1848:C1848"/>
    <mergeCell ref="B1849:C1849"/>
    <mergeCell ref="B1850:C1850"/>
    <mergeCell ref="B1851:C1851"/>
    <mergeCell ref="B1831:C1831"/>
    <mergeCell ref="B1832:C1832"/>
    <mergeCell ref="B1833:C1833"/>
    <mergeCell ref="B1840:C1840"/>
    <mergeCell ref="B1826:C1826"/>
    <mergeCell ref="B1827:C1827"/>
    <mergeCell ref="B1828:C1828"/>
    <mergeCell ref="B1829:C1829"/>
    <mergeCell ref="B1830:C1830"/>
    <mergeCell ref="B1906:C1906"/>
    <mergeCell ref="B1907:C1907"/>
    <mergeCell ref="B1908:C1908"/>
    <mergeCell ref="B1900:C1900"/>
    <mergeCell ref="B1889:C1889"/>
    <mergeCell ref="B1890:C1890"/>
    <mergeCell ref="B1891:C1891"/>
    <mergeCell ref="B1892:C1892"/>
    <mergeCell ref="B1893:C1893"/>
    <mergeCell ref="B1873:C1873"/>
    <mergeCell ref="B1886:C1886"/>
    <mergeCell ref="B1887:C1887"/>
    <mergeCell ref="B1880:C1880"/>
    <mergeCell ref="B1867:C1867"/>
    <mergeCell ref="B1868:C1868"/>
    <mergeCell ref="B1869:C1869"/>
    <mergeCell ref="B1870:C1870"/>
    <mergeCell ref="B1871:C1871"/>
    <mergeCell ref="B1872:C1872"/>
    <mergeCell ref="A1896:D1896"/>
    <mergeCell ref="B1951:C1951"/>
    <mergeCell ref="B1952:C1952"/>
    <mergeCell ref="B1953:C1953"/>
    <mergeCell ref="B1946:C1946"/>
    <mergeCell ref="B1947:C1947"/>
    <mergeCell ref="B1948:C1948"/>
    <mergeCell ref="B1949:C1949"/>
    <mergeCell ref="B1950:C1950"/>
    <mergeCell ref="B1930:C1930"/>
    <mergeCell ref="B1931:C1931"/>
    <mergeCell ref="B1932:C1932"/>
    <mergeCell ref="B1933:C1933"/>
    <mergeCell ref="B1926:C1926"/>
    <mergeCell ref="B1927:C1927"/>
    <mergeCell ref="B1928:C1928"/>
    <mergeCell ref="B1929:C1929"/>
    <mergeCell ref="B1909:C1909"/>
    <mergeCell ref="B1910:C1910"/>
    <mergeCell ref="B1911:C1911"/>
    <mergeCell ref="B1912:C1912"/>
    <mergeCell ref="B1913:C1913"/>
    <mergeCell ref="B1914:C1914"/>
    <mergeCell ref="B1993:C1993"/>
    <mergeCell ref="B2006:C2006"/>
    <mergeCell ref="B2007:C2007"/>
    <mergeCell ref="B1987:C1987"/>
    <mergeCell ref="B1988:C1988"/>
    <mergeCell ref="B1989:C1989"/>
    <mergeCell ref="B1990:C1990"/>
    <mergeCell ref="B1991:C1991"/>
    <mergeCell ref="B1992:C1992"/>
    <mergeCell ref="B1972:C1972"/>
    <mergeCell ref="B1973:C1973"/>
    <mergeCell ref="B1986:C1986"/>
    <mergeCell ref="B1980:C1980"/>
    <mergeCell ref="B1966:C1966"/>
    <mergeCell ref="B1967:C1967"/>
    <mergeCell ref="B1968:C1968"/>
    <mergeCell ref="B1969:C1969"/>
    <mergeCell ref="B1970:C1970"/>
    <mergeCell ref="B1971:C1971"/>
    <mergeCell ref="B1994:C1994"/>
    <mergeCell ref="B2046:C2046"/>
    <mergeCell ref="B2047:C2047"/>
    <mergeCell ref="B2048:C2048"/>
    <mergeCell ref="B2049:C2049"/>
    <mergeCell ref="B2029:C2029"/>
    <mergeCell ref="B2030:C2030"/>
    <mergeCell ref="B2031:C2031"/>
    <mergeCell ref="B2032:C2032"/>
    <mergeCell ref="B2033:C2033"/>
    <mergeCell ref="B2026:C2026"/>
    <mergeCell ref="B2027:C2027"/>
    <mergeCell ref="B2028:C2028"/>
    <mergeCell ref="B2008:C2008"/>
    <mergeCell ref="B2009:C2009"/>
    <mergeCell ref="B2010:C2010"/>
    <mergeCell ref="B2011:C2011"/>
    <mergeCell ref="B2012:C2012"/>
    <mergeCell ref="B2013:C2013"/>
    <mergeCell ref="B2146:C2146"/>
    <mergeCell ref="B2147:C2147"/>
    <mergeCell ref="B2148:C2148"/>
    <mergeCell ref="B2128:C2128"/>
    <mergeCell ref="B2129:C2129"/>
    <mergeCell ref="B2130:C2130"/>
    <mergeCell ref="B2131:C2131"/>
    <mergeCell ref="B2132:C2132"/>
    <mergeCell ref="B2133:C2133"/>
    <mergeCell ref="B2067:C2067"/>
    <mergeCell ref="B2068:C2068"/>
    <mergeCell ref="B2069:C2069"/>
    <mergeCell ref="B2070:C2070"/>
    <mergeCell ref="B2050:C2050"/>
    <mergeCell ref="B2051:C2051"/>
    <mergeCell ref="B2052:C2052"/>
    <mergeCell ref="B2053:C2053"/>
    <mergeCell ref="B2060:C2060"/>
    <mergeCell ref="B2127:C2127"/>
    <mergeCell ref="A2096:D2096"/>
    <mergeCell ref="B2100:C2100"/>
    <mergeCell ref="A2136:D2136"/>
    <mergeCell ref="B2140:C2140"/>
    <mergeCell ref="B2134:C2134"/>
    <mergeCell ref="B2106:C2106"/>
    <mergeCell ref="B2089:C2089"/>
    <mergeCell ref="B2090:C2090"/>
    <mergeCell ref="B2091:C2091"/>
    <mergeCell ref="B2071:C2071"/>
    <mergeCell ref="B2072:C2072"/>
    <mergeCell ref="B2073:C2073"/>
    <mergeCell ref="B2074:C2074"/>
    <mergeCell ref="B2191:C2191"/>
    <mergeCell ref="B2192:C2192"/>
    <mergeCell ref="B2193:C2193"/>
    <mergeCell ref="B2186:C2186"/>
    <mergeCell ref="B2187:C2187"/>
    <mergeCell ref="B2188:C2188"/>
    <mergeCell ref="B2189:C2189"/>
    <mergeCell ref="B2190:C2190"/>
    <mergeCell ref="B2170:C2170"/>
    <mergeCell ref="B2171:C2171"/>
    <mergeCell ref="B2172:C2172"/>
    <mergeCell ref="B2173:C2173"/>
    <mergeCell ref="B2166:C2166"/>
    <mergeCell ref="B2167:C2167"/>
    <mergeCell ref="B2168:C2168"/>
    <mergeCell ref="B2169:C2169"/>
    <mergeCell ref="B2149:C2149"/>
    <mergeCell ref="B2150:C2150"/>
    <mergeCell ref="B2151:C2151"/>
    <mergeCell ref="B2152:C2152"/>
    <mergeCell ref="B2153:C2153"/>
    <mergeCell ref="B2154:C2154"/>
    <mergeCell ref="B2233:C2233"/>
    <mergeCell ref="B2246:C2246"/>
    <mergeCell ref="B2247:C2247"/>
    <mergeCell ref="B2240:C2240"/>
    <mergeCell ref="B2227:C2227"/>
    <mergeCell ref="B2228:C2228"/>
    <mergeCell ref="B2229:C2229"/>
    <mergeCell ref="B2230:C2230"/>
    <mergeCell ref="B2231:C2231"/>
    <mergeCell ref="B2232:C2232"/>
    <mergeCell ref="B2212:C2212"/>
    <mergeCell ref="B2213:C2213"/>
    <mergeCell ref="B2226:C2226"/>
    <mergeCell ref="B2214:C2214"/>
    <mergeCell ref="B2206:C2206"/>
    <mergeCell ref="B2207:C2207"/>
    <mergeCell ref="B2208:C2208"/>
    <mergeCell ref="B2209:C2209"/>
    <mergeCell ref="B2210:C2210"/>
    <mergeCell ref="B2211:C2211"/>
    <mergeCell ref="B2288:C2288"/>
    <mergeCell ref="B2289:C2289"/>
    <mergeCell ref="B2269:C2269"/>
    <mergeCell ref="B2270:C2270"/>
    <mergeCell ref="B2271:C2271"/>
    <mergeCell ref="B2272:C2272"/>
    <mergeCell ref="B2273:C2273"/>
    <mergeCell ref="B2274:C2274"/>
    <mergeCell ref="B2266:C2266"/>
    <mergeCell ref="B2267:C2267"/>
    <mergeCell ref="B2268:C2268"/>
    <mergeCell ref="B2248:C2248"/>
    <mergeCell ref="B2249:C2249"/>
    <mergeCell ref="B2250:C2250"/>
    <mergeCell ref="B2251:C2251"/>
    <mergeCell ref="B2252:C2252"/>
    <mergeCell ref="B2253:C2253"/>
    <mergeCell ref="B2306:C2306"/>
    <mergeCell ref="B2307:C2307"/>
    <mergeCell ref="B2308:C2308"/>
    <mergeCell ref="B2309:C2309"/>
    <mergeCell ref="B2310:C2310"/>
    <mergeCell ref="B2431:C2431"/>
    <mergeCell ref="B2432:C2432"/>
    <mergeCell ref="B2433:C2433"/>
    <mergeCell ref="A2436:D2436"/>
    <mergeCell ref="B2426:C2426"/>
    <mergeCell ref="B2427:C2427"/>
    <mergeCell ref="B2428:C2428"/>
    <mergeCell ref="B2429:C2429"/>
    <mergeCell ref="B2430:C2430"/>
    <mergeCell ref="B2349:C2349"/>
    <mergeCell ref="B2350:C2350"/>
    <mergeCell ref="B2351:C2351"/>
    <mergeCell ref="B2360:C2360"/>
    <mergeCell ref="B2354:C2354"/>
    <mergeCell ref="A2356:D2356"/>
    <mergeCell ref="B2332:C2332"/>
    <mergeCell ref="B2333:C2333"/>
    <mergeCell ref="B2346:C2346"/>
    <mergeCell ref="B2340:C2340"/>
    <mergeCell ref="B2326:C2326"/>
    <mergeCell ref="B2327:C2327"/>
    <mergeCell ref="B2328:C2328"/>
    <mergeCell ref="B2329:C2329"/>
    <mergeCell ref="B2330:C2330"/>
    <mergeCell ref="B2331:C2331"/>
    <mergeCell ref="B2311:C2311"/>
    <mergeCell ref="B2312:C2312"/>
    <mergeCell ref="B2313:C2313"/>
    <mergeCell ref="B2320:C2320"/>
    <mergeCell ref="B2394:C2394"/>
    <mergeCell ref="A2396:D2396"/>
    <mergeCell ref="A2416:D2416"/>
    <mergeCell ref="B2467:C2467"/>
    <mergeCell ref="B2468:C2468"/>
    <mergeCell ref="B2469:C2469"/>
    <mergeCell ref="B2470:C2470"/>
    <mergeCell ref="B2471:C2471"/>
    <mergeCell ref="B2472:C2472"/>
    <mergeCell ref="B2452:C2452"/>
    <mergeCell ref="B2453:C2453"/>
    <mergeCell ref="B2466:C2466"/>
    <mergeCell ref="B2454:C2454"/>
    <mergeCell ref="A2456:D2456"/>
    <mergeCell ref="B2460:C2460"/>
    <mergeCell ref="B2434:C2434"/>
    <mergeCell ref="B2400:C2400"/>
    <mergeCell ref="B2474:C2474"/>
    <mergeCell ref="A2476:D2476"/>
    <mergeCell ref="B2446:C2446"/>
    <mergeCell ref="B2447:C2447"/>
    <mergeCell ref="B2448:C2448"/>
    <mergeCell ref="B2449:C2449"/>
    <mergeCell ref="B2450:C2450"/>
    <mergeCell ref="B2451:C2451"/>
    <mergeCell ref="B2440:C2440"/>
    <mergeCell ref="B2420:C2420"/>
    <mergeCell ref="B2509:C2509"/>
    <mergeCell ref="B2510:C2510"/>
    <mergeCell ref="B2511:C2511"/>
    <mergeCell ref="B2512:C2512"/>
    <mergeCell ref="B2513:C2513"/>
    <mergeCell ref="A2516:D2516"/>
    <mergeCell ref="B2520:C2520"/>
    <mergeCell ref="B2506:C2506"/>
    <mergeCell ref="B2507:C2507"/>
    <mergeCell ref="B2508:C2508"/>
    <mergeCell ref="B2488:C2488"/>
    <mergeCell ref="B2489:C2489"/>
    <mergeCell ref="B2490:C2490"/>
    <mergeCell ref="B2491:C2491"/>
    <mergeCell ref="B2492:C2492"/>
    <mergeCell ref="B2493:C2493"/>
    <mergeCell ref="B2473:C2473"/>
    <mergeCell ref="B2486:C2486"/>
    <mergeCell ref="B2487:C2487"/>
    <mergeCell ref="B2480:C2480"/>
    <mergeCell ref="B2553:C2553"/>
    <mergeCell ref="B2546:C2546"/>
    <mergeCell ref="B2547:C2547"/>
    <mergeCell ref="B2548:C2548"/>
    <mergeCell ref="B2549:C2549"/>
    <mergeCell ref="B2550:C2550"/>
    <mergeCell ref="A2556:D2556"/>
    <mergeCell ref="B2560:C2560"/>
    <mergeCell ref="A2576:D2576"/>
    <mergeCell ref="B2580:C2580"/>
    <mergeCell ref="B2530:C2530"/>
    <mergeCell ref="B2531:C2531"/>
    <mergeCell ref="B2532:C2532"/>
    <mergeCell ref="B2533:C2533"/>
    <mergeCell ref="B2526:C2526"/>
    <mergeCell ref="B2527:C2527"/>
    <mergeCell ref="B2528:C2528"/>
    <mergeCell ref="B2529:C2529"/>
    <mergeCell ref="B2646:C2646"/>
    <mergeCell ref="B2647:C2647"/>
    <mergeCell ref="B2648:C2648"/>
    <mergeCell ref="B2649:C2649"/>
    <mergeCell ref="B2629:C2629"/>
    <mergeCell ref="B2630:C2630"/>
    <mergeCell ref="B2631:C2631"/>
    <mergeCell ref="B2632:C2632"/>
    <mergeCell ref="B2633:C2633"/>
    <mergeCell ref="B2634:C2634"/>
    <mergeCell ref="B2626:C2626"/>
    <mergeCell ref="B2627:C2627"/>
    <mergeCell ref="B2628:C2628"/>
    <mergeCell ref="B2608:C2608"/>
    <mergeCell ref="B2609:C2609"/>
    <mergeCell ref="B2610:C2610"/>
    <mergeCell ref="B2611:C2611"/>
    <mergeCell ref="B2612:C2612"/>
    <mergeCell ref="B2613:C2613"/>
    <mergeCell ref="B2614:C2614"/>
    <mergeCell ref="A2616:D2616"/>
    <mergeCell ref="B2620:C2620"/>
    <mergeCell ref="B2686:C2686"/>
    <mergeCell ref="B2687:C2687"/>
    <mergeCell ref="B2688:C2688"/>
    <mergeCell ref="B2689:C2689"/>
    <mergeCell ref="B2690:C2690"/>
    <mergeCell ref="B2691:C2691"/>
    <mergeCell ref="B2671:C2671"/>
    <mergeCell ref="B2672:C2672"/>
    <mergeCell ref="B2673:C2673"/>
    <mergeCell ref="B2680:C2680"/>
    <mergeCell ref="B2666:C2666"/>
    <mergeCell ref="B2667:C2667"/>
    <mergeCell ref="B2668:C2668"/>
    <mergeCell ref="B2669:C2669"/>
    <mergeCell ref="B2670:C2670"/>
    <mergeCell ref="B2650:C2650"/>
    <mergeCell ref="B2651:C2651"/>
    <mergeCell ref="B2652:C2652"/>
    <mergeCell ref="B2653:C2653"/>
    <mergeCell ref="A2656:D2656"/>
    <mergeCell ref="B2746:C2746"/>
    <mergeCell ref="B2747:C2747"/>
    <mergeCell ref="B2748:C2748"/>
    <mergeCell ref="B2740:C2740"/>
    <mergeCell ref="B2732:C2732"/>
    <mergeCell ref="B2733:C2733"/>
    <mergeCell ref="B2713:C2713"/>
    <mergeCell ref="B2726:C2726"/>
    <mergeCell ref="B2727:C2727"/>
    <mergeCell ref="B2720:C2720"/>
    <mergeCell ref="B2707:C2707"/>
    <mergeCell ref="B2708:C2708"/>
    <mergeCell ref="B2709:C2709"/>
    <mergeCell ref="B2710:C2710"/>
    <mergeCell ref="B2711:C2711"/>
    <mergeCell ref="B2712:C2712"/>
    <mergeCell ref="B2692:C2692"/>
    <mergeCell ref="B2693:C2693"/>
    <mergeCell ref="B2706:C2706"/>
    <mergeCell ref="B2694:C2694"/>
    <mergeCell ref="A2696:D2696"/>
    <mergeCell ref="B2714:C2714"/>
    <mergeCell ref="A2716:D2716"/>
    <mergeCell ref="B2734:C2734"/>
    <mergeCell ref="A2736:D2736"/>
    <mergeCell ref="B2728:C2728"/>
    <mergeCell ref="B2729:C2729"/>
    <mergeCell ref="B2730:C2730"/>
    <mergeCell ref="B2731:C2731"/>
    <mergeCell ref="B2786:C2786"/>
    <mergeCell ref="B2787:C2787"/>
    <mergeCell ref="B2788:C2788"/>
    <mergeCell ref="B2789:C2789"/>
    <mergeCell ref="B2790:C2790"/>
    <mergeCell ref="B2770:C2770"/>
    <mergeCell ref="B2771:C2771"/>
    <mergeCell ref="B2772:C2772"/>
    <mergeCell ref="B2773:C2773"/>
    <mergeCell ref="B2766:C2766"/>
    <mergeCell ref="B2767:C2767"/>
    <mergeCell ref="B2768:C2768"/>
    <mergeCell ref="B2769:C2769"/>
    <mergeCell ref="B2749:C2749"/>
    <mergeCell ref="B2750:C2750"/>
    <mergeCell ref="B2751:C2751"/>
    <mergeCell ref="B2752:C2752"/>
    <mergeCell ref="B2753:C2753"/>
    <mergeCell ref="B2754:C2754"/>
    <mergeCell ref="B2812:C2812"/>
    <mergeCell ref="B2813:C2813"/>
    <mergeCell ref="B2826:C2826"/>
    <mergeCell ref="B2820:C2820"/>
    <mergeCell ref="B2806:C2806"/>
    <mergeCell ref="B2807:C2807"/>
    <mergeCell ref="B2808:C2808"/>
    <mergeCell ref="B2809:C2809"/>
    <mergeCell ref="B2810:C2810"/>
    <mergeCell ref="B2811:C2811"/>
    <mergeCell ref="B2814:C2814"/>
    <mergeCell ref="A2816:D2816"/>
    <mergeCell ref="A2836:D2836"/>
    <mergeCell ref="B2840:C2840"/>
    <mergeCell ref="B2791:C2791"/>
    <mergeCell ref="B2792:C2792"/>
    <mergeCell ref="B2793:C2793"/>
    <mergeCell ref="B2851:C2851"/>
    <mergeCell ref="B2852:C2852"/>
    <mergeCell ref="B2853:C2853"/>
    <mergeCell ref="B2860:C2860"/>
    <mergeCell ref="B2874:C2874"/>
    <mergeCell ref="A2876:D2876"/>
    <mergeCell ref="B2880:C2880"/>
    <mergeCell ref="B2854:C2854"/>
    <mergeCell ref="A2856:D2856"/>
    <mergeCell ref="B2833:C2833"/>
    <mergeCell ref="B2846:C2846"/>
    <mergeCell ref="B2847:C2847"/>
    <mergeCell ref="B2827:C2827"/>
    <mergeCell ref="B2828:C2828"/>
    <mergeCell ref="B2829:C2829"/>
    <mergeCell ref="B2830:C2830"/>
    <mergeCell ref="B2831:C2831"/>
    <mergeCell ref="B2832:C2832"/>
    <mergeCell ref="B2986:C2986"/>
    <mergeCell ref="B2987:C2987"/>
    <mergeCell ref="B2988:C2988"/>
    <mergeCell ref="B2968:C2968"/>
    <mergeCell ref="B2969:C2969"/>
    <mergeCell ref="B2970:C2970"/>
    <mergeCell ref="B2971:C2971"/>
    <mergeCell ref="B2972:C2972"/>
    <mergeCell ref="B2973:C2973"/>
    <mergeCell ref="B2907:C2907"/>
    <mergeCell ref="B2908:C2908"/>
    <mergeCell ref="B2909:C2909"/>
    <mergeCell ref="B2910:C2910"/>
    <mergeCell ref="B2890:C2890"/>
    <mergeCell ref="B2891:C2891"/>
    <mergeCell ref="B2892:C2892"/>
    <mergeCell ref="B2893:C2893"/>
    <mergeCell ref="B2952:C2952"/>
    <mergeCell ref="B2932:C2932"/>
    <mergeCell ref="B2933:C2933"/>
    <mergeCell ref="B2920:C2920"/>
    <mergeCell ref="B2934:C2934"/>
    <mergeCell ref="A2936:D2936"/>
    <mergeCell ref="B2940:C2940"/>
    <mergeCell ref="A2976:D2976"/>
    <mergeCell ref="B2980:C2980"/>
    <mergeCell ref="B2894:C2894"/>
    <mergeCell ref="A2896:D2896"/>
    <mergeCell ref="B2974:C2974"/>
    <mergeCell ref="B2946:C2946"/>
    <mergeCell ref="B2926:C2926"/>
    <mergeCell ref="B2927:C2927"/>
    <mergeCell ref="B3031:C3031"/>
    <mergeCell ref="B3032:C3032"/>
    <mergeCell ref="B3033:C3033"/>
    <mergeCell ref="B3026:C3026"/>
    <mergeCell ref="B3027:C3027"/>
    <mergeCell ref="B3028:C3028"/>
    <mergeCell ref="B3029:C3029"/>
    <mergeCell ref="B3030:C3030"/>
    <mergeCell ref="B3010:C3010"/>
    <mergeCell ref="B3011:C3011"/>
    <mergeCell ref="B3012:C3012"/>
    <mergeCell ref="B3013:C3013"/>
    <mergeCell ref="B3006:C3006"/>
    <mergeCell ref="B3007:C3007"/>
    <mergeCell ref="B3008:C3008"/>
    <mergeCell ref="B3009:C3009"/>
    <mergeCell ref="B2989:C2989"/>
    <mergeCell ref="B2990:C2990"/>
    <mergeCell ref="B2991:C2991"/>
    <mergeCell ref="B2992:C2992"/>
    <mergeCell ref="B2993:C2993"/>
    <mergeCell ref="B2994:C2994"/>
    <mergeCell ref="B3073:C3073"/>
    <mergeCell ref="B3086:C3086"/>
    <mergeCell ref="B3087:C3087"/>
    <mergeCell ref="B3080:C3080"/>
    <mergeCell ref="B3067:C3067"/>
    <mergeCell ref="B3068:C3068"/>
    <mergeCell ref="B3069:C3069"/>
    <mergeCell ref="B3070:C3070"/>
    <mergeCell ref="B3071:C3071"/>
    <mergeCell ref="B3072:C3072"/>
    <mergeCell ref="B3052:C3052"/>
    <mergeCell ref="B3053:C3053"/>
    <mergeCell ref="B3066:C3066"/>
    <mergeCell ref="B3054:C3054"/>
    <mergeCell ref="B3046:C3046"/>
    <mergeCell ref="B3047:C3047"/>
    <mergeCell ref="B3048:C3048"/>
    <mergeCell ref="B3049:C3049"/>
    <mergeCell ref="B3050:C3050"/>
    <mergeCell ref="B3051:C3051"/>
    <mergeCell ref="B3074:C3074"/>
    <mergeCell ref="B3126:C3126"/>
    <mergeCell ref="B3127:C3127"/>
    <mergeCell ref="B3128:C3128"/>
    <mergeCell ref="B3129:C3129"/>
    <mergeCell ref="B3109:C3109"/>
    <mergeCell ref="B3110:C3110"/>
    <mergeCell ref="B3111:C3111"/>
    <mergeCell ref="B3112:C3112"/>
    <mergeCell ref="B3113:C3113"/>
    <mergeCell ref="B3114:C3114"/>
    <mergeCell ref="B3106:C3106"/>
    <mergeCell ref="B3107:C3107"/>
    <mergeCell ref="B3108:C3108"/>
    <mergeCell ref="B3088:C3088"/>
    <mergeCell ref="B3089:C3089"/>
    <mergeCell ref="B3090:C3090"/>
    <mergeCell ref="B3091:C3091"/>
    <mergeCell ref="B3092:C3092"/>
    <mergeCell ref="B3093:C3093"/>
    <mergeCell ref="B3120:C3120"/>
    <mergeCell ref="A3116:D3116"/>
    <mergeCell ref="B3094:C3094"/>
    <mergeCell ref="B3100:C3100"/>
    <mergeCell ref="A3096:D3096"/>
    <mergeCell ref="B3168:C3168"/>
    <mergeCell ref="B3169:C3169"/>
    <mergeCell ref="B3170:C3170"/>
    <mergeCell ref="B3171:C3171"/>
    <mergeCell ref="B3151:C3151"/>
    <mergeCell ref="B3152:C3152"/>
    <mergeCell ref="B3153:C3153"/>
    <mergeCell ref="B3160:C3160"/>
    <mergeCell ref="B3146:C3146"/>
    <mergeCell ref="B3147:C3147"/>
    <mergeCell ref="B3148:C3148"/>
    <mergeCell ref="B3149:C3149"/>
    <mergeCell ref="B3150:C3150"/>
    <mergeCell ref="B3130:C3130"/>
    <mergeCell ref="B3131:C3131"/>
    <mergeCell ref="B3132:C3132"/>
    <mergeCell ref="B3133:C3133"/>
    <mergeCell ref="B3140:C3140"/>
    <mergeCell ref="B3166:C3166"/>
    <mergeCell ref="B3167:C3167"/>
    <mergeCell ref="B3271:C3271"/>
    <mergeCell ref="B3272:C3272"/>
    <mergeCell ref="B3273:C3273"/>
    <mergeCell ref="A3276:D3276"/>
    <mergeCell ref="B3266:C3266"/>
    <mergeCell ref="B3267:C3267"/>
    <mergeCell ref="B3268:C3268"/>
    <mergeCell ref="B3269:C3269"/>
    <mergeCell ref="B3270:C3270"/>
    <mergeCell ref="B3189:C3189"/>
    <mergeCell ref="B3190:C3190"/>
    <mergeCell ref="B3191:C3191"/>
    <mergeCell ref="B3192:C3192"/>
    <mergeCell ref="B3172:C3172"/>
    <mergeCell ref="B3173:C3173"/>
    <mergeCell ref="B3186:C3186"/>
    <mergeCell ref="B3180:C3180"/>
    <mergeCell ref="B3274:C3274"/>
    <mergeCell ref="B3240:C3240"/>
    <mergeCell ref="B3200:C3200"/>
    <mergeCell ref="B3194:C3194"/>
    <mergeCell ref="A3196:D3196"/>
    <mergeCell ref="B3251:C3251"/>
    <mergeCell ref="B3252:C3252"/>
    <mergeCell ref="B3253:C3253"/>
    <mergeCell ref="B3254:C3254"/>
    <mergeCell ref="B3193:C3193"/>
    <mergeCell ref="B3206:C3206"/>
    <mergeCell ref="B3207:C3207"/>
    <mergeCell ref="B3187:C3187"/>
    <mergeCell ref="B3188:C3188"/>
    <mergeCell ref="B3313:C3313"/>
    <mergeCell ref="B3326:C3326"/>
    <mergeCell ref="B3327:C3327"/>
    <mergeCell ref="B3320:C3320"/>
    <mergeCell ref="B3307:C3307"/>
    <mergeCell ref="B3308:C3308"/>
    <mergeCell ref="B3309:C3309"/>
    <mergeCell ref="B3310:C3310"/>
    <mergeCell ref="B3311:C3311"/>
    <mergeCell ref="B3312:C3312"/>
    <mergeCell ref="B3292:C3292"/>
    <mergeCell ref="B3293:C3293"/>
    <mergeCell ref="B3306:C3306"/>
    <mergeCell ref="B3286:C3286"/>
    <mergeCell ref="B3287:C3287"/>
    <mergeCell ref="B3288:C3288"/>
    <mergeCell ref="B3289:C3289"/>
    <mergeCell ref="B3290:C3290"/>
    <mergeCell ref="B3291:C3291"/>
    <mergeCell ref="B3370:C3370"/>
    <mergeCell ref="B3371:C3371"/>
    <mergeCell ref="B3372:C3372"/>
    <mergeCell ref="B3373:C3373"/>
    <mergeCell ref="B3366:C3366"/>
    <mergeCell ref="B3367:C3367"/>
    <mergeCell ref="B3368:C3368"/>
    <mergeCell ref="B3369:C3369"/>
    <mergeCell ref="B3349:C3349"/>
    <mergeCell ref="B3350:C3350"/>
    <mergeCell ref="B3351:C3351"/>
    <mergeCell ref="B3352:C3352"/>
    <mergeCell ref="B3353:C3353"/>
    <mergeCell ref="B3346:C3346"/>
    <mergeCell ref="B3347:C3347"/>
    <mergeCell ref="B3348:C3348"/>
    <mergeCell ref="B3328:C3328"/>
    <mergeCell ref="B3329:C3329"/>
    <mergeCell ref="B3330:C3330"/>
    <mergeCell ref="B3331:C3331"/>
    <mergeCell ref="B3332:C3332"/>
    <mergeCell ref="B3333:C3333"/>
    <mergeCell ref="A3356:D3356"/>
    <mergeCell ref="B3360:C3360"/>
    <mergeCell ref="B3412:C3412"/>
    <mergeCell ref="B3413:C3413"/>
    <mergeCell ref="B3426:C3426"/>
    <mergeCell ref="B3414:C3414"/>
    <mergeCell ref="B3406:C3406"/>
    <mergeCell ref="B3407:C3407"/>
    <mergeCell ref="B3408:C3408"/>
    <mergeCell ref="B3409:C3409"/>
    <mergeCell ref="B3410:C3410"/>
    <mergeCell ref="B3411:C3411"/>
    <mergeCell ref="B3391:C3391"/>
    <mergeCell ref="B3392:C3392"/>
    <mergeCell ref="B3393:C3393"/>
    <mergeCell ref="B3386:C3386"/>
    <mergeCell ref="B3387:C3387"/>
    <mergeCell ref="B3388:C3388"/>
    <mergeCell ref="B3389:C3389"/>
    <mergeCell ref="B3390:C3390"/>
    <mergeCell ref="A3396:D3396"/>
    <mergeCell ref="B3400:C3400"/>
    <mergeCell ref="A3416:D3416"/>
    <mergeCell ref="B3420:C3420"/>
    <mergeCell ref="B3472:C3472"/>
    <mergeCell ref="B3473:C3473"/>
    <mergeCell ref="B3474:C3474"/>
    <mergeCell ref="B3466:C3466"/>
    <mergeCell ref="B3467:C3467"/>
    <mergeCell ref="B3468:C3468"/>
    <mergeCell ref="B3448:C3448"/>
    <mergeCell ref="B3449:C3449"/>
    <mergeCell ref="B3450:C3450"/>
    <mergeCell ref="B3451:C3451"/>
    <mergeCell ref="B3452:C3452"/>
    <mergeCell ref="B3453:C3453"/>
    <mergeCell ref="B3433:C3433"/>
    <mergeCell ref="B3446:C3446"/>
    <mergeCell ref="B3447:C3447"/>
    <mergeCell ref="B3440:C3440"/>
    <mergeCell ref="B3427:C3427"/>
    <mergeCell ref="B3428:C3428"/>
    <mergeCell ref="B3429:C3429"/>
    <mergeCell ref="B3430:C3430"/>
    <mergeCell ref="B3431:C3431"/>
    <mergeCell ref="B3432:C3432"/>
    <mergeCell ref="B3630:C3630"/>
    <mergeCell ref="B3610:C3610"/>
    <mergeCell ref="B3611:C3611"/>
    <mergeCell ref="B3612:C3612"/>
    <mergeCell ref="B3613:C3613"/>
    <mergeCell ref="B3606:C3606"/>
    <mergeCell ref="B3607:C3607"/>
    <mergeCell ref="B3608:C3608"/>
    <mergeCell ref="B3609:C3609"/>
    <mergeCell ref="B3589:C3589"/>
    <mergeCell ref="B3590:C3590"/>
    <mergeCell ref="B3591:C3591"/>
    <mergeCell ref="B3592:C3592"/>
    <mergeCell ref="B3593:C3593"/>
    <mergeCell ref="B3528:C3528"/>
    <mergeCell ref="B3529:C3529"/>
    <mergeCell ref="B3530:C3530"/>
    <mergeCell ref="B3531:C3531"/>
    <mergeCell ref="A3536:D3536"/>
    <mergeCell ref="B3554:C3554"/>
    <mergeCell ref="A3556:D3556"/>
    <mergeCell ref="B3533:C3533"/>
    <mergeCell ref="B3546:C3546"/>
    <mergeCell ref="B3534:C3534"/>
    <mergeCell ref="B600:C600"/>
    <mergeCell ref="B614:C614"/>
    <mergeCell ref="B580:C580"/>
    <mergeCell ref="B594:C594"/>
    <mergeCell ref="B3526:C3526"/>
    <mergeCell ref="B3527:C3527"/>
    <mergeCell ref="B240:C240"/>
    <mergeCell ref="B220:C220"/>
    <mergeCell ref="B606:C606"/>
    <mergeCell ref="B607:C607"/>
    <mergeCell ref="B608:C608"/>
    <mergeCell ref="B609:C609"/>
    <mergeCell ref="B610:C610"/>
    <mergeCell ref="B590:C590"/>
    <mergeCell ref="B591:C591"/>
    <mergeCell ref="B592:C592"/>
    <mergeCell ref="B593:C593"/>
    <mergeCell ref="B586:C586"/>
    <mergeCell ref="B587:C587"/>
    <mergeCell ref="B588:C588"/>
    <mergeCell ref="B589:C589"/>
    <mergeCell ref="B569:C569"/>
    <mergeCell ref="B570:C570"/>
    <mergeCell ref="B434:C434"/>
    <mergeCell ref="A436:D436"/>
    <mergeCell ref="B3511:C3511"/>
    <mergeCell ref="B3512:C3512"/>
    <mergeCell ref="B3513:C3513"/>
    <mergeCell ref="B3520:C3520"/>
    <mergeCell ref="B3506:C3506"/>
    <mergeCell ref="B3507:C3507"/>
    <mergeCell ref="B334:C334"/>
    <mergeCell ref="A976:D976"/>
    <mergeCell ref="B954:C954"/>
    <mergeCell ref="A936:D936"/>
    <mergeCell ref="B914:C914"/>
    <mergeCell ref="B934:C934"/>
    <mergeCell ref="B920:C920"/>
    <mergeCell ref="B874:C874"/>
    <mergeCell ref="B854:C854"/>
    <mergeCell ref="A856:D856"/>
    <mergeCell ref="B860:C860"/>
    <mergeCell ref="B754:C754"/>
    <mergeCell ref="B720:C720"/>
    <mergeCell ref="A816:D816"/>
    <mergeCell ref="B820:C820"/>
    <mergeCell ref="B834:C834"/>
    <mergeCell ref="A836:D836"/>
    <mergeCell ref="B840:C840"/>
    <mergeCell ref="A876:D876"/>
    <mergeCell ref="A776:D776"/>
    <mergeCell ref="B971:C971"/>
    <mergeCell ref="B972:C972"/>
    <mergeCell ref="B973:C973"/>
    <mergeCell ref="B880:C880"/>
    <mergeCell ref="B866:C866"/>
    <mergeCell ref="B867:C867"/>
    <mergeCell ref="B868:C868"/>
    <mergeCell ref="B869:C869"/>
    <mergeCell ref="B800:C800"/>
    <mergeCell ref="B870:C870"/>
    <mergeCell ref="B871:C871"/>
    <mergeCell ref="B851:C851"/>
    <mergeCell ref="B852:C852"/>
    <mergeCell ref="B700:C700"/>
    <mergeCell ref="B694:C694"/>
    <mergeCell ref="A696:D696"/>
    <mergeCell ref="B1314:C1314"/>
    <mergeCell ref="B1220:C1220"/>
    <mergeCell ref="B1154:C1154"/>
    <mergeCell ref="B1120:C1120"/>
    <mergeCell ref="B1114:C1114"/>
    <mergeCell ref="A1116:D1116"/>
    <mergeCell ref="B1100:C1100"/>
    <mergeCell ref="B1094:C1094"/>
    <mergeCell ref="A1096:D1096"/>
    <mergeCell ref="B1080:C1080"/>
    <mergeCell ref="B1074:C1074"/>
    <mergeCell ref="A1076:D1076"/>
    <mergeCell ref="A1016:D1016"/>
    <mergeCell ref="A1036:D1036"/>
    <mergeCell ref="B1054:C1054"/>
    <mergeCell ref="A1056:D1056"/>
    <mergeCell ref="A896:D896"/>
    <mergeCell ref="B900:C900"/>
    <mergeCell ref="A916:D916"/>
    <mergeCell ref="B1273:C1273"/>
    <mergeCell ref="B1286:C1286"/>
    <mergeCell ref="B1287:C1287"/>
    <mergeCell ref="B1274:C1274"/>
    <mergeCell ref="A1276:D1276"/>
    <mergeCell ref="B1280:C1280"/>
    <mergeCell ref="B1267:C1267"/>
    <mergeCell ref="B1268:C1268"/>
    <mergeCell ref="B1269:C1269"/>
    <mergeCell ref="B1270:C1270"/>
    <mergeCell ref="B1334:C1334"/>
    <mergeCell ref="A1316:D1316"/>
    <mergeCell ref="B1320:C1320"/>
    <mergeCell ref="A1336:D1336"/>
    <mergeCell ref="B1570:C1570"/>
    <mergeCell ref="B1571:C1571"/>
    <mergeCell ref="B1572:C1572"/>
    <mergeCell ref="B1573:C1573"/>
    <mergeCell ref="B1574:C1574"/>
    <mergeCell ref="B1566:C1566"/>
    <mergeCell ref="B1567:C1567"/>
    <mergeCell ref="B1568:C1568"/>
    <mergeCell ref="B1569:C1569"/>
    <mergeCell ref="B1549:C1549"/>
    <mergeCell ref="B1550:C1550"/>
    <mergeCell ref="B1551:C1551"/>
    <mergeCell ref="B1552:C1552"/>
    <mergeCell ref="B1553:C1553"/>
    <mergeCell ref="B1546:C1546"/>
    <mergeCell ref="B1534:C1534"/>
    <mergeCell ref="A1536:D1536"/>
    <mergeCell ref="B1554:C1554"/>
    <mergeCell ref="A1556:D1556"/>
    <mergeCell ref="B1454:C1454"/>
    <mergeCell ref="A1456:D1456"/>
    <mergeCell ref="B1474:C1474"/>
    <mergeCell ref="A1476:D1476"/>
    <mergeCell ref="B1494:C1494"/>
    <mergeCell ref="A1496:D1496"/>
    <mergeCell ref="B1340:C1340"/>
    <mergeCell ref="A1356:D1356"/>
    <mergeCell ref="B1360:C1360"/>
    <mergeCell ref="B1960:C1960"/>
    <mergeCell ref="B1954:C1954"/>
    <mergeCell ref="A1956:D1956"/>
    <mergeCell ref="B1940:C1940"/>
    <mergeCell ref="B1934:C1934"/>
    <mergeCell ref="A1936:D1936"/>
    <mergeCell ref="B1920:C1920"/>
    <mergeCell ref="A1916:D1916"/>
    <mergeCell ref="B1860:C1860"/>
    <mergeCell ref="B1820:C1820"/>
    <mergeCell ref="B1834:C1834"/>
    <mergeCell ref="A1836:D1836"/>
    <mergeCell ref="B1814:C1814"/>
    <mergeCell ref="A1796:D1796"/>
    <mergeCell ref="B1800:C1800"/>
    <mergeCell ref="B2113:C2113"/>
    <mergeCell ref="B2126:C2126"/>
    <mergeCell ref="B2114:C2114"/>
    <mergeCell ref="A2116:D2116"/>
    <mergeCell ref="B2120:C2120"/>
    <mergeCell ref="B2107:C2107"/>
    <mergeCell ref="B2108:C2108"/>
    <mergeCell ref="B2109:C2109"/>
    <mergeCell ref="B2110:C2110"/>
    <mergeCell ref="B2111:C2111"/>
    <mergeCell ref="B2112:C2112"/>
    <mergeCell ref="B2092:C2092"/>
    <mergeCell ref="B2093:C2093"/>
    <mergeCell ref="A1856:D1856"/>
    <mergeCell ref="B1874:C1874"/>
    <mergeCell ref="A1876:D1876"/>
    <mergeCell ref="B1894:C1894"/>
    <mergeCell ref="B2300:C2300"/>
    <mergeCell ref="B2280:C2280"/>
    <mergeCell ref="A2276:D2276"/>
    <mergeCell ref="B2254:C2254"/>
    <mergeCell ref="B2260:C2260"/>
    <mergeCell ref="A2256:D2256"/>
    <mergeCell ref="B2234:C2234"/>
    <mergeCell ref="B2194:C2194"/>
    <mergeCell ref="B2174:C2174"/>
    <mergeCell ref="A2156:D2156"/>
    <mergeCell ref="B2160:C2160"/>
    <mergeCell ref="A2176:D2176"/>
    <mergeCell ref="B2410:C2410"/>
    <mergeCell ref="B2411:C2411"/>
    <mergeCell ref="B2412:C2412"/>
    <mergeCell ref="B2413:C2413"/>
    <mergeCell ref="B2414:C2414"/>
    <mergeCell ref="B2406:C2406"/>
    <mergeCell ref="B2407:C2407"/>
    <mergeCell ref="B2408:C2408"/>
    <mergeCell ref="B2409:C2409"/>
    <mergeCell ref="B2389:C2389"/>
    <mergeCell ref="B2390:C2390"/>
    <mergeCell ref="B2391:C2391"/>
    <mergeCell ref="B2286:C2286"/>
    <mergeCell ref="B2287:C2287"/>
    <mergeCell ref="B2352:C2352"/>
    <mergeCell ref="B2392:C2392"/>
    <mergeCell ref="B2393:C2393"/>
    <mergeCell ref="B2386:C2386"/>
    <mergeCell ref="B2374:C2374"/>
    <mergeCell ref="A2376:D2376"/>
    <mergeCell ref="B2900:C2900"/>
    <mergeCell ref="B2834:C2834"/>
    <mergeCell ref="B2800:C2800"/>
    <mergeCell ref="B2794:C2794"/>
    <mergeCell ref="A2796:D2796"/>
    <mergeCell ref="B2780:C2780"/>
    <mergeCell ref="B2774:C2774"/>
    <mergeCell ref="A2776:D2776"/>
    <mergeCell ref="B2760:C2760"/>
    <mergeCell ref="A2756:D2756"/>
    <mergeCell ref="B2700:C2700"/>
    <mergeCell ref="B2660:C2660"/>
    <mergeCell ref="B2674:C2674"/>
    <mergeCell ref="A2676:D2676"/>
    <mergeCell ref="B2654:C2654"/>
    <mergeCell ref="A2636:D2636"/>
    <mergeCell ref="B2640:C2640"/>
    <mergeCell ref="B2886:C2886"/>
    <mergeCell ref="B2887:C2887"/>
    <mergeCell ref="B2888:C2888"/>
    <mergeCell ref="B2889:C2889"/>
    <mergeCell ref="B2869:C2869"/>
    <mergeCell ref="B2870:C2870"/>
    <mergeCell ref="B2871:C2871"/>
    <mergeCell ref="B2872:C2872"/>
    <mergeCell ref="B2873:C2873"/>
    <mergeCell ref="B2866:C2866"/>
    <mergeCell ref="B2867:C2867"/>
    <mergeCell ref="B2868:C2868"/>
    <mergeCell ref="B2848:C2848"/>
    <mergeCell ref="B2849:C2849"/>
    <mergeCell ref="B2850:C2850"/>
    <mergeCell ref="B2953:C2953"/>
    <mergeCell ref="B2966:C2966"/>
    <mergeCell ref="B2967:C2967"/>
    <mergeCell ref="B2954:C2954"/>
    <mergeCell ref="A2956:D2956"/>
    <mergeCell ref="B2960:C2960"/>
    <mergeCell ref="B2947:C2947"/>
    <mergeCell ref="B2948:C2948"/>
    <mergeCell ref="B2949:C2949"/>
    <mergeCell ref="B2950:C2950"/>
    <mergeCell ref="B2951:C2951"/>
    <mergeCell ref="B3034:C3034"/>
    <mergeCell ref="B3014:C3014"/>
    <mergeCell ref="A2996:D2996"/>
    <mergeCell ref="B3000:C3000"/>
    <mergeCell ref="A3016:D3016"/>
    <mergeCell ref="B3250:C3250"/>
    <mergeCell ref="B3246:C3246"/>
    <mergeCell ref="B3247:C3247"/>
    <mergeCell ref="B3248:C3248"/>
    <mergeCell ref="B3249:C3249"/>
    <mergeCell ref="B3229:C3229"/>
    <mergeCell ref="B3230:C3230"/>
    <mergeCell ref="B3231:C3231"/>
    <mergeCell ref="B3232:C3232"/>
    <mergeCell ref="B3233:C3233"/>
    <mergeCell ref="B3226:C3226"/>
    <mergeCell ref="B3209:C3209"/>
    <mergeCell ref="B3210:C3210"/>
    <mergeCell ref="B3211:C3211"/>
    <mergeCell ref="B3212:C3212"/>
    <mergeCell ref="B3213:C3213"/>
    <mergeCell ref="B3633:C3633"/>
    <mergeCell ref="B3634:C3634"/>
    <mergeCell ref="A3636:D3636"/>
    <mergeCell ref="B3620:C3620"/>
    <mergeCell ref="B3614:C3614"/>
    <mergeCell ref="A3616:D3616"/>
    <mergeCell ref="B3600:C3600"/>
    <mergeCell ref="A3596:D3596"/>
    <mergeCell ref="B3540:C3540"/>
    <mergeCell ref="B3500:C3500"/>
    <mergeCell ref="B3514:C3514"/>
    <mergeCell ref="A3516:D3516"/>
    <mergeCell ref="B3494:C3494"/>
    <mergeCell ref="A3476:D3476"/>
    <mergeCell ref="B3480:C3480"/>
    <mergeCell ref="B3454:C3454"/>
    <mergeCell ref="A3456:D3456"/>
    <mergeCell ref="B3460:C3460"/>
    <mergeCell ref="B3570:C3570"/>
    <mergeCell ref="B3571:C3571"/>
    <mergeCell ref="B3572:C3572"/>
    <mergeCell ref="B3573:C3573"/>
    <mergeCell ref="B3553:C3553"/>
    <mergeCell ref="B3566:C3566"/>
    <mergeCell ref="B3567:C3567"/>
    <mergeCell ref="B3560:C3560"/>
    <mergeCell ref="B3547:C3547"/>
    <mergeCell ref="B3548:C3548"/>
    <mergeCell ref="B3549:C3549"/>
    <mergeCell ref="B3550:C3550"/>
    <mergeCell ref="B3551:C3551"/>
    <mergeCell ref="B3552:C3552"/>
    <mergeCell ref="B3700:C3700"/>
    <mergeCell ref="B3686:C3686"/>
    <mergeCell ref="B3666:C3666"/>
    <mergeCell ref="B3667:C3667"/>
    <mergeCell ref="B3668:C3668"/>
    <mergeCell ref="B3674:C3674"/>
    <mergeCell ref="B3670:C3670"/>
    <mergeCell ref="B3671:C3671"/>
    <mergeCell ref="B3672:C3672"/>
    <mergeCell ref="B3673:C3673"/>
    <mergeCell ref="B3653:C3653"/>
    <mergeCell ref="B3660:C3660"/>
    <mergeCell ref="B3646:C3646"/>
    <mergeCell ref="B3647:C3647"/>
    <mergeCell ref="B3648:C3648"/>
    <mergeCell ref="B3649:C3649"/>
    <mergeCell ref="B3640:C3640"/>
    <mergeCell ref="B3631:C3631"/>
    <mergeCell ref="B3632:C3632"/>
    <mergeCell ref="B3586:C3586"/>
    <mergeCell ref="B3587:C3587"/>
    <mergeCell ref="B3588:C3588"/>
    <mergeCell ref="B3580:C3580"/>
    <mergeCell ref="B3568:C3568"/>
    <mergeCell ref="B3569:C3569"/>
    <mergeCell ref="B3626:C3626"/>
    <mergeCell ref="B3627:C3627"/>
    <mergeCell ref="B3628:C3628"/>
    <mergeCell ref="B3629:C3629"/>
    <mergeCell ref="B3766:C3766"/>
    <mergeCell ref="B3767:C3767"/>
    <mergeCell ref="B3768:C3768"/>
    <mergeCell ref="B3747:C3747"/>
    <mergeCell ref="B3748:C3748"/>
    <mergeCell ref="B3749:C3749"/>
    <mergeCell ref="B3750:C3750"/>
    <mergeCell ref="B3751:C3751"/>
    <mergeCell ref="B3752:C3752"/>
    <mergeCell ref="B3731:C3731"/>
    <mergeCell ref="B3746:C3746"/>
    <mergeCell ref="B3740:C3740"/>
    <mergeCell ref="B3726:C3726"/>
    <mergeCell ref="B3727:C3727"/>
    <mergeCell ref="B3728:C3728"/>
    <mergeCell ref="B3729:C3729"/>
    <mergeCell ref="B3730:C3730"/>
    <mergeCell ref="B3574:C3574"/>
    <mergeCell ref="A3576:D3576"/>
    <mergeCell ref="B3594:C3594"/>
    <mergeCell ref="B3791:C3791"/>
    <mergeCell ref="B3792:C3792"/>
    <mergeCell ref="B3793:C3793"/>
    <mergeCell ref="B3794:C3794"/>
    <mergeCell ref="A3796:D3796"/>
    <mergeCell ref="B3800:C3800"/>
    <mergeCell ref="B3786:C3786"/>
    <mergeCell ref="B3787:C3787"/>
    <mergeCell ref="B3788:C3788"/>
    <mergeCell ref="B3789:C3789"/>
    <mergeCell ref="B3790:C3790"/>
    <mergeCell ref="B3780:C3780"/>
    <mergeCell ref="B3769:C3769"/>
    <mergeCell ref="B3770:C3770"/>
    <mergeCell ref="B3771:C3771"/>
    <mergeCell ref="B3772:C3772"/>
    <mergeCell ref="B3773:C3773"/>
    <mergeCell ref="B3847:C3847"/>
    <mergeCell ref="B3848:C3848"/>
    <mergeCell ref="B3829:C3829"/>
    <mergeCell ref="B3830:C3830"/>
    <mergeCell ref="B3831:C3831"/>
    <mergeCell ref="B3832:C3832"/>
    <mergeCell ref="B3833:C3833"/>
    <mergeCell ref="B3834:C3834"/>
    <mergeCell ref="B3813:C3813"/>
    <mergeCell ref="B3814:C3814"/>
    <mergeCell ref="B3828:C3828"/>
    <mergeCell ref="B3807:C3807"/>
    <mergeCell ref="B3808:C3808"/>
    <mergeCell ref="B3809:C3809"/>
    <mergeCell ref="B3810:C3810"/>
    <mergeCell ref="B3811:C3811"/>
    <mergeCell ref="B3812:C3812"/>
    <mergeCell ref="B3912:C3912"/>
    <mergeCell ref="B3913:C3913"/>
    <mergeCell ref="B3914:C3914"/>
    <mergeCell ref="B3906:C3906"/>
    <mergeCell ref="B3907:C3907"/>
    <mergeCell ref="B3908:C3908"/>
    <mergeCell ref="B3909:C3909"/>
    <mergeCell ref="A3896:D3896"/>
    <mergeCell ref="B3900:C3900"/>
    <mergeCell ref="B3891:C3891"/>
    <mergeCell ref="B3892:C3892"/>
    <mergeCell ref="B3893:C3893"/>
    <mergeCell ref="B3894:C3894"/>
    <mergeCell ref="B3889:C3889"/>
    <mergeCell ref="B3890:C3890"/>
    <mergeCell ref="B3873:C3873"/>
    <mergeCell ref="B3874:C3874"/>
    <mergeCell ref="B3910:C3910"/>
    <mergeCell ref="B3911:C3911"/>
    <mergeCell ref="B3872:C3872"/>
    <mergeCell ref="B360:C360"/>
    <mergeCell ref="B374:C374"/>
    <mergeCell ref="A376:D376"/>
    <mergeCell ref="B380:C380"/>
    <mergeCell ref="B394:C394"/>
    <mergeCell ref="A396:D396"/>
    <mergeCell ref="A296:D296"/>
    <mergeCell ref="A316:D316"/>
    <mergeCell ref="A336:D336"/>
    <mergeCell ref="B340:C340"/>
    <mergeCell ref="B354:C354"/>
    <mergeCell ref="A356:D356"/>
    <mergeCell ref="A236:D236"/>
    <mergeCell ref="B254:C254"/>
    <mergeCell ref="A256:D256"/>
    <mergeCell ref="B274:C274"/>
    <mergeCell ref="A276:D276"/>
    <mergeCell ref="B294:C294"/>
    <mergeCell ref="B392:C392"/>
    <mergeCell ref="B393:C393"/>
    <mergeCell ref="B346:C346"/>
    <mergeCell ref="B347:C347"/>
    <mergeCell ref="B348:C348"/>
    <mergeCell ref="B349:C349"/>
    <mergeCell ref="B329:C329"/>
    <mergeCell ref="B330:C330"/>
    <mergeCell ref="B331:C331"/>
    <mergeCell ref="B332:C332"/>
    <mergeCell ref="B333:C333"/>
    <mergeCell ref="B3840:C3840"/>
    <mergeCell ref="B3846:C3846"/>
    <mergeCell ref="A576:D576"/>
    <mergeCell ref="A596:D596"/>
    <mergeCell ref="A616:D616"/>
    <mergeCell ref="B660:C660"/>
    <mergeCell ref="B634:C634"/>
    <mergeCell ref="B1240:C1240"/>
    <mergeCell ref="B1254:C1254"/>
    <mergeCell ref="A1256:D1256"/>
    <mergeCell ref="B1260:C1260"/>
    <mergeCell ref="A1296:D1296"/>
    <mergeCell ref="B1300:C1300"/>
    <mergeCell ref="B1180:C1180"/>
    <mergeCell ref="B1194:C1194"/>
    <mergeCell ref="A1196:D1196"/>
    <mergeCell ref="B1200:C1200"/>
    <mergeCell ref="B1214:C1214"/>
    <mergeCell ref="A1216:D1216"/>
    <mergeCell ref="B1134:C1134"/>
    <mergeCell ref="A1136:D1136"/>
    <mergeCell ref="A1156:D1156"/>
    <mergeCell ref="B1160:C1160"/>
    <mergeCell ref="B1174:C1174"/>
    <mergeCell ref="A1176:D1176"/>
    <mergeCell ref="B1294:C1294"/>
    <mergeCell ref="B1253:C1253"/>
    <mergeCell ref="B1266:C1266"/>
    <mergeCell ref="B1246:C1246"/>
    <mergeCell ref="B1247:C1247"/>
    <mergeCell ref="B1248:C1248"/>
    <mergeCell ref="B1249:C1249"/>
    <mergeCell ref="B1250:C1250"/>
    <mergeCell ref="B1251:C1251"/>
    <mergeCell ref="B1533:C1533"/>
    <mergeCell ref="B1513:C1513"/>
    <mergeCell ref="B1526:C1526"/>
    <mergeCell ref="B1527:C1527"/>
    <mergeCell ref="B1507:C1507"/>
    <mergeCell ref="B1508:C1508"/>
    <mergeCell ref="B1486:C1486"/>
    <mergeCell ref="B1487:C1487"/>
    <mergeCell ref="B1488:C1488"/>
    <mergeCell ref="B1489:C1489"/>
    <mergeCell ref="B1490:C1490"/>
    <mergeCell ref="B1491:C1491"/>
    <mergeCell ref="B1471:C1471"/>
    <mergeCell ref="B1472:C1472"/>
    <mergeCell ref="B1473:C1473"/>
    <mergeCell ref="B1480:C1480"/>
    <mergeCell ref="B1466:C1466"/>
    <mergeCell ref="B1467:C1467"/>
    <mergeCell ref="B1468:C1468"/>
    <mergeCell ref="B1469:C1469"/>
    <mergeCell ref="B1470:C1470"/>
    <mergeCell ref="B1600:C1600"/>
    <mergeCell ref="B1614:C1614"/>
    <mergeCell ref="A1616:D1616"/>
    <mergeCell ref="B1620:C1620"/>
    <mergeCell ref="B1634:C1634"/>
    <mergeCell ref="A1636:D1636"/>
    <mergeCell ref="B1774:C1774"/>
    <mergeCell ref="A1776:D1776"/>
    <mergeCell ref="B1780:C1780"/>
    <mergeCell ref="B1754:C1754"/>
    <mergeCell ref="A1756:D1756"/>
    <mergeCell ref="B1694:C1694"/>
    <mergeCell ref="A1696:D1696"/>
    <mergeCell ref="B1700:C1700"/>
    <mergeCell ref="B1714:C1714"/>
    <mergeCell ref="B2080:C2080"/>
    <mergeCell ref="B2094:C2094"/>
    <mergeCell ref="B2020:C2020"/>
    <mergeCell ref="B2034:C2034"/>
    <mergeCell ref="A2036:D2036"/>
    <mergeCell ref="B2040:C2040"/>
    <mergeCell ref="B2054:C2054"/>
    <mergeCell ref="A2056:D2056"/>
    <mergeCell ref="B1974:C1974"/>
    <mergeCell ref="A1976:D1976"/>
    <mergeCell ref="A1996:D1996"/>
    <mergeCell ref="B2000:C2000"/>
    <mergeCell ref="B2014:C2014"/>
    <mergeCell ref="A2016:D2016"/>
    <mergeCell ref="B2086:C2086"/>
    <mergeCell ref="B2087:C2087"/>
    <mergeCell ref="B2088:C2088"/>
    <mergeCell ref="A2076:D2076"/>
    <mergeCell ref="B2066:C2066"/>
    <mergeCell ref="B2294:C2294"/>
    <mergeCell ref="A2296:D2296"/>
    <mergeCell ref="B2314:C2314"/>
    <mergeCell ref="A2316:D2316"/>
    <mergeCell ref="B2334:C2334"/>
    <mergeCell ref="A2336:D2336"/>
    <mergeCell ref="B2180:C2180"/>
    <mergeCell ref="A2196:D2196"/>
    <mergeCell ref="B2200:C2200"/>
    <mergeCell ref="A2216:D2216"/>
    <mergeCell ref="B2220:C2220"/>
    <mergeCell ref="A2236:D2236"/>
    <mergeCell ref="B2387:C2387"/>
    <mergeCell ref="B2388:C2388"/>
    <mergeCell ref="B2380:C2380"/>
    <mergeCell ref="B2368:C2368"/>
    <mergeCell ref="B2369:C2369"/>
    <mergeCell ref="B2370:C2370"/>
    <mergeCell ref="B2371:C2371"/>
    <mergeCell ref="B2372:C2372"/>
    <mergeCell ref="B2373:C2373"/>
    <mergeCell ref="B2353:C2353"/>
    <mergeCell ref="B2366:C2366"/>
    <mergeCell ref="B2367:C2367"/>
    <mergeCell ref="B2347:C2347"/>
    <mergeCell ref="B2348:C2348"/>
    <mergeCell ref="B2290:C2290"/>
    <mergeCell ref="B2291:C2291"/>
    <mergeCell ref="B2292:C2292"/>
    <mergeCell ref="B2293:C2293"/>
    <mergeCell ref="B2594:C2594"/>
    <mergeCell ref="A2596:D2596"/>
    <mergeCell ref="B2534:C2534"/>
    <mergeCell ref="A2536:D2536"/>
    <mergeCell ref="B2540:C2540"/>
    <mergeCell ref="B2554:C2554"/>
    <mergeCell ref="B2494:C2494"/>
    <mergeCell ref="A2496:D2496"/>
    <mergeCell ref="B2500:C2500"/>
    <mergeCell ref="B2514:C2514"/>
    <mergeCell ref="B2593:C2593"/>
    <mergeCell ref="B2606:C2606"/>
    <mergeCell ref="B2607:C2607"/>
    <mergeCell ref="B2600:C2600"/>
    <mergeCell ref="B2587:C2587"/>
    <mergeCell ref="B2588:C2588"/>
    <mergeCell ref="B2589:C2589"/>
    <mergeCell ref="B2590:C2590"/>
    <mergeCell ref="B2591:C2591"/>
    <mergeCell ref="B2592:C2592"/>
    <mergeCell ref="B2572:C2572"/>
    <mergeCell ref="B2573:C2573"/>
    <mergeCell ref="B2586:C2586"/>
    <mergeCell ref="B2574:C2574"/>
    <mergeCell ref="B2566:C2566"/>
    <mergeCell ref="B2567:C2567"/>
    <mergeCell ref="B2568:C2568"/>
    <mergeCell ref="B2569:C2569"/>
    <mergeCell ref="B2570:C2570"/>
    <mergeCell ref="B2571:C2571"/>
    <mergeCell ref="B2551:C2551"/>
    <mergeCell ref="B2552:C2552"/>
    <mergeCell ref="B2928:C2928"/>
    <mergeCell ref="B2929:C2929"/>
    <mergeCell ref="B2930:C2930"/>
    <mergeCell ref="B2931:C2931"/>
    <mergeCell ref="B2911:C2911"/>
    <mergeCell ref="B2912:C2912"/>
    <mergeCell ref="B2913:C2913"/>
    <mergeCell ref="B2914:C2914"/>
    <mergeCell ref="A2916:D2916"/>
    <mergeCell ref="B2906:C2906"/>
    <mergeCell ref="B3214:C3214"/>
    <mergeCell ref="A3216:D3216"/>
    <mergeCell ref="B3234:C3234"/>
    <mergeCell ref="A3236:D3236"/>
    <mergeCell ref="A3256:D3256"/>
    <mergeCell ref="B3260:C3260"/>
    <mergeCell ref="B3134:C3134"/>
    <mergeCell ref="A3136:D3136"/>
    <mergeCell ref="B3154:C3154"/>
    <mergeCell ref="A3156:D3156"/>
    <mergeCell ref="B3174:C3174"/>
    <mergeCell ref="A3176:D3176"/>
    <mergeCell ref="B3020:C3020"/>
    <mergeCell ref="A3036:D3036"/>
    <mergeCell ref="B3040:C3040"/>
    <mergeCell ref="A3056:D3056"/>
    <mergeCell ref="B3060:C3060"/>
    <mergeCell ref="A3076:D3076"/>
    <mergeCell ref="B3227:C3227"/>
    <mergeCell ref="B3228:C3228"/>
    <mergeCell ref="B3220:C3220"/>
    <mergeCell ref="B3208:C3208"/>
    <mergeCell ref="B3280:C3280"/>
    <mergeCell ref="B3294:C3294"/>
    <mergeCell ref="A3296:D3296"/>
    <mergeCell ref="B3300:C3300"/>
    <mergeCell ref="B3314:C3314"/>
    <mergeCell ref="A3316:D3316"/>
    <mergeCell ref="B3434:C3434"/>
    <mergeCell ref="A3436:D3436"/>
    <mergeCell ref="B3374:C3374"/>
    <mergeCell ref="A3376:D3376"/>
    <mergeCell ref="B3380:C3380"/>
    <mergeCell ref="B3394:C3394"/>
    <mergeCell ref="B3334:C3334"/>
    <mergeCell ref="A3336:D3336"/>
    <mergeCell ref="B3340:C3340"/>
    <mergeCell ref="B3354:C3354"/>
    <mergeCell ref="B3532:C3532"/>
    <mergeCell ref="B3508:C3508"/>
    <mergeCell ref="B3509:C3509"/>
    <mergeCell ref="B3510:C3510"/>
    <mergeCell ref="B3490:C3490"/>
    <mergeCell ref="B3491:C3491"/>
    <mergeCell ref="B3492:C3492"/>
    <mergeCell ref="B3493:C3493"/>
    <mergeCell ref="A3496:D3496"/>
    <mergeCell ref="B3486:C3486"/>
    <mergeCell ref="B3487:C3487"/>
    <mergeCell ref="B3488:C3488"/>
    <mergeCell ref="B3489:C3489"/>
    <mergeCell ref="B3469:C3469"/>
    <mergeCell ref="B3470:C3470"/>
    <mergeCell ref="B3471:C3471"/>
    <mergeCell ref="A3716:D3716"/>
    <mergeCell ref="B3720:C3720"/>
    <mergeCell ref="B3732:C3732"/>
    <mergeCell ref="B3733:C3733"/>
    <mergeCell ref="B3734:C3734"/>
    <mergeCell ref="A3736:D3736"/>
    <mergeCell ref="A3676:D3676"/>
    <mergeCell ref="B3680:C3680"/>
    <mergeCell ref="B3690:C3690"/>
    <mergeCell ref="B3691:C3691"/>
    <mergeCell ref="B3692:C3692"/>
    <mergeCell ref="B3693:C3693"/>
    <mergeCell ref="B3650:C3650"/>
    <mergeCell ref="B3651:C3651"/>
    <mergeCell ref="B3652:C3652"/>
    <mergeCell ref="B3654:C3654"/>
    <mergeCell ref="A3656:D3656"/>
    <mergeCell ref="B3669:C3669"/>
    <mergeCell ref="B3709:C3709"/>
    <mergeCell ref="B3710:C3710"/>
    <mergeCell ref="B3711:C3711"/>
    <mergeCell ref="B3712:C3712"/>
    <mergeCell ref="B3713:C3713"/>
    <mergeCell ref="B3714:C3714"/>
    <mergeCell ref="B3706:C3706"/>
    <mergeCell ref="B3707:C3707"/>
    <mergeCell ref="B3708:C3708"/>
    <mergeCell ref="B3687:C3687"/>
    <mergeCell ref="B3688:C3688"/>
    <mergeCell ref="B3689:C3689"/>
    <mergeCell ref="B3694:C3694"/>
    <mergeCell ref="A3696:D3696"/>
    <mergeCell ref="A3916:D3916"/>
    <mergeCell ref="B3869:C3869"/>
    <mergeCell ref="A3876:D3876"/>
    <mergeCell ref="B3880:C3880"/>
    <mergeCell ref="B3886:C3886"/>
    <mergeCell ref="B3887:C3887"/>
    <mergeCell ref="B3888:C3888"/>
    <mergeCell ref="B3806:C3806"/>
    <mergeCell ref="A3816:D3816"/>
    <mergeCell ref="B3820:C3820"/>
    <mergeCell ref="B3826:C3826"/>
    <mergeCell ref="B3827:C3827"/>
    <mergeCell ref="A3836:D3836"/>
    <mergeCell ref="B3753:C3753"/>
    <mergeCell ref="B3754:C3754"/>
    <mergeCell ref="A3756:D3756"/>
    <mergeCell ref="B3760:C3760"/>
    <mergeCell ref="B3774:C3774"/>
    <mergeCell ref="A3776:D3776"/>
    <mergeCell ref="B3860:C3860"/>
    <mergeCell ref="B3866:C3866"/>
    <mergeCell ref="B3867:C3867"/>
    <mergeCell ref="B3868:C3868"/>
    <mergeCell ref="B3851:C3851"/>
    <mergeCell ref="B3852:C3852"/>
    <mergeCell ref="B3853:C3853"/>
    <mergeCell ref="B3854:C3854"/>
    <mergeCell ref="A3856:D3856"/>
    <mergeCell ref="B3849:C3849"/>
    <mergeCell ref="B3850:C3850"/>
    <mergeCell ref="B3870:C3870"/>
    <mergeCell ref="B3871:C387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0FB3-B454-4A01-A40B-25223C34E489}">
  <sheetPr codeName="Sheet5"/>
  <dimension ref="A1:V2641"/>
  <sheetViews>
    <sheetView topLeftCell="A451" workbookViewId="0">
      <selection activeCell="A2" sqref="A2"/>
    </sheetView>
  </sheetViews>
  <sheetFormatPr defaultColWidth="9.140625" defaultRowHeight="15" x14ac:dyDescent="0.25"/>
  <cols>
    <col min="5" max="5" width="9.140625" style="31"/>
    <col min="6" max="9" width="9.140625" style="28"/>
    <col min="10" max="18" width="9.140625" style="24"/>
    <col min="19" max="19" width="10.28515625" style="31" customWidth="1"/>
    <col min="20" max="20" width="11.7109375" style="31" bestFit="1" customWidth="1"/>
    <col min="21" max="22" width="10" style="31" customWidth="1"/>
    <col min="23" max="16384" width="9.140625" style="24"/>
  </cols>
  <sheetData>
    <row r="1" spans="1:22" ht="20.25" customHeight="1" thickBot="1" x14ac:dyDescent="0.3"/>
    <row r="2" spans="1:22" ht="20.25" customHeight="1" thickBot="1" x14ac:dyDescent="0.3">
      <c r="A2" s="98" t="s">
        <v>15</v>
      </c>
      <c r="B2" s="76"/>
      <c r="C2" s="98" t="s">
        <v>257</v>
      </c>
      <c r="D2" s="76"/>
      <c r="H2" s="28" t="s">
        <v>19</v>
      </c>
      <c r="J2" s="24" t="s">
        <v>52</v>
      </c>
    </row>
    <row r="3" spans="1:22" ht="20.25" customHeight="1" thickBot="1" x14ac:dyDescent="0.3">
      <c r="A3" s="98" t="s">
        <v>0</v>
      </c>
      <c r="B3" s="76"/>
      <c r="C3" s="98"/>
      <c r="D3" s="76"/>
      <c r="H3" s="28" t="s">
        <v>16</v>
      </c>
      <c r="U3" s="95"/>
      <c r="V3" s="95"/>
    </row>
    <row r="4" spans="1:22" ht="20.25" customHeight="1" thickBot="1" x14ac:dyDescent="0.3">
      <c r="A4" s="98" t="s">
        <v>300</v>
      </c>
      <c r="B4" s="76"/>
      <c r="C4" s="98"/>
      <c r="D4" s="76"/>
      <c r="H4" s="28" t="s">
        <v>47</v>
      </c>
    </row>
    <row r="5" spans="1:22" ht="20.25" customHeight="1" thickBot="1" x14ac:dyDescent="0.3">
      <c r="A5" s="105"/>
      <c r="B5" s="64"/>
      <c r="C5" s="64"/>
      <c r="D5" s="72"/>
      <c r="H5" s="28" t="s">
        <v>48</v>
      </c>
    </row>
    <row r="6" spans="1:22" ht="20.25" customHeight="1" thickBot="1" x14ac:dyDescent="0.3">
      <c r="A6" s="108" t="s">
        <v>13</v>
      </c>
      <c r="B6" s="108" t="s">
        <v>19</v>
      </c>
      <c r="C6" s="108"/>
      <c r="D6" s="108"/>
      <c r="H6" s="28" t="s">
        <v>49</v>
      </c>
    </row>
    <row r="7" spans="1:22" ht="20.25" customHeight="1" x14ac:dyDescent="0.25">
      <c r="A7" s="105" t="s">
        <v>4</v>
      </c>
      <c r="B7" s="111"/>
      <c r="C7" s="112"/>
      <c r="D7" s="113"/>
      <c r="H7" s="28" t="s">
        <v>50</v>
      </c>
    </row>
    <row r="8" spans="1:22" ht="20.25" customHeight="1" x14ac:dyDescent="0.25">
      <c r="A8" s="105" t="s">
        <v>5</v>
      </c>
      <c r="B8" s="114"/>
      <c r="C8" s="109"/>
      <c r="D8" s="115"/>
      <c r="H8" s="28" t="s">
        <v>51</v>
      </c>
    </row>
    <row r="9" spans="1:22" ht="20.25" customHeight="1" x14ac:dyDescent="0.25">
      <c r="A9" s="105" t="s">
        <v>6</v>
      </c>
      <c r="B9" s="114">
        <v>20</v>
      </c>
      <c r="C9" s="109"/>
      <c r="D9" s="115"/>
      <c r="H9" s="28" t="s">
        <v>53</v>
      </c>
    </row>
    <row r="10" spans="1:22" ht="20.25" customHeight="1" x14ac:dyDescent="0.25">
      <c r="A10" s="105" t="s">
        <v>7</v>
      </c>
      <c r="B10" s="114"/>
      <c r="C10" s="109"/>
      <c r="D10" s="115"/>
      <c r="H10" s="28" t="s">
        <v>54</v>
      </c>
    </row>
    <row r="11" spans="1:22" ht="20.25" customHeight="1" x14ac:dyDescent="0.25">
      <c r="A11" s="105" t="s">
        <v>8</v>
      </c>
      <c r="B11" s="114"/>
      <c r="C11" s="109"/>
      <c r="D11" s="115"/>
      <c r="H11" s="28" t="s">
        <v>55</v>
      </c>
    </row>
    <row r="12" spans="1:22" ht="20.25" customHeight="1" x14ac:dyDescent="0.25">
      <c r="A12" s="105" t="s">
        <v>9</v>
      </c>
      <c r="B12" s="114"/>
      <c r="C12" s="109"/>
      <c r="D12" s="115"/>
      <c r="H12" s="28" t="s">
        <v>56</v>
      </c>
    </row>
    <row r="13" spans="1:22" ht="20.25" customHeight="1" x14ac:dyDescent="0.25">
      <c r="A13" s="105" t="s">
        <v>11</v>
      </c>
      <c r="B13" s="114"/>
      <c r="C13" s="109"/>
      <c r="D13" s="115"/>
      <c r="H13" s="39" t="s">
        <v>67</v>
      </c>
    </row>
    <row r="14" spans="1:22" ht="20.25" customHeight="1" x14ac:dyDescent="0.25">
      <c r="A14" s="105" t="s">
        <v>12</v>
      </c>
      <c r="B14" s="114"/>
      <c r="C14" s="109"/>
      <c r="D14" s="115"/>
      <c r="H14" s="39" t="s">
        <v>69</v>
      </c>
    </row>
    <row r="15" spans="1:22" ht="20.25" customHeight="1" thickBot="1" x14ac:dyDescent="0.3">
      <c r="A15" s="73" t="s">
        <v>70</v>
      </c>
      <c r="B15" s="116"/>
      <c r="C15" s="117"/>
      <c r="D15" s="118"/>
      <c r="H15" s="39" t="s">
        <v>68</v>
      </c>
    </row>
    <row r="16" spans="1:22" ht="20.25" customHeight="1" thickBot="1" x14ac:dyDescent="0.3">
      <c r="A16" s="98" t="s">
        <v>18</v>
      </c>
      <c r="B16" s="100"/>
      <c r="C16" s="100"/>
      <c r="D16" s="76"/>
    </row>
    <row r="17" spans="1:22" ht="20.25" customHeight="1" x14ac:dyDescent="0.25">
      <c r="A17" s="91"/>
      <c r="B17" s="92"/>
      <c r="C17" s="92"/>
      <c r="D17" s="104"/>
    </row>
    <row r="18" spans="1:22" ht="20.25" customHeight="1" thickBot="1" x14ac:dyDescent="0.3">
      <c r="A18" s="73"/>
      <c r="B18" s="74"/>
      <c r="C18" s="74"/>
      <c r="D18" s="75"/>
    </row>
    <row r="19" spans="1:22" ht="20.25" customHeight="1" thickBot="1" x14ac:dyDescent="0.3">
      <c r="A19" s="98" t="s">
        <v>17</v>
      </c>
      <c r="B19" s="76"/>
      <c r="C19" s="98">
        <v>20</v>
      </c>
      <c r="D19" s="76"/>
    </row>
    <row r="20" spans="1:22" ht="20.25" customHeight="1" thickBot="1" x14ac:dyDescent="0.3">
      <c r="A20" s="110">
        <v>1</v>
      </c>
      <c r="B20" s="98" t="s">
        <v>10</v>
      </c>
      <c r="C20" s="76"/>
      <c r="D20" s="110">
        <v>2</v>
      </c>
    </row>
    <row r="21" spans="1:22" ht="20.25" customHeight="1" thickBot="1" x14ac:dyDescent="0.3">
      <c r="A21" s="110" t="s">
        <v>44</v>
      </c>
      <c r="B21" s="106">
        <v>44494</v>
      </c>
      <c r="C21" s="74" t="s">
        <v>310</v>
      </c>
      <c r="D21" s="196">
        <v>44494</v>
      </c>
      <c r="T21" s="95"/>
      <c r="V21" s="95"/>
    </row>
    <row r="22" spans="1:22" ht="20.25" customHeight="1" thickBot="1" x14ac:dyDescent="0.3">
      <c r="A22" s="98"/>
      <c r="B22" s="76"/>
      <c r="C22" s="98"/>
      <c r="D22" s="76"/>
    </row>
    <row r="23" spans="1:22" ht="20.25" customHeight="1" thickBot="1" x14ac:dyDescent="0.3">
      <c r="A23" s="98" t="s">
        <v>0</v>
      </c>
      <c r="B23" s="76"/>
      <c r="C23" s="98" t="s">
        <v>308</v>
      </c>
      <c r="D23" s="76"/>
      <c r="U23" s="95"/>
      <c r="V23" s="95"/>
    </row>
    <row r="24" spans="1:22" ht="20.25" customHeight="1" thickBot="1" x14ac:dyDescent="0.3">
      <c r="A24" s="98" t="s">
        <v>300</v>
      </c>
      <c r="B24" s="76"/>
      <c r="C24" s="98"/>
      <c r="D24" s="76"/>
    </row>
    <row r="25" spans="1:22" ht="20.25" customHeight="1" thickBot="1" x14ac:dyDescent="0.3">
      <c r="A25" s="105"/>
      <c r="B25" s="64"/>
      <c r="C25" s="64"/>
      <c r="D25" s="72"/>
    </row>
    <row r="26" spans="1:22" ht="20.25" customHeight="1" thickBot="1" x14ac:dyDescent="0.3">
      <c r="A26" s="108" t="s">
        <v>13</v>
      </c>
      <c r="B26" s="108" t="s">
        <v>307</v>
      </c>
      <c r="C26" s="108"/>
      <c r="D26" s="108"/>
    </row>
    <row r="27" spans="1:22" ht="20.25" customHeight="1" x14ac:dyDescent="0.25">
      <c r="A27" s="105" t="s">
        <v>4</v>
      </c>
      <c r="B27" s="111"/>
      <c r="C27" s="112"/>
      <c r="D27" s="113"/>
    </row>
    <row r="28" spans="1:22" ht="20.25" customHeight="1" x14ac:dyDescent="0.25">
      <c r="A28" s="105" t="s">
        <v>5</v>
      </c>
      <c r="B28" s="114">
        <v>33</v>
      </c>
      <c r="C28" s="109"/>
      <c r="D28" s="115"/>
    </row>
    <row r="29" spans="1:22" ht="20.25" customHeight="1" x14ac:dyDescent="0.25">
      <c r="A29" s="105" t="s">
        <v>6</v>
      </c>
      <c r="B29" s="114"/>
      <c r="C29" s="109"/>
      <c r="D29" s="115"/>
    </row>
    <row r="30" spans="1:22" ht="20.25" customHeight="1" x14ac:dyDescent="0.25">
      <c r="A30" s="105" t="s">
        <v>7</v>
      </c>
      <c r="B30" s="114"/>
      <c r="C30" s="109"/>
      <c r="D30" s="115"/>
    </row>
    <row r="31" spans="1:22" ht="20.25" customHeight="1" x14ac:dyDescent="0.25">
      <c r="A31" s="105" t="s">
        <v>8</v>
      </c>
      <c r="B31" s="114"/>
      <c r="C31" s="109"/>
      <c r="D31" s="115"/>
    </row>
    <row r="32" spans="1:22" ht="20.25" customHeight="1" x14ac:dyDescent="0.25">
      <c r="A32" s="105" t="s">
        <v>9</v>
      </c>
      <c r="B32" s="114"/>
      <c r="C32" s="109"/>
      <c r="D32" s="115"/>
    </row>
    <row r="33" spans="1:22" ht="20.25" customHeight="1" x14ac:dyDescent="0.25">
      <c r="A33" s="105" t="s">
        <v>11</v>
      </c>
      <c r="B33" s="114"/>
      <c r="C33" s="109"/>
      <c r="D33" s="115"/>
    </row>
    <row r="34" spans="1:22" ht="20.25" customHeight="1" x14ac:dyDescent="0.25">
      <c r="A34" s="105" t="s">
        <v>12</v>
      </c>
      <c r="B34" s="114"/>
      <c r="C34" s="109"/>
      <c r="D34" s="115"/>
    </row>
    <row r="35" spans="1:22" ht="20.25" customHeight="1" thickBot="1" x14ac:dyDescent="0.3">
      <c r="A35" s="73" t="s">
        <v>70</v>
      </c>
      <c r="B35" s="116"/>
      <c r="C35" s="117"/>
      <c r="D35" s="118"/>
    </row>
    <row r="36" spans="1:22" ht="20.25" customHeight="1" thickBot="1" x14ac:dyDescent="0.3">
      <c r="A36" s="98" t="s">
        <v>18</v>
      </c>
      <c r="B36" s="100"/>
      <c r="C36" s="100"/>
      <c r="D36" s="76"/>
    </row>
    <row r="37" spans="1:22" ht="20.25" customHeight="1" x14ac:dyDescent="0.25">
      <c r="A37" s="91" t="s">
        <v>16</v>
      </c>
      <c r="B37" s="92"/>
      <c r="C37" s="92"/>
      <c r="D37" s="104"/>
    </row>
    <row r="38" spans="1:22" ht="20.25" customHeight="1" thickBot="1" x14ac:dyDescent="0.3">
      <c r="A38" s="73"/>
      <c r="B38" s="74"/>
      <c r="C38" s="74"/>
      <c r="D38" s="75"/>
    </row>
    <row r="39" spans="1:22" ht="20.25" customHeight="1" thickBot="1" x14ac:dyDescent="0.3">
      <c r="A39" s="98" t="s">
        <v>17</v>
      </c>
      <c r="B39" s="76"/>
      <c r="C39" s="98">
        <v>33</v>
      </c>
      <c r="D39" s="76"/>
    </row>
    <row r="40" spans="1:22" ht="20.25" customHeight="1" thickBot="1" x14ac:dyDescent="0.3">
      <c r="A40" s="110">
        <v>2</v>
      </c>
      <c r="B40" s="98" t="s">
        <v>10</v>
      </c>
      <c r="C40" s="76"/>
      <c r="D40" s="110">
        <v>6</v>
      </c>
    </row>
    <row r="41" spans="1:22" ht="20.25" customHeight="1" thickBot="1" x14ac:dyDescent="0.3">
      <c r="A41" s="110" t="s">
        <v>44</v>
      </c>
      <c r="B41" s="106">
        <v>44490</v>
      </c>
      <c r="C41" s="74" t="s">
        <v>302</v>
      </c>
      <c r="D41" s="107" t="s">
        <v>46</v>
      </c>
      <c r="T41" s="95"/>
      <c r="V41" s="95"/>
    </row>
    <row r="42" spans="1:22" ht="20.25" customHeight="1" thickBot="1" x14ac:dyDescent="0.3">
      <c r="A42" s="98" t="s">
        <v>15</v>
      </c>
      <c r="B42" s="76"/>
      <c r="C42" s="98" t="s">
        <v>110</v>
      </c>
      <c r="D42" s="76"/>
    </row>
    <row r="43" spans="1:22" ht="20.25" customHeight="1" thickBot="1" x14ac:dyDescent="0.3">
      <c r="A43" s="98" t="s">
        <v>0</v>
      </c>
      <c r="B43" s="76"/>
      <c r="C43" s="98" t="s">
        <v>308</v>
      </c>
      <c r="D43" s="76"/>
      <c r="U43" s="95"/>
      <c r="V43" s="95"/>
    </row>
    <row r="44" spans="1:22" ht="20.25" customHeight="1" thickBot="1" x14ac:dyDescent="0.3">
      <c r="A44" s="98" t="s">
        <v>300</v>
      </c>
      <c r="B44" s="76"/>
      <c r="C44" s="98"/>
      <c r="D44" s="76"/>
    </row>
    <row r="45" spans="1:22" ht="20.25" customHeight="1" thickBot="1" x14ac:dyDescent="0.3">
      <c r="A45" s="105"/>
      <c r="B45" s="64"/>
      <c r="C45" s="64"/>
      <c r="D45" s="72"/>
    </row>
    <row r="46" spans="1:22" ht="20.25" customHeight="1" thickBot="1" x14ac:dyDescent="0.3">
      <c r="A46" s="108" t="s">
        <v>13</v>
      </c>
      <c r="B46" s="108" t="s">
        <v>307</v>
      </c>
      <c r="C46" s="108"/>
      <c r="D46" s="108"/>
    </row>
    <row r="47" spans="1:22" ht="20.25" customHeight="1" x14ac:dyDescent="0.25">
      <c r="A47" s="105" t="s">
        <v>4</v>
      </c>
      <c r="B47" s="111"/>
      <c r="C47" s="112"/>
      <c r="D47" s="113"/>
    </row>
    <row r="48" spans="1:22" ht="20.25" customHeight="1" x14ac:dyDescent="0.25">
      <c r="A48" s="105" t="s">
        <v>5</v>
      </c>
      <c r="B48" s="114">
        <v>30</v>
      </c>
      <c r="C48" s="109"/>
      <c r="D48" s="115"/>
    </row>
    <row r="49" spans="1:22" ht="20.25" customHeight="1" x14ac:dyDescent="0.25">
      <c r="A49" s="105" t="s">
        <v>6</v>
      </c>
      <c r="B49" s="114"/>
      <c r="C49" s="109"/>
      <c r="D49" s="115"/>
    </row>
    <row r="50" spans="1:22" ht="20.25" customHeight="1" x14ac:dyDescent="0.25">
      <c r="A50" s="105" t="s">
        <v>7</v>
      </c>
      <c r="B50" s="114"/>
      <c r="C50" s="109"/>
      <c r="D50" s="115"/>
    </row>
    <row r="51" spans="1:22" ht="20.25" customHeight="1" x14ac:dyDescent="0.25">
      <c r="A51" s="105" t="s">
        <v>8</v>
      </c>
      <c r="B51" s="114"/>
      <c r="C51" s="109"/>
      <c r="D51" s="115"/>
    </row>
    <row r="52" spans="1:22" ht="20.25" customHeight="1" x14ac:dyDescent="0.25">
      <c r="A52" s="105" t="s">
        <v>9</v>
      </c>
      <c r="B52" s="114"/>
      <c r="C52" s="109"/>
      <c r="D52" s="115"/>
    </row>
    <row r="53" spans="1:22" ht="20.25" customHeight="1" x14ac:dyDescent="0.25">
      <c r="A53" s="105" t="s">
        <v>11</v>
      </c>
      <c r="B53" s="114"/>
      <c r="C53" s="109"/>
      <c r="D53" s="115"/>
    </row>
    <row r="54" spans="1:22" ht="20.25" customHeight="1" x14ac:dyDescent="0.25">
      <c r="A54" s="105" t="s">
        <v>12</v>
      </c>
      <c r="B54" s="114"/>
      <c r="C54" s="109"/>
      <c r="D54" s="115"/>
    </row>
    <row r="55" spans="1:22" ht="20.25" customHeight="1" thickBot="1" x14ac:dyDescent="0.3">
      <c r="A55" s="73" t="s">
        <v>70</v>
      </c>
      <c r="B55" s="116"/>
      <c r="C55" s="117"/>
      <c r="D55" s="118"/>
    </row>
    <row r="56" spans="1:22" ht="20.25" customHeight="1" thickBot="1" x14ac:dyDescent="0.3">
      <c r="A56" s="98" t="s">
        <v>18</v>
      </c>
      <c r="B56" s="100"/>
      <c r="C56" s="100"/>
      <c r="D56" s="76"/>
    </row>
    <row r="57" spans="1:22" ht="20.25" customHeight="1" x14ac:dyDescent="0.25">
      <c r="A57" s="91" t="s">
        <v>16</v>
      </c>
      <c r="B57" s="92"/>
      <c r="C57" s="92"/>
      <c r="D57" s="104"/>
    </row>
    <row r="58" spans="1:22" ht="20.25" customHeight="1" thickBot="1" x14ac:dyDescent="0.3">
      <c r="A58" s="73"/>
      <c r="B58" s="74"/>
      <c r="C58" s="74"/>
      <c r="D58" s="75"/>
    </row>
    <row r="59" spans="1:22" ht="20.25" customHeight="1" thickBot="1" x14ac:dyDescent="0.3">
      <c r="A59" s="98" t="s">
        <v>17</v>
      </c>
      <c r="B59" s="76"/>
      <c r="C59" s="98">
        <v>30</v>
      </c>
      <c r="D59" s="76"/>
    </row>
    <row r="60" spans="1:22" ht="20.25" customHeight="1" thickBot="1" x14ac:dyDescent="0.3">
      <c r="A60" s="110">
        <v>3</v>
      </c>
      <c r="B60" s="98" t="s">
        <v>10</v>
      </c>
      <c r="C60" s="76"/>
      <c r="D60" s="110">
        <v>6</v>
      </c>
    </row>
    <row r="61" spans="1:22" ht="20.25" customHeight="1" thickBot="1" x14ac:dyDescent="0.3">
      <c r="A61" s="110" t="s">
        <v>44</v>
      </c>
      <c r="B61" s="106">
        <v>44490</v>
      </c>
      <c r="C61" s="74" t="s">
        <v>302</v>
      </c>
      <c r="D61" s="107" t="s">
        <v>46</v>
      </c>
      <c r="T61" s="95"/>
      <c r="V61" s="95"/>
    </row>
    <row r="62" spans="1:22" ht="20.25" customHeight="1" thickBot="1" x14ac:dyDescent="0.3">
      <c r="A62" s="98" t="s">
        <v>15</v>
      </c>
      <c r="B62" s="76"/>
      <c r="C62" s="98" t="s">
        <v>110</v>
      </c>
      <c r="D62" s="76"/>
    </row>
    <row r="63" spans="1:22" ht="20.25" customHeight="1" thickBot="1" x14ac:dyDescent="0.3">
      <c r="A63" s="98" t="s">
        <v>0</v>
      </c>
      <c r="B63" s="76"/>
      <c r="C63" s="98" t="s">
        <v>308</v>
      </c>
      <c r="D63" s="76"/>
      <c r="U63" s="95"/>
      <c r="V63" s="95"/>
    </row>
    <row r="64" spans="1:22" ht="20.25" customHeight="1" thickBot="1" x14ac:dyDescent="0.3">
      <c r="A64" s="98" t="s">
        <v>300</v>
      </c>
      <c r="B64" s="76"/>
      <c r="C64" s="98"/>
      <c r="D64" s="76"/>
    </row>
    <row r="65" spans="1:4" ht="20.25" customHeight="1" thickBot="1" x14ac:dyDescent="0.3">
      <c r="A65" s="105"/>
      <c r="B65" s="64"/>
      <c r="C65" s="64"/>
      <c r="D65" s="72"/>
    </row>
    <row r="66" spans="1:4" ht="20.25" customHeight="1" thickBot="1" x14ac:dyDescent="0.3">
      <c r="A66" s="108" t="s">
        <v>13</v>
      </c>
      <c r="B66" s="108" t="s">
        <v>307</v>
      </c>
      <c r="C66" s="108"/>
      <c r="D66" s="108"/>
    </row>
    <row r="67" spans="1:4" ht="20.25" customHeight="1" x14ac:dyDescent="0.25">
      <c r="A67" s="105" t="s">
        <v>4</v>
      </c>
      <c r="B67" s="111"/>
      <c r="C67" s="112"/>
      <c r="D67" s="113"/>
    </row>
    <row r="68" spans="1:4" ht="20.25" customHeight="1" x14ac:dyDescent="0.25">
      <c r="A68" s="105" t="s">
        <v>5</v>
      </c>
      <c r="B68" s="114"/>
      <c r="C68" s="109"/>
      <c r="D68" s="115"/>
    </row>
    <row r="69" spans="1:4" ht="20.25" customHeight="1" x14ac:dyDescent="0.25">
      <c r="A69" s="105" t="s">
        <v>6</v>
      </c>
      <c r="B69" s="114">
        <v>31</v>
      </c>
      <c r="C69" s="109"/>
      <c r="D69" s="115"/>
    </row>
    <row r="70" spans="1:4" ht="20.25" customHeight="1" x14ac:dyDescent="0.25">
      <c r="A70" s="105" t="s">
        <v>7</v>
      </c>
      <c r="B70" s="114"/>
      <c r="C70" s="109"/>
      <c r="D70" s="115"/>
    </row>
    <row r="71" spans="1:4" ht="20.25" customHeight="1" x14ac:dyDescent="0.25">
      <c r="A71" s="105" t="s">
        <v>8</v>
      </c>
      <c r="B71" s="114"/>
      <c r="C71" s="109"/>
      <c r="D71" s="115"/>
    </row>
    <row r="72" spans="1:4" ht="20.25" customHeight="1" x14ac:dyDescent="0.25">
      <c r="A72" s="105" t="s">
        <v>9</v>
      </c>
      <c r="B72" s="114"/>
      <c r="C72" s="109"/>
      <c r="D72" s="115"/>
    </row>
    <row r="73" spans="1:4" ht="20.25" customHeight="1" x14ac:dyDescent="0.25">
      <c r="A73" s="105" t="s">
        <v>11</v>
      </c>
      <c r="B73" s="114"/>
      <c r="C73" s="109"/>
      <c r="D73" s="115"/>
    </row>
    <row r="74" spans="1:4" ht="20.25" customHeight="1" x14ac:dyDescent="0.25">
      <c r="A74" s="105" t="s">
        <v>12</v>
      </c>
      <c r="B74" s="114"/>
      <c r="C74" s="109"/>
      <c r="D74" s="115"/>
    </row>
    <row r="75" spans="1:4" ht="20.25" customHeight="1" thickBot="1" x14ac:dyDescent="0.3">
      <c r="A75" s="73" t="s">
        <v>70</v>
      </c>
      <c r="B75" s="116"/>
      <c r="C75" s="117"/>
      <c r="D75" s="118"/>
    </row>
    <row r="76" spans="1:4" ht="20.25" customHeight="1" thickBot="1" x14ac:dyDescent="0.3">
      <c r="A76" s="98" t="s">
        <v>18</v>
      </c>
      <c r="B76" s="100"/>
      <c r="C76" s="100"/>
      <c r="D76" s="76"/>
    </row>
    <row r="77" spans="1:4" ht="20.25" customHeight="1" x14ac:dyDescent="0.25">
      <c r="A77" s="91" t="s">
        <v>16</v>
      </c>
      <c r="B77" s="92"/>
      <c r="C77" s="92"/>
      <c r="D77" s="104"/>
    </row>
    <row r="78" spans="1:4" ht="20.25" customHeight="1" thickBot="1" x14ac:dyDescent="0.3">
      <c r="A78" s="73"/>
      <c r="B78" s="74"/>
      <c r="C78" s="74"/>
      <c r="D78" s="75"/>
    </row>
    <row r="79" spans="1:4" ht="20.25" customHeight="1" thickBot="1" x14ac:dyDescent="0.3">
      <c r="A79" s="98" t="s">
        <v>17</v>
      </c>
      <c r="B79" s="76"/>
      <c r="C79" s="98">
        <v>31</v>
      </c>
      <c r="D79" s="76"/>
    </row>
    <row r="80" spans="1:4" ht="20.25" customHeight="1" thickBot="1" x14ac:dyDescent="0.3">
      <c r="A80" s="110">
        <v>4</v>
      </c>
      <c r="B80" s="98" t="s">
        <v>10</v>
      </c>
      <c r="C80" s="76"/>
      <c r="D80" s="110">
        <v>6</v>
      </c>
    </row>
    <row r="81" spans="1:22" ht="20.25" customHeight="1" thickBot="1" x14ac:dyDescent="0.3">
      <c r="A81" s="110" t="s">
        <v>44</v>
      </c>
      <c r="B81" s="106">
        <v>44490</v>
      </c>
      <c r="C81" s="74" t="s">
        <v>302</v>
      </c>
      <c r="D81" s="107" t="s">
        <v>46</v>
      </c>
      <c r="T81" s="95"/>
      <c r="V81" s="95"/>
    </row>
    <row r="82" spans="1:22" ht="20.25" customHeight="1" thickBot="1" x14ac:dyDescent="0.3">
      <c r="A82" s="98" t="s">
        <v>15</v>
      </c>
      <c r="B82" s="76"/>
      <c r="C82" s="98" t="s">
        <v>110</v>
      </c>
      <c r="D82" s="76"/>
    </row>
    <row r="83" spans="1:22" ht="20.25" customHeight="1" thickBot="1" x14ac:dyDescent="0.3">
      <c r="A83" s="98" t="s">
        <v>0</v>
      </c>
      <c r="B83" s="76"/>
      <c r="C83" s="98" t="s">
        <v>308</v>
      </c>
      <c r="D83" s="76"/>
      <c r="U83" s="95"/>
      <c r="V83" s="95"/>
    </row>
    <row r="84" spans="1:22" ht="20.25" customHeight="1" thickBot="1" x14ac:dyDescent="0.3">
      <c r="A84" s="98" t="s">
        <v>300</v>
      </c>
      <c r="B84" s="76"/>
      <c r="C84" s="98"/>
      <c r="D84" s="76"/>
    </row>
    <row r="85" spans="1:22" ht="20.25" customHeight="1" thickBot="1" x14ac:dyDescent="0.3">
      <c r="A85" s="105"/>
      <c r="B85" s="64"/>
      <c r="C85" s="64"/>
      <c r="D85" s="72"/>
    </row>
    <row r="86" spans="1:22" ht="20.25" customHeight="1" thickBot="1" x14ac:dyDescent="0.3">
      <c r="A86" s="108" t="s">
        <v>13</v>
      </c>
      <c r="B86" s="108" t="s">
        <v>307</v>
      </c>
      <c r="C86" s="108"/>
      <c r="D86" s="108"/>
    </row>
    <row r="87" spans="1:22" ht="20.25" customHeight="1" x14ac:dyDescent="0.25">
      <c r="A87" s="105" t="s">
        <v>4</v>
      </c>
      <c r="B87" s="111"/>
      <c r="C87" s="112"/>
      <c r="D87" s="113"/>
    </row>
    <row r="88" spans="1:22" ht="20.25" customHeight="1" x14ac:dyDescent="0.25">
      <c r="A88" s="105" t="s">
        <v>5</v>
      </c>
      <c r="B88" s="114"/>
      <c r="C88" s="109"/>
      <c r="D88" s="115"/>
    </row>
    <row r="89" spans="1:22" ht="20.25" customHeight="1" x14ac:dyDescent="0.25">
      <c r="A89" s="105" t="s">
        <v>6</v>
      </c>
      <c r="B89" s="114">
        <v>40</v>
      </c>
      <c r="C89" s="109"/>
      <c r="D89" s="115"/>
    </row>
    <row r="90" spans="1:22" ht="20.25" customHeight="1" x14ac:dyDescent="0.25">
      <c r="A90" s="105" t="s">
        <v>7</v>
      </c>
      <c r="B90" s="114"/>
      <c r="C90" s="109"/>
      <c r="D90" s="115"/>
    </row>
    <row r="91" spans="1:22" ht="20.25" customHeight="1" x14ac:dyDescent="0.25">
      <c r="A91" s="105" t="s">
        <v>8</v>
      </c>
      <c r="B91" s="114"/>
      <c r="C91" s="109"/>
      <c r="D91" s="115"/>
    </row>
    <row r="92" spans="1:22" ht="20.25" customHeight="1" x14ac:dyDescent="0.25">
      <c r="A92" s="105" t="s">
        <v>9</v>
      </c>
      <c r="B92" s="114"/>
      <c r="C92" s="109"/>
      <c r="D92" s="115"/>
    </row>
    <row r="93" spans="1:22" ht="20.25" customHeight="1" x14ac:dyDescent="0.25">
      <c r="A93" s="105" t="s">
        <v>11</v>
      </c>
      <c r="B93" s="114"/>
      <c r="C93" s="109"/>
      <c r="D93" s="115"/>
    </row>
    <row r="94" spans="1:22" ht="20.25" customHeight="1" x14ac:dyDescent="0.25">
      <c r="A94" s="105" t="s">
        <v>12</v>
      </c>
      <c r="B94" s="114"/>
      <c r="C94" s="109"/>
      <c r="D94" s="115"/>
    </row>
    <row r="95" spans="1:22" ht="20.25" customHeight="1" thickBot="1" x14ac:dyDescent="0.3">
      <c r="A95" s="73" t="s">
        <v>70</v>
      </c>
      <c r="B95" s="116"/>
      <c r="C95" s="117"/>
      <c r="D95" s="118"/>
    </row>
    <row r="96" spans="1:22" ht="20.25" customHeight="1" thickBot="1" x14ac:dyDescent="0.3">
      <c r="A96" s="98" t="s">
        <v>18</v>
      </c>
      <c r="B96" s="100"/>
      <c r="C96" s="100"/>
      <c r="D96" s="76"/>
    </row>
    <row r="97" spans="1:22" ht="20.25" customHeight="1" x14ac:dyDescent="0.25">
      <c r="A97" s="91" t="s">
        <v>16</v>
      </c>
      <c r="B97" s="92"/>
      <c r="C97" s="92"/>
      <c r="D97" s="104"/>
    </row>
    <row r="98" spans="1:22" ht="20.25" customHeight="1" thickBot="1" x14ac:dyDescent="0.3">
      <c r="A98" s="73"/>
      <c r="B98" s="74"/>
      <c r="C98" s="74"/>
      <c r="D98" s="75"/>
    </row>
    <row r="99" spans="1:22" ht="20.25" customHeight="1" thickBot="1" x14ac:dyDescent="0.3">
      <c r="A99" s="98" t="s">
        <v>17</v>
      </c>
      <c r="B99" s="76"/>
      <c r="C99" s="98">
        <v>40</v>
      </c>
      <c r="D99" s="76"/>
    </row>
    <row r="100" spans="1:22" ht="20.25" customHeight="1" thickBot="1" x14ac:dyDescent="0.3">
      <c r="A100" s="110">
        <v>5</v>
      </c>
      <c r="B100" s="98" t="s">
        <v>10</v>
      </c>
      <c r="C100" s="76"/>
      <c r="D100" s="110">
        <v>6</v>
      </c>
    </row>
    <row r="101" spans="1:22" ht="20.25" customHeight="1" thickBot="1" x14ac:dyDescent="0.3">
      <c r="A101" s="110" t="s">
        <v>44</v>
      </c>
      <c r="B101" s="106">
        <v>44490</v>
      </c>
      <c r="C101" s="74" t="s">
        <v>302</v>
      </c>
      <c r="D101" s="107" t="s">
        <v>46</v>
      </c>
      <c r="T101" s="95"/>
      <c r="V101" s="95"/>
    </row>
    <row r="102" spans="1:22" ht="20.25" customHeight="1" thickBot="1" x14ac:dyDescent="0.3">
      <c r="A102" s="98" t="s">
        <v>15</v>
      </c>
      <c r="B102" s="76"/>
      <c r="C102" s="98" t="s">
        <v>110</v>
      </c>
      <c r="D102" s="76"/>
    </row>
    <row r="103" spans="1:22" ht="20.25" customHeight="1" thickBot="1" x14ac:dyDescent="0.3">
      <c r="A103" s="98" t="s">
        <v>0</v>
      </c>
      <c r="B103" s="76"/>
      <c r="C103" s="98" t="s">
        <v>308</v>
      </c>
      <c r="D103" s="76"/>
      <c r="U103" s="95"/>
      <c r="V103" s="95"/>
    </row>
    <row r="104" spans="1:22" ht="20.25" customHeight="1" thickBot="1" x14ac:dyDescent="0.3">
      <c r="A104" s="98" t="s">
        <v>300</v>
      </c>
      <c r="B104" s="76"/>
      <c r="C104" s="98"/>
      <c r="D104" s="76"/>
    </row>
    <row r="105" spans="1:22" ht="20.25" customHeight="1" thickBot="1" x14ac:dyDescent="0.3">
      <c r="A105" s="105"/>
      <c r="B105" s="64"/>
      <c r="C105" s="64"/>
      <c r="D105" s="72"/>
    </row>
    <row r="106" spans="1:22" ht="20.25" customHeight="1" thickBot="1" x14ac:dyDescent="0.3">
      <c r="A106" s="108" t="s">
        <v>13</v>
      </c>
      <c r="B106" s="108" t="s">
        <v>307</v>
      </c>
      <c r="C106" s="108"/>
      <c r="D106" s="108"/>
    </row>
    <row r="107" spans="1:22" ht="20.25" customHeight="1" x14ac:dyDescent="0.25">
      <c r="A107" s="105" t="s">
        <v>4</v>
      </c>
      <c r="B107" s="111"/>
      <c r="C107" s="112"/>
      <c r="D107" s="113"/>
    </row>
    <row r="108" spans="1:22" ht="20.25" customHeight="1" x14ac:dyDescent="0.25">
      <c r="A108" s="105" t="s">
        <v>5</v>
      </c>
      <c r="B108" s="114"/>
      <c r="C108" s="109"/>
      <c r="D108" s="115"/>
    </row>
    <row r="109" spans="1:22" ht="20.25" customHeight="1" x14ac:dyDescent="0.25">
      <c r="A109" s="105" t="s">
        <v>6</v>
      </c>
      <c r="B109" s="114"/>
      <c r="C109" s="109"/>
      <c r="D109" s="115"/>
    </row>
    <row r="110" spans="1:22" ht="20.25" customHeight="1" x14ac:dyDescent="0.25">
      <c r="A110" s="105" t="s">
        <v>7</v>
      </c>
      <c r="B110" s="114"/>
      <c r="C110" s="109"/>
      <c r="D110" s="115"/>
    </row>
    <row r="111" spans="1:22" ht="20.25" customHeight="1" x14ac:dyDescent="0.25">
      <c r="A111" s="105" t="s">
        <v>8</v>
      </c>
      <c r="B111" s="114">
        <v>26</v>
      </c>
      <c r="C111" s="109"/>
      <c r="D111" s="115"/>
    </row>
    <row r="112" spans="1:22" ht="20.25" customHeight="1" x14ac:dyDescent="0.25">
      <c r="A112" s="105" t="s">
        <v>9</v>
      </c>
      <c r="B112" s="114"/>
      <c r="C112" s="109"/>
      <c r="D112" s="115"/>
    </row>
    <row r="113" spans="1:22" ht="20.25" customHeight="1" x14ac:dyDescent="0.25">
      <c r="A113" s="105" t="s">
        <v>11</v>
      </c>
      <c r="B113" s="114"/>
      <c r="C113" s="109"/>
      <c r="D113" s="115"/>
    </row>
    <row r="114" spans="1:22" ht="20.25" customHeight="1" x14ac:dyDescent="0.25">
      <c r="A114" s="105" t="s">
        <v>12</v>
      </c>
      <c r="B114" s="114"/>
      <c r="C114" s="109"/>
      <c r="D114" s="115"/>
    </row>
    <row r="115" spans="1:22" ht="20.25" customHeight="1" thickBot="1" x14ac:dyDescent="0.3">
      <c r="A115" s="73" t="s">
        <v>70</v>
      </c>
      <c r="B115" s="116"/>
      <c r="C115" s="117"/>
      <c r="D115" s="118"/>
    </row>
    <row r="116" spans="1:22" ht="20.25" customHeight="1" thickBot="1" x14ac:dyDescent="0.3">
      <c r="A116" s="98" t="s">
        <v>18</v>
      </c>
      <c r="B116" s="100"/>
      <c r="C116" s="100"/>
      <c r="D116" s="76"/>
    </row>
    <row r="117" spans="1:22" ht="20.25" customHeight="1" x14ac:dyDescent="0.25">
      <c r="A117" s="91" t="s">
        <v>16</v>
      </c>
      <c r="B117" s="92"/>
      <c r="C117" s="92"/>
      <c r="D117" s="104"/>
    </row>
    <row r="118" spans="1:22" ht="20.25" customHeight="1" thickBot="1" x14ac:dyDescent="0.3">
      <c r="A118" s="73"/>
      <c r="B118" s="74"/>
      <c r="C118" s="74"/>
      <c r="D118" s="75"/>
    </row>
    <row r="119" spans="1:22" ht="20.25" customHeight="1" thickBot="1" x14ac:dyDescent="0.3">
      <c r="A119" s="98" t="s">
        <v>17</v>
      </c>
      <c r="B119" s="76"/>
      <c r="C119" s="98">
        <v>26</v>
      </c>
      <c r="D119" s="76"/>
    </row>
    <row r="120" spans="1:22" ht="20.25" customHeight="1" thickBot="1" x14ac:dyDescent="0.3">
      <c r="A120" s="110">
        <v>6</v>
      </c>
      <c r="B120" s="98" t="s">
        <v>10</v>
      </c>
      <c r="C120" s="76"/>
      <c r="D120" s="110">
        <v>6</v>
      </c>
    </row>
    <row r="121" spans="1:22" ht="20.25" customHeight="1" thickBot="1" x14ac:dyDescent="0.3">
      <c r="A121" s="110" t="s">
        <v>44</v>
      </c>
      <c r="B121" s="106">
        <v>44490</v>
      </c>
      <c r="C121" s="74" t="s">
        <v>302</v>
      </c>
      <c r="D121" s="107" t="s">
        <v>46</v>
      </c>
      <c r="T121" s="95"/>
      <c r="V121" s="95"/>
    </row>
    <row r="122" spans="1:22" ht="20.25" customHeight="1" thickBot="1" x14ac:dyDescent="0.3">
      <c r="A122" s="98" t="s">
        <v>15</v>
      </c>
      <c r="B122" s="76"/>
      <c r="C122" s="98" t="s">
        <v>110</v>
      </c>
      <c r="D122" s="76"/>
    </row>
    <row r="123" spans="1:22" ht="20.25" customHeight="1" thickBot="1" x14ac:dyDescent="0.3">
      <c r="A123" s="98" t="s">
        <v>0</v>
      </c>
      <c r="B123" s="76"/>
      <c r="C123" s="98" t="s">
        <v>306</v>
      </c>
      <c r="D123" s="76"/>
      <c r="U123" s="95"/>
      <c r="V123" s="95"/>
    </row>
    <row r="124" spans="1:22" ht="20.25" customHeight="1" thickBot="1" x14ac:dyDescent="0.3">
      <c r="A124" s="98" t="s">
        <v>300</v>
      </c>
      <c r="B124" s="76"/>
      <c r="C124" s="98"/>
      <c r="D124" s="76"/>
    </row>
    <row r="125" spans="1:22" ht="20.25" customHeight="1" thickBot="1" x14ac:dyDescent="0.3">
      <c r="A125" s="105"/>
      <c r="B125" s="64"/>
      <c r="C125" s="64"/>
      <c r="D125" s="72"/>
    </row>
    <row r="126" spans="1:22" ht="20.25" customHeight="1" thickBot="1" x14ac:dyDescent="0.3">
      <c r="A126" s="108" t="s">
        <v>13</v>
      </c>
      <c r="B126" s="108" t="s">
        <v>19</v>
      </c>
      <c r="C126" s="108"/>
      <c r="D126" s="108"/>
    </row>
    <row r="127" spans="1:22" ht="20.25" customHeight="1" x14ac:dyDescent="0.25">
      <c r="A127" s="105" t="s">
        <v>4</v>
      </c>
      <c r="B127" s="111"/>
      <c r="C127" s="112"/>
      <c r="D127" s="113"/>
    </row>
    <row r="128" spans="1:22" ht="20.25" customHeight="1" x14ac:dyDescent="0.25">
      <c r="A128" s="105" t="s">
        <v>5</v>
      </c>
      <c r="B128" s="114"/>
      <c r="C128" s="109"/>
      <c r="D128" s="115"/>
    </row>
    <row r="129" spans="1:22" ht="20.25" customHeight="1" x14ac:dyDescent="0.25">
      <c r="A129" s="105" t="s">
        <v>6</v>
      </c>
      <c r="B129" s="114"/>
      <c r="C129" s="109"/>
      <c r="D129" s="115"/>
    </row>
    <row r="130" spans="1:22" ht="20.25" customHeight="1" x14ac:dyDescent="0.25">
      <c r="A130" s="105" t="s">
        <v>7</v>
      </c>
      <c r="B130" s="114"/>
      <c r="C130" s="109"/>
      <c r="D130" s="115"/>
    </row>
    <row r="131" spans="1:22" ht="20.25" customHeight="1" x14ac:dyDescent="0.25">
      <c r="A131" s="105" t="s">
        <v>8</v>
      </c>
      <c r="B131" s="114"/>
      <c r="C131" s="109"/>
      <c r="D131" s="115"/>
    </row>
    <row r="132" spans="1:22" ht="20.25" customHeight="1" x14ac:dyDescent="0.25">
      <c r="A132" s="105" t="s">
        <v>9</v>
      </c>
      <c r="B132" s="114">
        <v>30</v>
      </c>
      <c r="C132" s="109"/>
      <c r="D132" s="115"/>
    </row>
    <row r="133" spans="1:22" ht="20.25" customHeight="1" x14ac:dyDescent="0.25">
      <c r="A133" s="105" t="s">
        <v>11</v>
      </c>
      <c r="B133" s="114">
        <v>48</v>
      </c>
      <c r="C133" s="109"/>
      <c r="D133" s="115"/>
    </row>
    <row r="134" spans="1:22" ht="20.25" customHeight="1" x14ac:dyDescent="0.25">
      <c r="A134" s="105" t="s">
        <v>12</v>
      </c>
      <c r="B134" s="114"/>
      <c r="C134" s="109"/>
      <c r="D134" s="115"/>
    </row>
    <row r="135" spans="1:22" ht="20.25" customHeight="1" thickBot="1" x14ac:dyDescent="0.3">
      <c r="A135" s="73" t="s">
        <v>70</v>
      </c>
      <c r="B135" s="116"/>
      <c r="C135" s="117"/>
      <c r="D135" s="118"/>
    </row>
    <row r="136" spans="1:22" ht="20.25" customHeight="1" thickBot="1" x14ac:dyDescent="0.3">
      <c r="A136" s="98" t="s">
        <v>18</v>
      </c>
      <c r="B136" s="100"/>
      <c r="C136" s="100"/>
      <c r="D136" s="76"/>
    </row>
    <row r="137" spans="1:22" ht="20.25" customHeight="1" x14ac:dyDescent="0.25">
      <c r="A137" s="91"/>
      <c r="B137" s="92"/>
      <c r="C137" s="92"/>
      <c r="D137" s="104"/>
    </row>
    <row r="138" spans="1:22" ht="20.25" customHeight="1" thickBot="1" x14ac:dyDescent="0.3">
      <c r="A138" s="73"/>
      <c r="B138" s="74"/>
      <c r="C138" s="74"/>
      <c r="D138" s="75"/>
    </row>
    <row r="139" spans="1:22" ht="20.25" customHeight="1" thickBot="1" x14ac:dyDescent="0.3">
      <c r="A139" s="98" t="s">
        <v>17</v>
      </c>
      <c r="B139" s="76"/>
      <c r="C139" s="98">
        <v>78</v>
      </c>
      <c r="D139" s="76"/>
    </row>
    <row r="140" spans="1:22" ht="20.25" customHeight="1" thickBot="1" x14ac:dyDescent="0.3">
      <c r="A140" s="110">
        <v>7</v>
      </c>
      <c r="B140" s="98" t="s">
        <v>10</v>
      </c>
      <c r="C140" s="76"/>
      <c r="D140" s="110">
        <v>12</v>
      </c>
    </row>
    <row r="141" spans="1:22" ht="20.25" customHeight="1" thickBot="1" x14ac:dyDescent="0.3">
      <c r="A141" s="110" t="s">
        <v>44</v>
      </c>
      <c r="B141" s="106">
        <v>44490</v>
      </c>
      <c r="C141" s="74" t="s">
        <v>304</v>
      </c>
      <c r="D141" s="107" t="s">
        <v>46</v>
      </c>
      <c r="T141" s="95"/>
      <c r="V141" s="95"/>
    </row>
    <row r="142" spans="1:22" ht="20.25" customHeight="1" thickBot="1" x14ac:dyDescent="0.3">
      <c r="A142" s="98" t="s">
        <v>15</v>
      </c>
      <c r="B142" s="76"/>
      <c r="C142" s="98" t="s">
        <v>110</v>
      </c>
      <c r="D142" s="76"/>
    </row>
    <row r="143" spans="1:22" ht="20.25" customHeight="1" thickBot="1" x14ac:dyDescent="0.3">
      <c r="A143" s="98" t="s">
        <v>0</v>
      </c>
      <c r="B143" s="76"/>
      <c r="C143" s="98" t="s">
        <v>306</v>
      </c>
      <c r="D143" s="76"/>
      <c r="U143" s="95"/>
      <c r="V143" s="95"/>
    </row>
    <row r="144" spans="1:22" ht="20.25" customHeight="1" thickBot="1" x14ac:dyDescent="0.3">
      <c r="A144" s="98" t="s">
        <v>300</v>
      </c>
      <c r="B144" s="76"/>
      <c r="C144" s="98"/>
      <c r="D144" s="76"/>
    </row>
    <row r="145" spans="1:4" ht="20.25" customHeight="1" thickBot="1" x14ac:dyDescent="0.3">
      <c r="A145" s="105"/>
      <c r="B145" s="64"/>
      <c r="C145" s="64"/>
      <c r="D145" s="72"/>
    </row>
    <row r="146" spans="1:4" ht="20.25" customHeight="1" thickBot="1" x14ac:dyDescent="0.3">
      <c r="A146" s="108" t="s">
        <v>13</v>
      </c>
      <c r="B146" s="108" t="s">
        <v>19</v>
      </c>
      <c r="C146" s="108"/>
      <c r="D146" s="108"/>
    </row>
    <row r="147" spans="1:4" ht="20.25" customHeight="1" x14ac:dyDescent="0.25">
      <c r="A147" s="105" t="s">
        <v>4</v>
      </c>
      <c r="B147" s="111"/>
      <c r="C147" s="112"/>
      <c r="D147" s="113"/>
    </row>
    <row r="148" spans="1:4" ht="20.25" customHeight="1" x14ac:dyDescent="0.25">
      <c r="A148" s="105" t="s">
        <v>5</v>
      </c>
      <c r="B148" s="114">
        <v>79</v>
      </c>
      <c r="C148" s="109"/>
      <c r="D148" s="115"/>
    </row>
    <row r="149" spans="1:4" ht="20.25" customHeight="1" x14ac:dyDescent="0.25">
      <c r="A149" s="105" t="s">
        <v>6</v>
      </c>
      <c r="B149" s="114">
        <v>34</v>
      </c>
      <c r="C149" s="109"/>
      <c r="D149" s="115"/>
    </row>
    <row r="150" spans="1:4" ht="20.25" customHeight="1" x14ac:dyDescent="0.25">
      <c r="A150" s="105" t="s">
        <v>7</v>
      </c>
      <c r="B150" s="114"/>
      <c r="C150" s="109"/>
      <c r="D150" s="115"/>
    </row>
    <row r="151" spans="1:4" ht="20.25" customHeight="1" x14ac:dyDescent="0.25">
      <c r="A151" s="105" t="s">
        <v>8</v>
      </c>
      <c r="B151" s="114"/>
      <c r="C151" s="109"/>
      <c r="D151" s="115"/>
    </row>
    <row r="152" spans="1:4" ht="20.25" customHeight="1" x14ac:dyDescent="0.25">
      <c r="A152" s="105" t="s">
        <v>9</v>
      </c>
      <c r="B152" s="114"/>
      <c r="C152" s="109"/>
      <c r="D152" s="115"/>
    </row>
    <row r="153" spans="1:4" ht="20.25" customHeight="1" x14ac:dyDescent="0.25">
      <c r="A153" s="105" t="s">
        <v>11</v>
      </c>
      <c r="B153" s="114"/>
      <c r="C153" s="109"/>
      <c r="D153" s="115"/>
    </row>
    <row r="154" spans="1:4" ht="20.25" customHeight="1" x14ac:dyDescent="0.25">
      <c r="A154" s="105" t="s">
        <v>12</v>
      </c>
      <c r="B154" s="114"/>
      <c r="C154" s="109"/>
      <c r="D154" s="115"/>
    </row>
    <row r="155" spans="1:4" ht="20.25" customHeight="1" thickBot="1" x14ac:dyDescent="0.3">
      <c r="A155" s="73" t="s">
        <v>70</v>
      </c>
      <c r="B155" s="116"/>
      <c r="C155" s="117"/>
      <c r="D155" s="118"/>
    </row>
    <row r="156" spans="1:4" ht="20.25" customHeight="1" thickBot="1" x14ac:dyDescent="0.3">
      <c r="A156" s="98" t="s">
        <v>18</v>
      </c>
      <c r="B156" s="100"/>
      <c r="C156" s="100"/>
      <c r="D156" s="76"/>
    </row>
    <row r="157" spans="1:4" ht="20.25" customHeight="1" x14ac:dyDescent="0.25">
      <c r="A157" s="91"/>
      <c r="B157" s="92"/>
      <c r="C157" s="92"/>
      <c r="D157" s="104"/>
    </row>
    <row r="158" spans="1:4" ht="20.25" customHeight="1" thickBot="1" x14ac:dyDescent="0.3">
      <c r="A158" s="73"/>
      <c r="B158" s="74"/>
      <c r="C158" s="74"/>
      <c r="D158" s="75"/>
    </row>
    <row r="159" spans="1:4" ht="20.25" customHeight="1" thickBot="1" x14ac:dyDescent="0.3">
      <c r="A159" s="98" t="s">
        <v>17</v>
      </c>
      <c r="B159" s="76"/>
      <c r="C159" s="98">
        <v>113</v>
      </c>
      <c r="D159" s="76"/>
    </row>
    <row r="160" spans="1:4" ht="20.25" customHeight="1" thickBot="1" x14ac:dyDescent="0.3">
      <c r="A160" s="110">
        <v>8</v>
      </c>
      <c r="B160" s="98" t="s">
        <v>10</v>
      </c>
      <c r="C160" s="76"/>
      <c r="D160" s="110">
        <v>12</v>
      </c>
    </row>
    <row r="161" spans="1:22" ht="20.25" customHeight="1" thickBot="1" x14ac:dyDescent="0.3">
      <c r="A161" s="110" t="s">
        <v>44</v>
      </c>
      <c r="B161" s="106">
        <v>44490</v>
      </c>
      <c r="C161" s="74" t="s">
        <v>304</v>
      </c>
      <c r="D161" s="107" t="s">
        <v>46</v>
      </c>
      <c r="T161" s="95"/>
      <c r="V161" s="95"/>
    </row>
    <row r="162" spans="1:22" ht="20.25" customHeight="1" thickBot="1" x14ac:dyDescent="0.3">
      <c r="A162" s="98" t="s">
        <v>15</v>
      </c>
      <c r="B162" s="76"/>
      <c r="C162" s="98" t="s">
        <v>110</v>
      </c>
      <c r="D162" s="76"/>
    </row>
    <row r="163" spans="1:22" ht="20.25" customHeight="1" thickBot="1" x14ac:dyDescent="0.3">
      <c r="A163" s="98" t="s">
        <v>0</v>
      </c>
      <c r="B163" s="76"/>
      <c r="C163" s="98" t="s">
        <v>306</v>
      </c>
      <c r="D163" s="76"/>
      <c r="U163" s="95"/>
      <c r="V163" s="95"/>
    </row>
    <row r="164" spans="1:22" ht="20.25" customHeight="1" thickBot="1" x14ac:dyDescent="0.3">
      <c r="A164" s="98" t="s">
        <v>300</v>
      </c>
      <c r="B164" s="76"/>
      <c r="C164" s="98"/>
      <c r="D164" s="76"/>
    </row>
    <row r="165" spans="1:22" ht="20.25" customHeight="1" thickBot="1" x14ac:dyDescent="0.3">
      <c r="A165" s="105"/>
      <c r="B165" s="64"/>
      <c r="C165" s="64"/>
      <c r="D165" s="72"/>
    </row>
    <row r="166" spans="1:22" ht="20.25" customHeight="1" thickBot="1" x14ac:dyDescent="0.3">
      <c r="A166" s="108" t="s">
        <v>13</v>
      </c>
      <c r="B166" s="108" t="s">
        <v>19</v>
      </c>
      <c r="C166" s="108"/>
      <c r="D166" s="108"/>
    </row>
    <row r="167" spans="1:22" ht="20.25" customHeight="1" x14ac:dyDescent="0.25">
      <c r="A167" s="105" t="s">
        <v>4</v>
      </c>
      <c r="B167" s="111"/>
      <c r="C167" s="112"/>
      <c r="D167" s="113"/>
    </row>
    <row r="168" spans="1:22" ht="20.25" customHeight="1" x14ac:dyDescent="0.25">
      <c r="A168" s="105" t="s">
        <v>5</v>
      </c>
      <c r="B168" s="114"/>
      <c r="C168" s="109"/>
      <c r="D168" s="115"/>
    </row>
    <row r="169" spans="1:22" ht="20.25" customHeight="1" x14ac:dyDescent="0.25">
      <c r="A169" s="105" t="s">
        <v>6</v>
      </c>
      <c r="B169" s="114">
        <v>30</v>
      </c>
      <c r="C169" s="109"/>
      <c r="D169" s="115"/>
    </row>
    <row r="170" spans="1:22" ht="20.25" customHeight="1" x14ac:dyDescent="0.25">
      <c r="A170" s="105" t="s">
        <v>7</v>
      </c>
      <c r="B170" s="114">
        <v>90</v>
      </c>
      <c r="C170" s="109"/>
      <c r="D170" s="115"/>
    </row>
    <row r="171" spans="1:22" ht="20.25" customHeight="1" x14ac:dyDescent="0.25">
      <c r="A171" s="105" t="s">
        <v>8</v>
      </c>
      <c r="B171" s="114"/>
      <c r="C171" s="109"/>
      <c r="D171" s="115"/>
    </row>
    <row r="172" spans="1:22" ht="20.25" customHeight="1" x14ac:dyDescent="0.25">
      <c r="A172" s="105" t="s">
        <v>9</v>
      </c>
      <c r="B172" s="114"/>
      <c r="C172" s="109"/>
      <c r="D172" s="115"/>
    </row>
    <row r="173" spans="1:22" ht="20.25" customHeight="1" x14ac:dyDescent="0.25">
      <c r="A173" s="105" t="s">
        <v>11</v>
      </c>
      <c r="B173" s="114"/>
      <c r="C173" s="109"/>
      <c r="D173" s="115"/>
    </row>
    <row r="174" spans="1:22" ht="20.25" customHeight="1" x14ac:dyDescent="0.25">
      <c r="A174" s="105" t="s">
        <v>12</v>
      </c>
      <c r="B174" s="114"/>
      <c r="C174" s="109"/>
      <c r="D174" s="115"/>
    </row>
    <row r="175" spans="1:22" ht="20.25" customHeight="1" thickBot="1" x14ac:dyDescent="0.3">
      <c r="A175" s="73" t="s">
        <v>70</v>
      </c>
      <c r="B175" s="116"/>
      <c r="C175" s="117"/>
      <c r="D175" s="118"/>
    </row>
    <row r="176" spans="1:22" ht="20.25" customHeight="1" thickBot="1" x14ac:dyDescent="0.3">
      <c r="A176" s="98" t="s">
        <v>18</v>
      </c>
      <c r="B176" s="100"/>
      <c r="C176" s="100"/>
      <c r="D176" s="76"/>
    </row>
    <row r="177" spans="1:22" ht="20.25" customHeight="1" x14ac:dyDescent="0.25">
      <c r="A177" s="91"/>
      <c r="B177" s="92"/>
      <c r="C177" s="92"/>
      <c r="D177" s="104"/>
    </row>
    <row r="178" spans="1:22" ht="20.25" customHeight="1" thickBot="1" x14ac:dyDescent="0.3">
      <c r="A178" s="73"/>
      <c r="B178" s="74"/>
      <c r="C178" s="74"/>
      <c r="D178" s="75"/>
    </row>
    <row r="179" spans="1:22" ht="20.25" customHeight="1" thickBot="1" x14ac:dyDescent="0.3">
      <c r="A179" s="98" t="s">
        <v>17</v>
      </c>
      <c r="B179" s="76"/>
      <c r="C179" s="98">
        <v>120</v>
      </c>
      <c r="D179" s="76"/>
    </row>
    <row r="180" spans="1:22" ht="20.25" customHeight="1" thickBot="1" x14ac:dyDescent="0.3">
      <c r="A180" s="110">
        <v>9</v>
      </c>
      <c r="B180" s="98" t="s">
        <v>10</v>
      </c>
      <c r="C180" s="76"/>
      <c r="D180" s="110">
        <v>12</v>
      </c>
    </row>
    <row r="181" spans="1:22" ht="20.25" customHeight="1" thickBot="1" x14ac:dyDescent="0.3">
      <c r="A181" s="110" t="s">
        <v>44</v>
      </c>
      <c r="B181" s="106">
        <v>44490</v>
      </c>
      <c r="C181" s="74" t="s">
        <v>304</v>
      </c>
      <c r="D181" s="107" t="s">
        <v>46</v>
      </c>
      <c r="T181" s="95"/>
      <c r="V181" s="95"/>
    </row>
    <row r="182" spans="1:22" ht="20.25" customHeight="1" thickBot="1" x14ac:dyDescent="0.3">
      <c r="A182" s="98" t="s">
        <v>15</v>
      </c>
      <c r="B182" s="76"/>
      <c r="C182" s="98" t="s">
        <v>110</v>
      </c>
      <c r="D182" s="76"/>
    </row>
    <row r="183" spans="1:22" ht="20.25" customHeight="1" thickBot="1" x14ac:dyDescent="0.3">
      <c r="A183" s="98" t="s">
        <v>0</v>
      </c>
      <c r="B183" s="76"/>
      <c r="C183" s="98" t="s">
        <v>306</v>
      </c>
      <c r="D183" s="76"/>
      <c r="U183" s="95"/>
      <c r="V183" s="95"/>
    </row>
    <row r="184" spans="1:22" ht="20.25" customHeight="1" thickBot="1" x14ac:dyDescent="0.3">
      <c r="A184" s="98" t="s">
        <v>300</v>
      </c>
      <c r="B184" s="76"/>
      <c r="C184" s="98"/>
      <c r="D184" s="76"/>
    </row>
    <row r="185" spans="1:22" ht="20.25" customHeight="1" thickBot="1" x14ac:dyDescent="0.3">
      <c r="A185" s="105"/>
      <c r="B185" s="64"/>
      <c r="C185" s="64"/>
      <c r="D185" s="72"/>
    </row>
    <row r="186" spans="1:22" ht="20.25" customHeight="1" thickBot="1" x14ac:dyDescent="0.3">
      <c r="A186" s="108" t="s">
        <v>13</v>
      </c>
      <c r="B186" s="108" t="s">
        <v>19</v>
      </c>
      <c r="C186" s="108"/>
      <c r="D186" s="108"/>
    </row>
    <row r="187" spans="1:22" ht="20.25" customHeight="1" x14ac:dyDescent="0.25">
      <c r="A187" s="105" t="s">
        <v>4</v>
      </c>
      <c r="B187" s="111"/>
      <c r="C187" s="112"/>
      <c r="D187" s="113"/>
    </row>
    <row r="188" spans="1:22" ht="20.25" customHeight="1" x14ac:dyDescent="0.25">
      <c r="A188" s="105" t="s">
        <v>5</v>
      </c>
      <c r="B188" s="114"/>
      <c r="C188" s="109"/>
      <c r="D188" s="115"/>
    </row>
    <row r="189" spans="1:22" ht="20.25" customHeight="1" x14ac:dyDescent="0.25">
      <c r="A189" s="105" t="s">
        <v>6</v>
      </c>
      <c r="B189" s="114"/>
      <c r="C189" s="109"/>
      <c r="D189" s="115"/>
    </row>
    <row r="190" spans="1:22" ht="20.25" customHeight="1" x14ac:dyDescent="0.25">
      <c r="A190" s="105" t="s">
        <v>7</v>
      </c>
      <c r="B190" s="114">
        <v>90</v>
      </c>
      <c r="C190" s="109"/>
      <c r="D190" s="115"/>
    </row>
    <row r="191" spans="1:22" ht="20.25" customHeight="1" x14ac:dyDescent="0.25">
      <c r="A191" s="105" t="s">
        <v>8</v>
      </c>
      <c r="B191" s="114"/>
      <c r="C191" s="109"/>
      <c r="D191" s="115"/>
    </row>
    <row r="192" spans="1:22" ht="20.25" customHeight="1" x14ac:dyDescent="0.25">
      <c r="A192" s="105" t="s">
        <v>9</v>
      </c>
      <c r="B192" s="114"/>
      <c r="C192" s="109"/>
      <c r="D192" s="115"/>
    </row>
    <row r="193" spans="1:22" ht="20.25" customHeight="1" x14ac:dyDescent="0.25">
      <c r="A193" s="105" t="s">
        <v>11</v>
      </c>
      <c r="B193" s="114"/>
      <c r="C193" s="109"/>
      <c r="D193" s="115"/>
    </row>
    <row r="194" spans="1:22" ht="20.25" customHeight="1" x14ac:dyDescent="0.25">
      <c r="A194" s="105" t="s">
        <v>12</v>
      </c>
      <c r="B194" s="114"/>
      <c r="C194" s="109"/>
      <c r="D194" s="115"/>
    </row>
    <row r="195" spans="1:22" ht="20.25" customHeight="1" thickBot="1" x14ac:dyDescent="0.3">
      <c r="A195" s="73" t="s">
        <v>70</v>
      </c>
      <c r="B195" s="116"/>
      <c r="C195" s="117"/>
      <c r="D195" s="118"/>
    </row>
    <row r="196" spans="1:22" ht="20.25" customHeight="1" thickBot="1" x14ac:dyDescent="0.3">
      <c r="A196" s="98" t="s">
        <v>18</v>
      </c>
      <c r="B196" s="100"/>
      <c r="C196" s="100"/>
      <c r="D196" s="76"/>
    </row>
    <row r="197" spans="1:22" ht="20.25" customHeight="1" x14ac:dyDescent="0.25">
      <c r="A197" s="91"/>
      <c r="B197" s="92"/>
      <c r="C197" s="92"/>
      <c r="D197" s="104"/>
    </row>
    <row r="198" spans="1:22" ht="20.25" customHeight="1" thickBot="1" x14ac:dyDescent="0.3">
      <c r="A198" s="73"/>
      <c r="B198" s="74"/>
      <c r="C198" s="74"/>
      <c r="D198" s="75"/>
    </row>
    <row r="199" spans="1:22" ht="20.25" customHeight="1" thickBot="1" x14ac:dyDescent="0.3">
      <c r="A199" s="98" t="s">
        <v>17</v>
      </c>
      <c r="B199" s="76"/>
      <c r="C199" s="98">
        <v>90</v>
      </c>
      <c r="D199" s="76"/>
    </row>
    <row r="200" spans="1:22" ht="20.25" customHeight="1" thickBot="1" x14ac:dyDescent="0.3">
      <c r="A200" s="110">
        <v>10</v>
      </c>
      <c r="B200" s="98" t="s">
        <v>10</v>
      </c>
      <c r="C200" s="76"/>
      <c r="D200" s="110">
        <v>12</v>
      </c>
    </row>
    <row r="201" spans="1:22" ht="20.25" customHeight="1" thickBot="1" x14ac:dyDescent="0.3">
      <c r="A201" s="110" t="s">
        <v>44</v>
      </c>
      <c r="B201" s="106">
        <v>44490</v>
      </c>
      <c r="C201" s="74" t="s">
        <v>304</v>
      </c>
      <c r="D201" s="107" t="s">
        <v>46</v>
      </c>
      <c r="T201" s="95"/>
      <c r="V201" s="95"/>
    </row>
    <row r="202" spans="1:22" ht="20.25" customHeight="1" thickBot="1" x14ac:dyDescent="0.3">
      <c r="A202" s="98" t="s">
        <v>15</v>
      </c>
      <c r="B202" s="76"/>
      <c r="C202" s="98" t="s">
        <v>110</v>
      </c>
      <c r="D202" s="76"/>
    </row>
    <row r="203" spans="1:22" ht="20.25" customHeight="1" thickBot="1" x14ac:dyDescent="0.3">
      <c r="A203" s="98" t="s">
        <v>0</v>
      </c>
      <c r="B203" s="76"/>
      <c r="C203" s="98" t="s">
        <v>306</v>
      </c>
      <c r="D203" s="76"/>
      <c r="U203" s="95"/>
      <c r="V203" s="95"/>
    </row>
    <row r="204" spans="1:22" ht="20.25" customHeight="1" thickBot="1" x14ac:dyDescent="0.3">
      <c r="A204" s="98" t="s">
        <v>300</v>
      </c>
      <c r="B204" s="76"/>
      <c r="C204" s="98"/>
      <c r="D204" s="76"/>
    </row>
    <row r="205" spans="1:22" ht="20.25" customHeight="1" thickBot="1" x14ac:dyDescent="0.3">
      <c r="A205" s="105"/>
      <c r="B205" s="64"/>
      <c r="C205" s="64"/>
      <c r="D205" s="72"/>
    </row>
    <row r="206" spans="1:22" ht="20.25" customHeight="1" thickBot="1" x14ac:dyDescent="0.3">
      <c r="A206" s="108" t="s">
        <v>13</v>
      </c>
      <c r="B206" s="108" t="s">
        <v>19</v>
      </c>
      <c r="C206" s="108"/>
      <c r="D206" s="108"/>
    </row>
    <row r="207" spans="1:22" ht="20.25" customHeight="1" x14ac:dyDescent="0.25">
      <c r="A207" s="105" t="s">
        <v>4</v>
      </c>
      <c r="B207" s="111"/>
      <c r="C207" s="112"/>
      <c r="D207" s="113"/>
    </row>
    <row r="208" spans="1:22" ht="20.25" customHeight="1" x14ac:dyDescent="0.25">
      <c r="A208" s="105" t="s">
        <v>5</v>
      </c>
      <c r="B208" s="114"/>
      <c r="C208" s="109"/>
      <c r="D208" s="115"/>
    </row>
    <row r="209" spans="1:22" ht="20.25" customHeight="1" x14ac:dyDescent="0.25">
      <c r="A209" s="105" t="s">
        <v>6</v>
      </c>
      <c r="B209" s="114"/>
      <c r="C209" s="109"/>
      <c r="D209" s="115"/>
    </row>
    <row r="210" spans="1:22" ht="20.25" customHeight="1" x14ac:dyDescent="0.25">
      <c r="A210" s="105" t="s">
        <v>7</v>
      </c>
      <c r="B210" s="114">
        <v>83</v>
      </c>
      <c r="C210" s="109"/>
      <c r="D210" s="115"/>
    </row>
    <row r="211" spans="1:22" ht="20.25" customHeight="1" x14ac:dyDescent="0.25">
      <c r="A211" s="105" t="s">
        <v>8</v>
      </c>
      <c r="B211" s="114"/>
      <c r="C211" s="109"/>
      <c r="D211" s="115"/>
    </row>
    <row r="212" spans="1:22" ht="20.25" customHeight="1" x14ac:dyDescent="0.25">
      <c r="A212" s="105" t="s">
        <v>9</v>
      </c>
      <c r="B212" s="114"/>
      <c r="C212" s="109"/>
      <c r="D212" s="115"/>
    </row>
    <row r="213" spans="1:22" ht="20.25" customHeight="1" x14ac:dyDescent="0.25">
      <c r="A213" s="105" t="s">
        <v>11</v>
      </c>
      <c r="B213" s="114"/>
      <c r="C213" s="109"/>
      <c r="D213" s="115"/>
    </row>
    <row r="214" spans="1:22" ht="20.25" customHeight="1" x14ac:dyDescent="0.25">
      <c r="A214" s="105" t="s">
        <v>12</v>
      </c>
      <c r="B214" s="114"/>
      <c r="C214" s="109"/>
      <c r="D214" s="115"/>
    </row>
    <row r="215" spans="1:22" ht="20.25" customHeight="1" thickBot="1" x14ac:dyDescent="0.3">
      <c r="A215" s="73" t="s">
        <v>70</v>
      </c>
      <c r="B215" s="116"/>
      <c r="C215" s="117"/>
      <c r="D215" s="118"/>
    </row>
    <row r="216" spans="1:22" ht="20.25" customHeight="1" thickBot="1" x14ac:dyDescent="0.3">
      <c r="A216" s="98" t="s">
        <v>18</v>
      </c>
      <c r="B216" s="100"/>
      <c r="C216" s="100"/>
      <c r="D216" s="76"/>
    </row>
    <row r="217" spans="1:22" ht="20.25" customHeight="1" x14ac:dyDescent="0.25">
      <c r="A217" s="91"/>
      <c r="B217" s="92"/>
      <c r="C217" s="92"/>
      <c r="D217" s="104"/>
    </row>
    <row r="218" spans="1:22" ht="20.25" customHeight="1" thickBot="1" x14ac:dyDescent="0.3">
      <c r="A218" s="73"/>
      <c r="B218" s="74"/>
      <c r="C218" s="74"/>
      <c r="D218" s="75"/>
    </row>
    <row r="219" spans="1:22" ht="20.25" customHeight="1" thickBot="1" x14ac:dyDescent="0.3">
      <c r="A219" s="98" t="s">
        <v>17</v>
      </c>
      <c r="B219" s="76"/>
      <c r="C219" s="98">
        <v>83</v>
      </c>
      <c r="D219" s="76"/>
    </row>
    <row r="220" spans="1:22" ht="20.25" customHeight="1" thickBot="1" x14ac:dyDescent="0.3">
      <c r="A220" s="110">
        <v>11</v>
      </c>
      <c r="B220" s="98" t="s">
        <v>10</v>
      </c>
      <c r="C220" s="76"/>
      <c r="D220" s="110">
        <v>12</v>
      </c>
    </row>
    <row r="221" spans="1:22" ht="20.25" customHeight="1" thickBot="1" x14ac:dyDescent="0.3">
      <c r="A221" s="110" t="s">
        <v>44</v>
      </c>
      <c r="B221" s="106">
        <v>44490</v>
      </c>
      <c r="C221" s="74" t="s">
        <v>304</v>
      </c>
      <c r="D221" s="107" t="s">
        <v>46</v>
      </c>
      <c r="T221" s="95"/>
      <c r="V221" s="95"/>
    </row>
    <row r="222" spans="1:22" ht="20.25" customHeight="1" thickBot="1" x14ac:dyDescent="0.3">
      <c r="A222" s="98" t="s">
        <v>15</v>
      </c>
      <c r="B222" s="76"/>
      <c r="C222" s="98" t="s">
        <v>110</v>
      </c>
      <c r="D222" s="76"/>
    </row>
    <row r="223" spans="1:22" ht="20.25" customHeight="1" thickBot="1" x14ac:dyDescent="0.3">
      <c r="A223" s="98" t="s">
        <v>0</v>
      </c>
      <c r="B223" s="76"/>
      <c r="C223" s="98" t="s">
        <v>306</v>
      </c>
      <c r="D223" s="76"/>
      <c r="U223" s="95"/>
      <c r="V223" s="95"/>
    </row>
    <row r="224" spans="1:22" ht="20.25" customHeight="1" thickBot="1" x14ac:dyDescent="0.3">
      <c r="A224" s="98" t="s">
        <v>300</v>
      </c>
      <c r="B224" s="76"/>
      <c r="C224" s="98"/>
      <c r="D224" s="76"/>
    </row>
    <row r="225" spans="1:4" ht="20.25" customHeight="1" thickBot="1" x14ac:dyDescent="0.3">
      <c r="A225" s="105"/>
      <c r="B225" s="64"/>
      <c r="C225" s="64"/>
      <c r="D225" s="72"/>
    </row>
    <row r="226" spans="1:4" ht="20.25" customHeight="1" thickBot="1" x14ac:dyDescent="0.3">
      <c r="A226" s="108" t="s">
        <v>13</v>
      </c>
      <c r="B226" s="108" t="s">
        <v>19</v>
      </c>
      <c r="C226" s="108"/>
      <c r="D226" s="108"/>
    </row>
    <row r="227" spans="1:4" ht="20.25" customHeight="1" x14ac:dyDescent="0.25">
      <c r="A227" s="105" t="s">
        <v>4</v>
      </c>
      <c r="B227" s="111"/>
      <c r="C227" s="112"/>
      <c r="D227" s="113"/>
    </row>
    <row r="228" spans="1:4" ht="20.25" customHeight="1" x14ac:dyDescent="0.25">
      <c r="A228" s="105" t="s">
        <v>5</v>
      </c>
      <c r="B228" s="114"/>
      <c r="C228" s="109"/>
      <c r="D228" s="115"/>
    </row>
    <row r="229" spans="1:4" ht="20.25" customHeight="1" x14ac:dyDescent="0.25">
      <c r="A229" s="105" t="s">
        <v>6</v>
      </c>
      <c r="B229" s="114"/>
      <c r="C229" s="109"/>
      <c r="D229" s="115"/>
    </row>
    <row r="230" spans="1:4" ht="20.25" customHeight="1" x14ac:dyDescent="0.25">
      <c r="A230" s="105" t="s">
        <v>7</v>
      </c>
      <c r="B230" s="114">
        <v>50</v>
      </c>
      <c r="C230" s="109"/>
      <c r="D230" s="115"/>
    </row>
    <row r="231" spans="1:4" ht="20.25" customHeight="1" x14ac:dyDescent="0.25">
      <c r="A231" s="105" t="s">
        <v>8</v>
      </c>
      <c r="B231" s="114"/>
      <c r="C231" s="109"/>
      <c r="D231" s="115"/>
    </row>
    <row r="232" spans="1:4" ht="20.25" customHeight="1" x14ac:dyDescent="0.25">
      <c r="A232" s="105" t="s">
        <v>9</v>
      </c>
      <c r="B232" s="114"/>
      <c r="C232" s="109"/>
      <c r="D232" s="115"/>
    </row>
    <row r="233" spans="1:4" ht="20.25" customHeight="1" x14ac:dyDescent="0.25">
      <c r="A233" s="105" t="s">
        <v>11</v>
      </c>
      <c r="B233" s="114"/>
      <c r="C233" s="109"/>
      <c r="D233" s="115"/>
    </row>
    <row r="234" spans="1:4" ht="20.25" customHeight="1" x14ac:dyDescent="0.25">
      <c r="A234" s="105" t="s">
        <v>12</v>
      </c>
      <c r="B234" s="114"/>
      <c r="C234" s="109"/>
      <c r="D234" s="115"/>
    </row>
    <row r="235" spans="1:4" ht="20.25" customHeight="1" thickBot="1" x14ac:dyDescent="0.3">
      <c r="A235" s="73" t="s">
        <v>70</v>
      </c>
      <c r="B235" s="116"/>
      <c r="C235" s="117"/>
      <c r="D235" s="118"/>
    </row>
    <row r="236" spans="1:4" ht="20.25" customHeight="1" thickBot="1" x14ac:dyDescent="0.3">
      <c r="A236" s="98" t="s">
        <v>18</v>
      </c>
      <c r="B236" s="100"/>
      <c r="C236" s="100"/>
      <c r="D236" s="76"/>
    </row>
    <row r="237" spans="1:4" ht="20.25" customHeight="1" x14ac:dyDescent="0.25">
      <c r="A237" s="91"/>
      <c r="B237" s="92"/>
      <c r="C237" s="92"/>
      <c r="D237" s="104"/>
    </row>
    <row r="238" spans="1:4" ht="20.25" customHeight="1" thickBot="1" x14ac:dyDescent="0.3">
      <c r="A238" s="73"/>
      <c r="B238" s="74"/>
      <c r="C238" s="74"/>
      <c r="D238" s="75"/>
    </row>
    <row r="239" spans="1:4" ht="20.25" customHeight="1" thickBot="1" x14ac:dyDescent="0.3">
      <c r="A239" s="98" t="s">
        <v>17</v>
      </c>
      <c r="B239" s="76"/>
      <c r="C239" s="98">
        <v>50</v>
      </c>
      <c r="D239" s="76"/>
    </row>
    <row r="240" spans="1:4" ht="20.25" customHeight="1" thickBot="1" x14ac:dyDescent="0.3">
      <c r="A240" s="110">
        <v>12</v>
      </c>
      <c r="B240" s="98" t="s">
        <v>10</v>
      </c>
      <c r="C240" s="76"/>
      <c r="D240" s="110">
        <v>12</v>
      </c>
    </row>
    <row r="241" spans="1:22" ht="20.25" customHeight="1" thickBot="1" x14ac:dyDescent="0.3">
      <c r="A241" s="110" t="s">
        <v>44</v>
      </c>
      <c r="B241" s="106">
        <v>44490</v>
      </c>
      <c r="C241" s="74" t="s">
        <v>304</v>
      </c>
      <c r="D241" s="107" t="s">
        <v>46</v>
      </c>
      <c r="T241" s="95"/>
      <c r="V241" s="95"/>
    </row>
    <row r="242" spans="1:22" ht="20.25" customHeight="1" thickBot="1" x14ac:dyDescent="0.3">
      <c r="A242" s="98" t="s">
        <v>15</v>
      </c>
      <c r="B242" s="76"/>
      <c r="C242" s="98" t="s">
        <v>110</v>
      </c>
      <c r="D242" s="76"/>
    </row>
    <row r="243" spans="1:22" ht="20.25" customHeight="1" thickBot="1" x14ac:dyDescent="0.3">
      <c r="A243" s="98" t="s">
        <v>0</v>
      </c>
      <c r="B243" s="76"/>
      <c r="C243" s="98" t="s">
        <v>305</v>
      </c>
      <c r="D243" s="76"/>
      <c r="U243" s="95"/>
      <c r="V243" s="95"/>
    </row>
    <row r="244" spans="1:22" ht="20.25" customHeight="1" thickBot="1" x14ac:dyDescent="0.3">
      <c r="A244" s="98" t="s">
        <v>300</v>
      </c>
      <c r="B244" s="76"/>
      <c r="C244" s="98"/>
      <c r="D244" s="76"/>
    </row>
    <row r="245" spans="1:22" ht="20.25" customHeight="1" thickBot="1" x14ac:dyDescent="0.3">
      <c r="A245" s="105"/>
      <c r="B245" s="64"/>
      <c r="C245" s="64"/>
      <c r="D245" s="72"/>
    </row>
    <row r="246" spans="1:22" ht="20.25" customHeight="1" thickBot="1" x14ac:dyDescent="0.3">
      <c r="A246" s="108" t="s">
        <v>13</v>
      </c>
      <c r="B246" s="108" t="s">
        <v>16</v>
      </c>
      <c r="C246" s="108"/>
      <c r="D246" s="108"/>
    </row>
    <row r="247" spans="1:22" ht="20.25" customHeight="1" x14ac:dyDescent="0.25">
      <c r="A247" s="105" t="s">
        <v>4</v>
      </c>
      <c r="B247" s="111"/>
      <c r="C247" s="112"/>
      <c r="D247" s="113"/>
    </row>
    <row r="248" spans="1:22" ht="20.25" customHeight="1" x14ac:dyDescent="0.25">
      <c r="A248" s="105" t="s">
        <v>5</v>
      </c>
      <c r="B248" s="114"/>
      <c r="C248" s="109"/>
      <c r="D248" s="115"/>
    </row>
    <row r="249" spans="1:22" ht="20.25" customHeight="1" x14ac:dyDescent="0.25">
      <c r="A249" s="105" t="s">
        <v>6</v>
      </c>
      <c r="B249" s="114"/>
      <c r="C249" s="109"/>
      <c r="D249" s="115"/>
    </row>
    <row r="250" spans="1:22" ht="20.25" customHeight="1" x14ac:dyDescent="0.25">
      <c r="A250" s="105" t="s">
        <v>7</v>
      </c>
      <c r="B250" s="114">
        <v>20</v>
      </c>
      <c r="C250" s="109"/>
      <c r="D250" s="115"/>
    </row>
    <row r="251" spans="1:22" ht="20.25" customHeight="1" x14ac:dyDescent="0.25">
      <c r="A251" s="105" t="s">
        <v>8</v>
      </c>
      <c r="B251" s="114"/>
      <c r="C251" s="109"/>
      <c r="D251" s="115"/>
    </row>
    <row r="252" spans="1:22" ht="20.25" customHeight="1" x14ac:dyDescent="0.25">
      <c r="A252" s="105" t="s">
        <v>9</v>
      </c>
      <c r="B252" s="114"/>
      <c r="C252" s="109"/>
      <c r="D252" s="115"/>
    </row>
    <row r="253" spans="1:22" ht="20.25" customHeight="1" x14ac:dyDescent="0.25">
      <c r="A253" s="105" t="s">
        <v>11</v>
      </c>
      <c r="B253" s="114"/>
      <c r="C253" s="109"/>
      <c r="D253" s="115"/>
    </row>
    <row r="254" spans="1:22" ht="20.25" customHeight="1" x14ac:dyDescent="0.25">
      <c r="A254" s="105" t="s">
        <v>12</v>
      </c>
      <c r="B254" s="114"/>
      <c r="C254" s="109"/>
      <c r="D254" s="115"/>
    </row>
    <row r="255" spans="1:22" ht="20.25" customHeight="1" thickBot="1" x14ac:dyDescent="0.3">
      <c r="A255" s="73" t="s">
        <v>70</v>
      </c>
      <c r="B255" s="116"/>
      <c r="C255" s="117"/>
      <c r="D255" s="118"/>
    </row>
    <row r="256" spans="1:22" ht="20.25" customHeight="1" thickBot="1" x14ac:dyDescent="0.3">
      <c r="A256" s="98" t="s">
        <v>18</v>
      </c>
      <c r="B256" s="100"/>
      <c r="C256" s="100"/>
      <c r="D256" s="76"/>
    </row>
    <row r="257" spans="1:22" ht="20.25" customHeight="1" x14ac:dyDescent="0.25">
      <c r="A257" s="91"/>
      <c r="B257" s="92"/>
      <c r="C257" s="92"/>
      <c r="D257" s="104"/>
    </row>
    <row r="258" spans="1:22" ht="20.25" customHeight="1" thickBot="1" x14ac:dyDescent="0.3">
      <c r="A258" s="73"/>
      <c r="B258" s="74"/>
      <c r="C258" s="74"/>
      <c r="D258" s="75"/>
    </row>
    <row r="259" spans="1:22" ht="20.25" customHeight="1" thickBot="1" x14ac:dyDescent="0.3">
      <c r="A259" s="98" t="s">
        <v>17</v>
      </c>
      <c r="B259" s="76"/>
      <c r="C259" s="98">
        <v>20</v>
      </c>
      <c r="D259" s="76"/>
    </row>
    <row r="260" spans="1:22" ht="20.25" customHeight="1" thickBot="1" x14ac:dyDescent="0.3">
      <c r="A260" s="110">
        <v>13</v>
      </c>
      <c r="B260" s="98" t="s">
        <v>10</v>
      </c>
      <c r="C260" s="76"/>
      <c r="D260" s="110">
        <v>17</v>
      </c>
    </row>
    <row r="261" spans="1:22" ht="20.25" customHeight="1" thickBot="1" x14ac:dyDescent="0.3">
      <c r="A261" s="110" t="s">
        <v>44</v>
      </c>
      <c r="B261" s="106">
        <v>44487</v>
      </c>
      <c r="C261" s="74" t="s">
        <v>304</v>
      </c>
      <c r="D261" s="107" t="s">
        <v>46</v>
      </c>
      <c r="T261" s="95"/>
      <c r="V261" s="95"/>
    </row>
    <row r="262" spans="1:22" ht="20.25" customHeight="1" thickBot="1" x14ac:dyDescent="0.3">
      <c r="A262" s="98" t="s">
        <v>15</v>
      </c>
      <c r="B262" s="76"/>
      <c r="C262" s="98" t="s">
        <v>110</v>
      </c>
      <c r="D262" s="76"/>
    </row>
    <row r="263" spans="1:22" ht="20.25" customHeight="1" thickBot="1" x14ac:dyDescent="0.3">
      <c r="A263" s="98" t="s">
        <v>0</v>
      </c>
      <c r="B263" s="76"/>
      <c r="C263" s="98" t="s">
        <v>305</v>
      </c>
      <c r="D263" s="76"/>
      <c r="U263" s="95"/>
      <c r="V263" s="95"/>
    </row>
    <row r="264" spans="1:22" ht="20.25" customHeight="1" thickBot="1" x14ac:dyDescent="0.3">
      <c r="A264" s="98" t="s">
        <v>300</v>
      </c>
      <c r="B264" s="76"/>
      <c r="C264" s="98"/>
      <c r="D264" s="76"/>
    </row>
    <row r="265" spans="1:22" ht="20.25" customHeight="1" thickBot="1" x14ac:dyDescent="0.3">
      <c r="A265" s="105"/>
      <c r="B265" s="64"/>
      <c r="C265" s="64"/>
      <c r="D265" s="72"/>
    </row>
    <row r="266" spans="1:22" ht="20.25" customHeight="1" thickBot="1" x14ac:dyDescent="0.3">
      <c r="A266" s="108" t="s">
        <v>13</v>
      </c>
      <c r="B266" s="108" t="s">
        <v>16</v>
      </c>
      <c r="C266" s="108"/>
      <c r="D266" s="108"/>
    </row>
    <row r="267" spans="1:22" ht="20.25" customHeight="1" x14ac:dyDescent="0.25">
      <c r="A267" s="105" t="s">
        <v>4</v>
      </c>
      <c r="B267" s="111"/>
      <c r="C267" s="112"/>
      <c r="D267" s="113"/>
    </row>
    <row r="268" spans="1:22" ht="20.25" customHeight="1" x14ac:dyDescent="0.25">
      <c r="A268" s="105" t="s">
        <v>5</v>
      </c>
      <c r="B268" s="114"/>
      <c r="C268" s="109"/>
      <c r="D268" s="115"/>
    </row>
    <row r="269" spans="1:22" ht="20.25" customHeight="1" x14ac:dyDescent="0.25">
      <c r="A269" s="105" t="s">
        <v>6</v>
      </c>
      <c r="B269" s="114"/>
      <c r="C269" s="109"/>
      <c r="D269" s="115"/>
    </row>
    <row r="270" spans="1:22" ht="20.25" customHeight="1" x14ac:dyDescent="0.25">
      <c r="A270" s="105" t="s">
        <v>7</v>
      </c>
      <c r="B270" s="114">
        <v>20</v>
      </c>
      <c r="C270" s="109"/>
      <c r="D270" s="115"/>
    </row>
    <row r="271" spans="1:22" ht="20.25" customHeight="1" x14ac:dyDescent="0.25">
      <c r="A271" s="105" t="s">
        <v>8</v>
      </c>
      <c r="B271" s="114"/>
      <c r="C271" s="109"/>
      <c r="D271" s="115"/>
    </row>
    <row r="272" spans="1:22" ht="20.25" customHeight="1" x14ac:dyDescent="0.25">
      <c r="A272" s="105" t="s">
        <v>9</v>
      </c>
      <c r="B272" s="114"/>
      <c r="C272" s="109"/>
      <c r="D272" s="115"/>
    </row>
    <row r="273" spans="1:22" ht="20.25" customHeight="1" x14ac:dyDescent="0.25">
      <c r="A273" s="105" t="s">
        <v>11</v>
      </c>
      <c r="B273" s="114"/>
      <c r="C273" s="109"/>
      <c r="D273" s="115"/>
    </row>
    <row r="274" spans="1:22" ht="20.25" customHeight="1" x14ac:dyDescent="0.25">
      <c r="A274" s="105" t="s">
        <v>12</v>
      </c>
      <c r="B274" s="114"/>
      <c r="C274" s="109"/>
      <c r="D274" s="115"/>
    </row>
    <row r="275" spans="1:22" ht="20.25" customHeight="1" thickBot="1" x14ac:dyDescent="0.3">
      <c r="A275" s="73" t="s">
        <v>70</v>
      </c>
      <c r="B275" s="116"/>
      <c r="C275" s="117"/>
      <c r="D275" s="118"/>
    </row>
    <row r="276" spans="1:22" ht="20.25" customHeight="1" thickBot="1" x14ac:dyDescent="0.3">
      <c r="A276" s="98" t="s">
        <v>18</v>
      </c>
      <c r="B276" s="100"/>
      <c r="C276" s="100"/>
      <c r="D276" s="76"/>
    </row>
    <row r="277" spans="1:22" ht="20.25" customHeight="1" x14ac:dyDescent="0.25">
      <c r="A277" s="91"/>
      <c r="B277" s="92"/>
      <c r="C277" s="92"/>
      <c r="D277" s="104"/>
    </row>
    <row r="278" spans="1:22" ht="20.25" customHeight="1" thickBot="1" x14ac:dyDescent="0.3">
      <c r="A278" s="73"/>
      <c r="B278" s="74"/>
      <c r="C278" s="74"/>
      <c r="D278" s="75"/>
    </row>
    <row r="279" spans="1:22" ht="20.25" customHeight="1" thickBot="1" x14ac:dyDescent="0.3">
      <c r="A279" s="98" t="s">
        <v>17</v>
      </c>
      <c r="B279" s="76"/>
      <c r="C279" s="98">
        <v>20</v>
      </c>
      <c r="D279" s="76"/>
    </row>
    <row r="280" spans="1:22" ht="20.25" customHeight="1" thickBot="1" x14ac:dyDescent="0.3">
      <c r="A280" s="110">
        <v>14</v>
      </c>
      <c r="B280" s="98" t="s">
        <v>10</v>
      </c>
      <c r="C280" s="76"/>
      <c r="D280" s="110">
        <v>17</v>
      </c>
    </row>
    <row r="281" spans="1:22" ht="20.25" customHeight="1" thickBot="1" x14ac:dyDescent="0.3">
      <c r="A281" s="110" t="s">
        <v>44</v>
      </c>
      <c r="B281" s="106">
        <v>44487</v>
      </c>
      <c r="C281" s="74" t="s">
        <v>304</v>
      </c>
      <c r="D281" s="107" t="s">
        <v>46</v>
      </c>
      <c r="T281" s="95"/>
      <c r="V281" s="95"/>
    </row>
    <row r="282" spans="1:22" ht="20.25" customHeight="1" thickBot="1" x14ac:dyDescent="0.3">
      <c r="A282" s="98" t="s">
        <v>15</v>
      </c>
      <c r="B282" s="76"/>
      <c r="C282" s="98" t="s">
        <v>110</v>
      </c>
      <c r="D282" s="76"/>
    </row>
    <row r="283" spans="1:22" ht="20.25" customHeight="1" thickBot="1" x14ac:dyDescent="0.3">
      <c r="A283" s="98" t="s">
        <v>0</v>
      </c>
      <c r="B283" s="76"/>
      <c r="C283" s="98" t="s">
        <v>305</v>
      </c>
      <c r="D283" s="76"/>
      <c r="U283" s="95"/>
      <c r="V283" s="95"/>
    </row>
    <row r="284" spans="1:22" ht="20.25" customHeight="1" thickBot="1" x14ac:dyDescent="0.3">
      <c r="A284" s="98" t="s">
        <v>300</v>
      </c>
      <c r="B284" s="76"/>
      <c r="C284" s="98"/>
      <c r="D284" s="76"/>
    </row>
    <row r="285" spans="1:22" ht="20.25" customHeight="1" thickBot="1" x14ac:dyDescent="0.3">
      <c r="A285" s="105"/>
      <c r="B285" s="64"/>
      <c r="C285" s="64"/>
      <c r="D285" s="72"/>
    </row>
    <row r="286" spans="1:22" ht="20.25" customHeight="1" thickBot="1" x14ac:dyDescent="0.3">
      <c r="A286" s="108" t="s">
        <v>13</v>
      </c>
      <c r="B286" s="108" t="s">
        <v>16</v>
      </c>
      <c r="C286" s="108"/>
      <c r="D286" s="108"/>
    </row>
    <row r="287" spans="1:22" ht="20.25" customHeight="1" x14ac:dyDescent="0.25">
      <c r="A287" s="105" t="s">
        <v>4</v>
      </c>
      <c r="B287" s="111"/>
      <c r="C287" s="112"/>
      <c r="D287" s="113"/>
    </row>
    <row r="288" spans="1:22" ht="20.25" customHeight="1" x14ac:dyDescent="0.25">
      <c r="A288" s="105" t="s">
        <v>5</v>
      </c>
      <c r="B288" s="114"/>
      <c r="C288" s="109"/>
      <c r="D288" s="115"/>
    </row>
    <row r="289" spans="1:22" ht="20.25" customHeight="1" x14ac:dyDescent="0.25">
      <c r="A289" s="105" t="s">
        <v>6</v>
      </c>
      <c r="B289" s="114"/>
      <c r="C289" s="109"/>
      <c r="D289" s="115"/>
    </row>
    <row r="290" spans="1:22" ht="20.25" customHeight="1" x14ac:dyDescent="0.25">
      <c r="A290" s="105" t="s">
        <v>7</v>
      </c>
      <c r="B290" s="114">
        <v>13</v>
      </c>
      <c r="C290" s="109"/>
      <c r="D290" s="115"/>
    </row>
    <row r="291" spans="1:22" ht="20.25" customHeight="1" x14ac:dyDescent="0.25">
      <c r="A291" s="105" t="s">
        <v>8</v>
      </c>
      <c r="B291" s="114"/>
      <c r="C291" s="109"/>
      <c r="D291" s="115"/>
    </row>
    <row r="292" spans="1:22" ht="20.25" customHeight="1" x14ac:dyDescent="0.25">
      <c r="A292" s="105" t="s">
        <v>9</v>
      </c>
      <c r="B292" s="114"/>
      <c r="C292" s="109"/>
      <c r="D292" s="115"/>
    </row>
    <row r="293" spans="1:22" ht="20.25" customHeight="1" x14ac:dyDescent="0.25">
      <c r="A293" s="105" t="s">
        <v>11</v>
      </c>
      <c r="B293" s="114"/>
      <c r="C293" s="109"/>
      <c r="D293" s="115"/>
    </row>
    <row r="294" spans="1:22" ht="20.25" customHeight="1" x14ac:dyDescent="0.25">
      <c r="A294" s="105" t="s">
        <v>12</v>
      </c>
      <c r="B294" s="114"/>
      <c r="C294" s="109"/>
      <c r="D294" s="115"/>
    </row>
    <row r="295" spans="1:22" ht="20.25" customHeight="1" thickBot="1" x14ac:dyDescent="0.3">
      <c r="A295" s="73" t="s">
        <v>70</v>
      </c>
      <c r="B295" s="116"/>
      <c r="C295" s="117"/>
      <c r="D295" s="118"/>
    </row>
    <row r="296" spans="1:22" ht="20.25" customHeight="1" thickBot="1" x14ac:dyDescent="0.3">
      <c r="A296" s="98" t="s">
        <v>18</v>
      </c>
      <c r="B296" s="100"/>
      <c r="C296" s="100"/>
      <c r="D296" s="76"/>
    </row>
    <row r="297" spans="1:22" ht="20.25" customHeight="1" x14ac:dyDescent="0.25">
      <c r="A297" s="91"/>
      <c r="B297" s="92"/>
      <c r="C297" s="92"/>
      <c r="D297" s="104"/>
    </row>
    <row r="298" spans="1:22" ht="20.25" customHeight="1" thickBot="1" x14ac:dyDescent="0.3">
      <c r="A298" s="73"/>
      <c r="B298" s="74"/>
      <c r="C298" s="74"/>
      <c r="D298" s="75"/>
    </row>
    <row r="299" spans="1:22" ht="20.25" customHeight="1" thickBot="1" x14ac:dyDescent="0.3">
      <c r="A299" s="98" t="s">
        <v>17</v>
      </c>
      <c r="B299" s="76"/>
      <c r="C299" s="98">
        <v>13</v>
      </c>
      <c r="D299" s="76"/>
    </row>
    <row r="300" spans="1:22" ht="20.25" customHeight="1" thickBot="1" x14ac:dyDescent="0.3">
      <c r="A300" s="110">
        <v>15</v>
      </c>
      <c r="B300" s="98" t="s">
        <v>10</v>
      </c>
      <c r="C300" s="76"/>
      <c r="D300" s="110">
        <v>17</v>
      </c>
    </row>
    <row r="301" spans="1:22" ht="20.25" customHeight="1" thickBot="1" x14ac:dyDescent="0.3">
      <c r="A301" s="110" t="s">
        <v>44</v>
      </c>
      <c r="B301" s="106">
        <v>44487</v>
      </c>
      <c r="C301" s="74" t="s">
        <v>304</v>
      </c>
      <c r="D301" s="107" t="s">
        <v>46</v>
      </c>
      <c r="T301" s="95"/>
      <c r="V301" s="95"/>
    </row>
    <row r="302" spans="1:22" ht="20.25" customHeight="1" thickBot="1" x14ac:dyDescent="0.3">
      <c r="A302" s="98" t="s">
        <v>15</v>
      </c>
      <c r="B302" s="76"/>
      <c r="C302" s="98" t="s">
        <v>110</v>
      </c>
      <c r="D302" s="76"/>
    </row>
    <row r="303" spans="1:22" ht="20.25" customHeight="1" thickBot="1" x14ac:dyDescent="0.3">
      <c r="A303" s="98" t="s">
        <v>0</v>
      </c>
      <c r="B303" s="76"/>
      <c r="C303" s="98" t="s">
        <v>305</v>
      </c>
      <c r="D303" s="76"/>
      <c r="U303" s="95"/>
      <c r="V303" s="95"/>
    </row>
    <row r="304" spans="1:22" ht="20.25" customHeight="1" thickBot="1" x14ac:dyDescent="0.3">
      <c r="A304" s="98" t="s">
        <v>300</v>
      </c>
      <c r="B304" s="76"/>
      <c r="C304" s="98"/>
      <c r="D304" s="76"/>
    </row>
    <row r="305" spans="1:4" ht="20.25" customHeight="1" thickBot="1" x14ac:dyDescent="0.3">
      <c r="A305" s="105"/>
      <c r="B305" s="64"/>
      <c r="C305" s="64"/>
      <c r="D305" s="72"/>
    </row>
    <row r="306" spans="1:4" ht="20.25" customHeight="1" thickBot="1" x14ac:dyDescent="0.3">
      <c r="A306" s="108" t="s">
        <v>13</v>
      </c>
      <c r="B306" s="108" t="s">
        <v>16</v>
      </c>
      <c r="C306" s="108"/>
      <c r="D306" s="108"/>
    </row>
    <row r="307" spans="1:4" ht="20.25" customHeight="1" x14ac:dyDescent="0.25">
      <c r="A307" s="105" t="s">
        <v>4</v>
      </c>
      <c r="B307" s="111"/>
      <c r="C307" s="112"/>
      <c r="D307" s="113"/>
    </row>
    <row r="308" spans="1:4" ht="20.25" customHeight="1" x14ac:dyDescent="0.25">
      <c r="A308" s="105" t="s">
        <v>5</v>
      </c>
      <c r="B308" s="114"/>
      <c r="C308" s="109"/>
      <c r="D308" s="115"/>
    </row>
    <row r="309" spans="1:4" ht="20.25" customHeight="1" x14ac:dyDescent="0.25">
      <c r="A309" s="105" t="s">
        <v>6</v>
      </c>
      <c r="B309" s="114"/>
      <c r="C309" s="109"/>
      <c r="D309" s="115"/>
    </row>
    <row r="310" spans="1:4" ht="20.25" customHeight="1" x14ac:dyDescent="0.25">
      <c r="A310" s="105" t="s">
        <v>7</v>
      </c>
      <c r="B310" s="114"/>
      <c r="C310" s="109"/>
      <c r="D310" s="115"/>
    </row>
    <row r="311" spans="1:4" ht="20.25" customHeight="1" x14ac:dyDescent="0.25">
      <c r="A311" s="105" t="s">
        <v>8</v>
      </c>
      <c r="B311" s="114"/>
      <c r="C311" s="109"/>
      <c r="D311" s="115"/>
    </row>
    <row r="312" spans="1:4" ht="20.25" customHeight="1" x14ac:dyDescent="0.25">
      <c r="A312" s="105" t="s">
        <v>9</v>
      </c>
      <c r="B312" s="114">
        <v>14</v>
      </c>
      <c r="C312" s="109"/>
      <c r="D312" s="115"/>
    </row>
    <row r="313" spans="1:4" ht="20.25" customHeight="1" x14ac:dyDescent="0.25">
      <c r="A313" s="105" t="s">
        <v>11</v>
      </c>
      <c r="B313" s="114"/>
      <c r="C313" s="109"/>
      <c r="D313" s="115"/>
    </row>
    <row r="314" spans="1:4" ht="20.25" customHeight="1" x14ac:dyDescent="0.25">
      <c r="A314" s="105" t="s">
        <v>12</v>
      </c>
      <c r="B314" s="114"/>
      <c r="C314" s="109"/>
      <c r="D314" s="115"/>
    </row>
    <row r="315" spans="1:4" ht="20.25" customHeight="1" thickBot="1" x14ac:dyDescent="0.3">
      <c r="A315" s="73" t="s">
        <v>70</v>
      </c>
      <c r="B315" s="116"/>
      <c r="C315" s="117"/>
      <c r="D315" s="118"/>
    </row>
    <row r="316" spans="1:4" ht="20.25" customHeight="1" thickBot="1" x14ac:dyDescent="0.3">
      <c r="A316" s="98" t="s">
        <v>18</v>
      </c>
      <c r="B316" s="100"/>
      <c r="C316" s="100"/>
      <c r="D316" s="76"/>
    </row>
    <row r="317" spans="1:4" ht="20.25" customHeight="1" x14ac:dyDescent="0.25">
      <c r="A317" s="91"/>
      <c r="B317" s="92"/>
      <c r="C317" s="92"/>
      <c r="D317" s="104"/>
    </row>
    <row r="318" spans="1:4" ht="20.25" customHeight="1" thickBot="1" x14ac:dyDescent="0.3">
      <c r="A318" s="73"/>
      <c r="B318" s="74"/>
      <c r="C318" s="74"/>
      <c r="D318" s="75"/>
    </row>
    <row r="319" spans="1:4" ht="20.25" customHeight="1" thickBot="1" x14ac:dyDescent="0.3">
      <c r="A319" s="98" t="s">
        <v>17</v>
      </c>
      <c r="B319" s="76"/>
      <c r="C319" s="98">
        <v>14</v>
      </c>
      <c r="D319" s="76"/>
    </row>
    <row r="320" spans="1:4" ht="20.25" customHeight="1" thickBot="1" x14ac:dyDescent="0.3">
      <c r="A320" s="110">
        <v>16</v>
      </c>
      <c r="B320" s="98" t="s">
        <v>10</v>
      </c>
      <c r="C320" s="76"/>
      <c r="D320" s="110">
        <v>17</v>
      </c>
    </row>
    <row r="321" spans="1:22" ht="20.25" customHeight="1" thickBot="1" x14ac:dyDescent="0.3">
      <c r="A321" s="110" t="s">
        <v>44</v>
      </c>
      <c r="B321" s="106">
        <v>44487</v>
      </c>
      <c r="C321" s="74" t="s">
        <v>304</v>
      </c>
      <c r="D321" s="107" t="s">
        <v>46</v>
      </c>
      <c r="T321" s="95"/>
      <c r="V321" s="95"/>
    </row>
    <row r="322" spans="1:22" ht="20.25" customHeight="1" thickBot="1" x14ac:dyDescent="0.3">
      <c r="A322" s="98" t="s">
        <v>15</v>
      </c>
      <c r="B322" s="76"/>
      <c r="C322" s="98" t="s">
        <v>110</v>
      </c>
      <c r="D322" s="76"/>
    </row>
    <row r="323" spans="1:22" ht="20.25" customHeight="1" thickBot="1" x14ac:dyDescent="0.3">
      <c r="A323" s="98" t="s">
        <v>0</v>
      </c>
      <c r="B323" s="76"/>
      <c r="C323" s="98" t="s">
        <v>305</v>
      </c>
      <c r="D323" s="76"/>
      <c r="U323" s="95"/>
      <c r="V323" s="95"/>
    </row>
    <row r="324" spans="1:22" ht="20.25" customHeight="1" thickBot="1" x14ac:dyDescent="0.3">
      <c r="A324" s="98" t="s">
        <v>300</v>
      </c>
      <c r="B324" s="76"/>
      <c r="C324" s="98"/>
      <c r="D324" s="76"/>
    </row>
    <row r="325" spans="1:22" ht="20.25" customHeight="1" thickBot="1" x14ac:dyDescent="0.3">
      <c r="A325" s="105"/>
      <c r="B325" s="64"/>
      <c r="C325" s="64"/>
      <c r="D325" s="72"/>
    </row>
    <row r="326" spans="1:22" ht="20.25" customHeight="1" thickBot="1" x14ac:dyDescent="0.3">
      <c r="A326" s="108" t="s">
        <v>13</v>
      </c>
      <c r="B326" s="108" t="s">
        <v>16</v>
      </c>
      <c r="C326" s="108"/>
      <c r="D326" s="108"/>
    </row>
    <row r="327" spans="1:22" ht="20.25" customHeight="1" x14ac:dyDescent="0.25">
      <c r="A327" s="105" t="s">
        <v>4</v>
      </c>
      <c r="B327" s="111"/>
      <c r="C327" s="112"/>
      <c r="D327" s="113"/>
    </row>
    <row r="328" spans="1:22" ht="20.25" customHeight="1" x14ac:dyDescent="0.25">
      <c r="A328" s="105" t="s">
        <v>5</v>
      </c>
      <c r="B328" s="114">
        <v>1</v>
      </c>
      <c r="C328" s="109"/>
      <c r="D328" s="115"/>
    </row>
    <row r="329" spans="1:22" ht="20.25" customHeight="1" x14ac:dyDescent="0.25">
      <c r="A329" s="105" t="s">
        <v>6</v>
      </c>
      <c r="B329" s="114">
        <v>1</v>
      </c>
      <c r="C329" s="109"/>
      <c r="D329" s="115"/>
    </row>
    <row r="330" spans="1:22" ht="20.25" customHeight="1" x14ac:dyDescent="0.25">
      <c r="A330" s="105" t="s">
        <v>7</v>
      </c>
      <c r="B330" s="114">
        <v>2</v>
      </c>
      <c r="C330" s="109"/>
      <c r="D330" s="115"/>
    </row>
    <row r="331" spans="1:22" ht="20.25" customHeight="1" x14ac:dyDescent="0.25">
      <c r="A331" s="105" t="s">
        <v>8</v>
      </c>
      <c r="B331" s="114">
        <v>1</v>
      </c>
      <c r="C331" s="109"/>
      <c r="D331" s="115"/>
    </row>
    <row r="332" spans="1:22" ht="20.25" customHeight="1" x14ac:dyDescent="0.25">
      <c r="A332" s="105" t="s">
        <v>9</v>
      </c>
      <c r="B332" s="114">
        <v>24</v>
      </c>
      <c r="C332" s="109"/>
      <c r="D332" s="115"/>
    </row>
    <row r="333" spans="1:22" ht="20.25" customHeight="1" x14ac:dyDescent="0.25">
      <c r="A333" s="105" t="s">
        <v>11</v>
      </c>
      <c r="B333" s="114"/>
      <c r="C333" s="109"/>
      <c r="D333" s="115"/>
    </row>
    <row r="334" spans="1:22" ht="20.25" customHeight="1" x14ac:dyDescent="0.25">
      <c r="A334" s="105" t="s">
        <v>12</v>
      </c>
      <c r="B334" s="114"/>
      <c r="C334" s="109"/>
      <c r="D334" s="115"/>
    </row>
    <row r="335" spans="1:22" ht="20.25" customHeight="1" thickBot="1" x14ac:dyDescent="0.3">
      <c r="A335" s="73" t="s">
        <v>70</v>
      </c>
      <c r="B335" s="116"/>
      <c r="C335" s="117"/>
      <c r="D335" s="118"/>
    </row>
    <row r="336" spans="1:22" ht="20.25" customHeight="1" thickBot="1" x14ac:dyDescent="0.3">
      <c r="A336" s="98" t="s">
        <v>18</v>
      </c>
      <c r="B336" s="100"/>
      <c r="C336" s="100"/>
      <c r="D336" s="76"/>
    </row>
    <row r="337" spans="1:22" ht="20.25" customHeight="1" x14ac:dyDescent="0.25">
      <c r="A337" s="91"/>
      <c r="B337" s="92"/>
      <c r="C337" s="92"/>
      <c r="D337" s="104"/>
    </row>
    <row r="338" spans="1:22" ht="20.25" customHeight="1" thickBot="1" x14ac:dyDescent="0.3">
      <c r="A338" s="73"/>
      <c r="B338" s="74"/>
      <c r="C338" s="74"/>
      <c r="D338" s="75"/>
    </row>
    <row r="339" spans="1:22" ht="20.25" customHeight="1" thickBot="1" x14ac:dyDescent="0.3">
      <c r="A339" s="98" t="s">
        <v>17</v>
      </c>
      <c r="B339" s="76"/>
      <c r="C339" s="98">
        <v>29</v>
      </c>
      <c r="D339" s="76"/>
    </row>
    <row r="340" spans="1:22" ht="20.25" customHeight="1" thickBot="1" x14ac:dyDescent="0.3">
      <c r="A340" s="110">
        <v>17</v>
      </c>
      <c r="B340" s="98" t="s">
        <v>10</v>
      </c>
      <c r="C340" s="76"/>
      <c r="D340" s="110">
        <v>17</v>
      </c>
    </row>
    <row r="341" spans="1:22" ht="20.25" customHeight="1" thickBot="1" x14ac:dyDescent="0.3">
      <c r="A341" s="110" t="s">
        <v>44</v>
      </c>
      <c r="B341" s="106">
        <v>44487</v>
      </c>
      <c r="C341" s="74" t="s">
        <v>304</v>
      </c>
      <c r="D341" s="107" t="s">
        <v>46</v>
      </c>
      <c r="T341" s="95"/>
      <c r="V341" s="95"/>
    </row>
    <row r="342" spans="1:22" ht="20.25" customHeight="1" thickBot="1" x14ac:dyDescent="0.3">
      <c r="A342" s="98" t="s">
        <v>15</v>
      </c>
      <c r="B342" s="76"/>
      <c r="C342" s="98" t="s">
        <v>110</v>
      </c>
      <c r="D342" s="76"/>
    </row>
    <row r="343" spans="1:22" ht="20.25" customHeight="1" thickBot="1" x14ac:dyDescent="0.3">
      <c r="A343" s="98" t="s">
        <v>0</v>
      </c>
      <c r="B343" s="76"/>
      <c r="C343" s="98" t="s">
        <v>301</v>
      </c>
      <c r="D343" s="76"/>
      <c r="U343" s="95"/>
      <c r="V343" s="95"/>
    </row>
    <row r="344" spans="1:22" ht="20.25" customHeight="1" thickBot="1" x14ac:dyDescent="0.3">
      <c r="A344" s="98" t="s">
        <v>300</v>
      </c>
      <c r="B344" s="76"/>
      <c r="C344" s="98"/>
      <c r="D344" s="76"/>
    </row>
    <row r="345" spans="1:22" ht="20.25" customHeight="1" thickBot="1" x14ac:dyDescent="0.3">
      <c r="A345" s="105"/>
      <c r="B345" s="64"/>
      <c r="C345" s="64"/>
      <c r="D345" s="72"/>
    </row>
    <row r="346" spans="1:22" ht="20.25" customHeight="1" thickBot="1" x14ac:dyDescent="0.3">
      <c r="A346" s="108" t="s">
        <v>13</v>
      </c>
      <c r="B346" s="108" t="s">
        <v>16</v>
      </c>
      <c r="C346" s="108"/>
      <c r="D346" s="108"/>
    </row>
    <row r="347" spans="1:22" ht="20.25" customHeight="1" x14ac:dyDescent="0.25">
      <c r="A347" s="105" t="s">
        <v>4</v>
      </c>
      <c r="B347" s="111"/>
      <c r="C347" s="112"/>
      <c r="D347" s="113"/>
    </row>
    <row r="348" spans="1:22" ht="20.25" customHeight="1" x14ac:dyDescent="0.25">
      <c r="A348" s="105" t="s">
        <v>5</v>
      </c>
      <c r="B348" s="114"/>
      <c r="C348" s="109"/>
      <c r="D348" s="115"/>
    </row>
    <row r="349" spans="1:22" ht="20.25" customHeight="1" x14ac:dyDescent="0.25">
      <c r="A349" s="105" t="s">
        <v>6</v>
      </c>
      <c r="B349" s="114"/>
      <c r="C349" s="109"/>
      <c r="D349" s="115"/>
    </row>
    <row r="350" spans="1:22" ht="20.25" customHeight="1" x14ac:dyDescent="0.25">
      <c r="A350" s="105" t="s">
        <v>7</v>
      </c>
      <c r="B350" s="114"/>
      <c r="C350" s="109"/>
      <c r="D350" s="115"/>
    </row>
    <row r="351" spans="1:22" ht="20.25" customHeight="1" x14ac:dyDescent="0.25">
      <c r="A351" s="105" t="s">
        <v>8</v>
      </c>
      <c r="B351" s="114">
        <v>16</v>
      </c>
      <c r="C351" s="109"/>
      <c r="D351" s="115"/>
    </row>
    <row r="352" spans="1:22" ht="20.25" customHeight="1" x14ac:dyDescent="0.25">
      <c r="A352" s="105" t="s">
        <v>9</v>
      </c>
      <c r="B352" s="114"/>
      <c r="C352" s="109"/>
      <c r="D352" s="115"/>
    </row>
    <row r="353" spans="1:22" ht="20.25" customHeight="1" x14ac:dyDescent="0.25">
      <c r="A353" s="105" t="s">
        <v>11</v>
      </c>
      <c r="B353" s="114"/>
      <c r="C353" s="109"/>
      <c r="D353" s="115"/>
    </row>
    <row r="354" spans="1:22" ht="20.25" customHeight="1" x14ac:dyDescent="0.25">
      <c r="A354" s="105" t="s">
        <v>12</v>
      </c>
      <c r="B354" s="114"/>
      <c r="C354" s="109"/>
      <c r="D354" s="115"/>
    </row>
    <row r="355" spans="1:22" ht="20.25" customHeight="1" thickBot="1" x14ac:dyDescent="0.3">
      <c r="A355" s="73" t="s">
        <v>70</v>
      </c>
      <c r="B355" s="116"/>
      <c r="C355" s="117"/>
      <c r="D355" s="118"/>
    </row>
    <row r="356" spans="1:22" ht="20.25" customHeight="1" thickBot="1" x14ac:dyDescent="0.3">
      <c r="A356" s="98" t="s">
        <v>18</v>
      </c>
      <c r="B356" s="100"/>
      <c r="C356" s="100"/>
      <c r="D356" s="76"/>
    </row>
    <row r="357" spans="1:22" ht="20.25" customHeight="1" x14ac:dyDescent="0.25">
      <c r="A357" s="91" t="s">
        <v>303</v>
      </c>
      <c r="B357" s="92"/>
      <c r="C357" s="92"/>
      <c r="D357" s="104"/>
    </row>
    <row r="358" spans="1:22" ht="20.25" customHeight="1" thickBot="1" x14ac:dyDescent="0.3">
      <c r="A358" s="73"/>
      <c r="B358" s="74"/>
      <c r="C358" s="74"/>
      <c r="D358" s="75"/>
    </row>
    <row r="359" spans="1:22" ht="20.25" customHeight="1" thickBot="1" x14ac:dyDescent="0.3">
      <c r="A359" s="98" t="s">
        <v>17</v>
      </c>
      <c r="B359" s="76"/>
      <c r="C359" s="98">
        <v>16</v>
      </c>
      <c r="D359" s="76"/>
    </row>
    <row r="360" spans="1:22" ht="20.25" customHeight="1" thickBot="1" x14ac:dyDescent="0.3">
      <c r="A360" s="110">
        <v>17</v>
      </c>
      <c r="B360" s="98" t="s">
        <v>10</v>
      </c>
      <c r="C360" s="76"/>
      <c r="D360" s="110">
        <v>23</v>
      </c>
    </row>
    <row r="361" spans="1:22" ht="20.25" customHeight="1" thickBot="1" x14ac:dyDescent="0.3">
      <c r="A361" s="110" t="s">
        <v>44</v>
      </c>
      <c r="B361" s="106">
        <v>44482</v>
      </c>
      <c r="C361" s="74" t="s">
        <v>302</v>
      </c>
      <c r="D361" s="107" t="s">
        <v>46</v>
      </c>
      <c r="T361" s="95"/>
      <c r="V361" s="95"/>
    </row>
    <row r="362" spans="1:22" ht="20.25" customHeight="1" thickBot="1" x14ac:dyDescent="0.3">
      <c r="A362" s="98" t="s">
        <v>15</v>
      </c>
      <c r="B362" s="76"/>
      <c r="C362" s="98" t="s">
        <v>110</v>
      </c>
      <c r="D362" s="76"/>
    </row>
    <row r="363" spans="1:22" ht="20.25" customHeight="1" thickBot="1" x14ac:dyDescent="0.3">
      <c r="A363" s="98" t="s">
        <v>0</v>
      </c>
      <c r="B363" s="76"/>
      <c r="C363" s="98" t="s">
        <v>301</v>
      </c>
      <c r="D363" s="76"/>
      <c r="U363" s="95"/>
      <c r="V363" s="95"/>
    </row>
    <row r="364" spans="1:22" ht="20.25" customHeight="1" thickBot="1" x14ac:dyDescent="0.3">
      <c r="A364" s="98" t="s">
        <v>300</v>
      </c>
      <c r="B364" s="76"/>
      <c r="C364" s="98"/>
      <c r="D364" s="76"/>
    </row>
    <row r="365" spans="1:22" ht="20.25" customHeight="1" thickBot="1" x14ac:dyDescent="0.3">
      <c r="A365" s="105"/>
      <c r="B365" s="64"/>
      <c r="C365" s="64"/>
      <c r="D365" s="72"/>
    </row>
    <row r="366" spans="1:22" ht="20.25" customHeight="1" thickBot="1" x14ac:dyDescent="0.3">
      <c r="A366" s="108" t="s">
        <v>13</v>
      </c>
      <c r="B366" s="108" t="s">
        <v>16</v>
      </c>
      <c r="C366" s="108"/>
      <c r="D366" s="108"/>
    </row>
    <row r="367" spans="1:22" ht="20.25" customHeight="1" x14ac:dyDescent="0.25">
      <c r="A367" s="105" t="s">
        <v>4</v>
      </c>
      <c r="B367" s="111"/>
      <c r="C367" s="112"/>
      <c r="D367" s="113"/>
    </row>
    <row r="368" spans="1:22" ht="20.25" customHeight="1" x14ac:dyDescent="0.25">
      <c r="A368" s="105" t="s">
        <v>5</v>
      </c>
      <c r="B368" s="114"/>
      <c r="C368" s="109"/>
      <c r="D368" s="115"/>
    </row>
    <row r="369" spans="1:22" ht="20.25" customHeight="1" x14ac:dyDescent="0.25">
      <c r="A369" s="105" t="s">
        <v>6</v>
      </c>
      <c r="B369" s="114"/>
      <c r="C369" s="109"/>
      <c r="D369" s="115"/>
    </row>
    <row r="370" spans="1:22" ht="20.25" customHeight="1" x14ac:dyDescent="0.25">
      <c r="A370" s="105" t="s">
        <v>7</v>
      </c>
      <c r="B370" s="114"/>
      <c r="C370" s="109"/>
      <c r="D370" s="115"/>
    </row>
    <row r="371" spans="1:22" ht="20.25" customHeight="1" x14ac:dyDescent="0.25">
      <c r="A371" s="105" t="s">
        <v>8</v>
      </c>
      <c r="B371" s="114"/>
      <c r="C371" s="109"/>
      <c r="D371" s="115"/>
    </row>
    <row r="372" spans="1:22" ht="20.25" customHeight="1" x14ac:dyDescent="0.25">
      <c r="A372" s="105" t="s">
        <v>9</v>
      </c>
      <c r="B372" s="114">
        <v>20</v>
      </c>
      <c r="C372" s="109"/>
      <c r="D372" s="115"/>
    </row>
    <row r="373" spans="1:22" ht="20.25" customHeight="1" x14ac:dyDescent="0.25">
      <c r="A373" s="105" t="s">
        <v>11</v>
      </c>
      <c r="B373" s="114"/>
      <c r="C373" s="109"/>
      <c r="D373" s="115"/>
    </row>
    <row r="374" spans="1:22" ht="20.25" customHeight="1" x14ac:dyDescent="0.25">
      <c r="A374" s="105" t="s">
        <v>12</v>
      </c>
      <c r="B374" s="114"/>
      <c r="C374" s="109"/>
      <c r="D374" s="115"/>
    </row>
    <row r="375" spans="1:22" ht="20.25" customHeight="1" thickBot="1" x14ac:dyDescent="0.3">
      <c r="A375" s="73" t="s">
        <v>70</v>
      </c>
      <c r="B375" s="116"/>
      <c r="C375" s="117"/>
      <c r="D375" s="118"/>
    </row>
    <row r="376" spans="1:22" ht="20.25" customHeight="1" thickBot="1" x14ac:dyDescent="0.3">
      <c r="A376" s="98" t="s">
        <v>18</v>
      </c>
      <c r="B376" s="100"/>
      <c r="C376" s="100"/>
      <c r="D376" s="76"/>
    </row>
    <row r="377" spans="1:22" ht="20.25" customHeight="1" x14ac:dyDescent="0.25">
      <c r="A377" s="91" t="s">
        <v>303</v>
      </c>
      <c r="B377" s="92"/>
      <c r="C377" s="92"/>
      <c r="D377" s="104"/>
    </row>
    <row r="378" spans="1:22" ht="20.25" customHeight="1" thickBot="1" x14ac:dyDescent="0.3">
      <c r="A378" s="73"/>
      <c r="B378" s="74"/>
      <c r="C378" s="74"/>
      <c r="D378" s="75"/>
    </row>
    <row r="379" spans="1:22" ht="20.25" customHeight="1" thickBot="1" x14ac:dyDescent="0.3">
      <c r="A379" s="98" t="s">
        <v>17</v>
      </c>
      <c r="B379" s="76"/>
      <c r="C379" s="98">
        <v>20</v>
      </c>
      <c r="D379" s="76"/>
    </row>
    <row r="380" spans="1:22" ht="20.25" customHeight="1" thickBot="1" x14ac:dyDescent="0.3">
      <c r="A380" s="110">
        <v>18</v>
      </c>
      <c r="B380" s="98" t="s">
        <v>10</v>
      </c>
      <c r="C380" s="76"/>
      <c r="D380" s="110">
        <v>23</v>
      </c>
    </row>
    <row r="381" spans="1:22" ht="20.25" customHeight="1" thickBot="1" x14ac:dyDescent="0.3">
      <c r="A381" s="110" t="s">
        <v>44</v>
      </c>
      <c r="B381" s="106">
        <v>44482</v>
      </c>
      <c r="C381" s="74" t="s">
        <v>302</v>
      </c>
      <c r="D381" s="107" t="s">
        <v>46</v>
      </c>
      <c r="T381" s="95"/>
      <c r="V381" s="95"/>
    </row>
    <row r="382" spans="1:22" ht="20.25" customHeight="1" thickBot="1" x14ac:dyDescent="0.3">
      <c r="A382" s="98" t="s">
        <v>15</v>
      </c>
      <c r="B382" s="76"/>
      <c r="C382" s="98" t="s">
        <v>110</v>
      </c>
      <c r="D382" s="76"/>
    </row>
    <row r="383" spans="1:22" ht="20.25" customHeight="1" thickBot="1" x14ac:dyDescent="0.3">
      <c r="A383" s="98" t="s">
        <v>0</v>
      </c>
      <c r="B383" s="76"/>
      <c r="C383" s="98" t="s">
        <v>301</v>
      </c>
      <c r="D383" s="76"/>
      <c r="U383" s="95"/>
      <c r="V383" s="95"/>
    </row>
    <row r="384" spans="1:22" ht="20.25" customHeight="1" thickBot="1" x14ac:dyDescent="0.3">
      <c r="A384" s="98" t="s">
        <v>300</v>
      </c>
      <c r="B384" s="76"/>
      <c r="C384" s="98"/>
      <c r="D384" s="76"/>
    </row>
    <row r="385" spans="1:4" ht="20.25" customHeight="1" thickBot="1" x14ac:dyDescent="0.3">
      <c r="A385" s="105"/>
      <c r="B385" s="64"/>
      <c r="C385" s="64"/>
      <c r="D385" s="72"/>
    </row>
    <row r="386" spans="1:4" ht="20.25" customHeight="1" thickBot="1" x14ac:dyDescent="0.3">
      <c r="A386" s="108" t="s">
        <v>13</v>
      </c>
      <c r="B386" s="108" t="s">
        <v>16</v>
      </c>
      <c r="C386" s="108"/>
      <c r="D386" s="108"/>
    </row>
    <row r="387" spans="1:4" ht="20.25" customHeight="1" x14ac:dyDescent="0.25">
      <c r="A387" s="105" t="s">
        <v>4</v>
      </c>
      <c r="B387" s="111"/>
      <c r="C387" s="112"/>
      <c r="D387" s="113"/>
    </row>
    <row r="388" spans="1:4" ht="20.25" customHeight="1" x14ac:dyDescent="0.25">
      <c r="A388" s="105" t="s">
        <v>5</v>
      </c>
      <c r="B388" s="114"/>
      <c r="C388" s="109"/>
      <c r="D388" s="115"/>
    </row>
    <row r="389" spans="1:4" ht="20.25" customHeight="1" x14ac:dyDescent="0.25">
      <c r="A389" s="105" t="s">
        <v>6</v>
      </c>
      <c r="B389" s="114"/>
      <c r="C389" s="109"/>
      <c r="D389" s="115"/>
    </row>
    <row r="390" spans="1:4" ht="20.25" customHeight="1" x14ac:dyDescent="0.25">
      <c r="A390" s="105" t="s">
        <v>7</v>
      </c>
      <c r="B390" s="114"/>
      <c r="C390" s="109"/>
      <c r="D390" s="115"/>
    </row>
    <row r="391" spans="1:4" ht="20.25" customHeight="1" x14ac:dyDescent="0.25">
      <c r="A391" s="105" t="s">
        <v>8</v>
      </c>
      <c r="B391" s="114"/>
      <c r="C391" s="109"/>
      <c r="D391" s="115"/>
    </row>
    <row r="392" spans="1:4" ht="20.25" customHeight="1" x14ac:dyDescent="0.25">
      <c r="A392" s="105" t="s">
        <v>9</v>
      </c>
      <c r="B392" s="114">
        <v>20</v>
      </c>
      <c r="C392" s="109"/>
      <c r="D392" s="115"/>
    </row>
    <row r="393" spans="1:4" ht="20.25" customHeight="1" x14ac:dyDescent="0.25">
      <c r="A393" s="105" t="s">
        <v>11</v>
      </c>
      <c r="B393" s="114"/>
      <c r="C393" s="109"/>
      <c r="D393" s="115"/>
    </row>
    <row r="394" spans="1:4" ht="20.25" customHeight="1" x14ac:dyDescent="0.25">
      <c r="A394" s="105" t="s">
        <v>12</v>
      </c>
      <c r="B394" s="114"/>
      <c r="C394" s="109"/>
      <c r="D394" s="115"/>
    </row>
    <row r="395" spans="1:4" ht="20.25" customHeight="1" thickBot="1" x14ac:dyDescent="0.3">
      <c r="A395" s="73" t="s">
        <v>70</v>
      </c>
      <c r="B395" s="116"/>
      <c r="C395" s="117"/>
      <c r="D395" s="118"/>
    </row>
    <row r="396" spans="1:4" ht="20.25" customHeight="1" thickBot="1" x14ac:dyDescent="0.3">
      <c r="A396" s="98" t="s">
        <v>18</v>
      </c>
      <c r="B396" s="100"/>
      <c r="C396" s="100"/>
      <c r="D396" s="76"/>
    </row>
    <row r="397" spans="1:4" ht="20.25" customHeight="1" x14ac:dyDescent="0.25">
      <c r="A397" s="91" t="s">
        <v>303</v>
      </c>
      <c r="B397" s="92"/>
      <c r="C397" s="92"/>
      <c r="D397" s="104"/>
    </row>
    <row r="398" spans="1:4" ht="20.25" customHeight="1" thickBot="1" x14ac:dyDescent="0.3">
      <c r="A398" s="73"/>
      <c r="B398" s="74"/>
      <c r="C398" s="74"/>
      <c r="D398" s="75"/>
    </row>
    <row r="399" spans="1:4" ht="20.25" customHeight="1" thickBot="1" x14ac:dyDescent="0.3">
      <c r="A399" s="98" t="s">
        <v>17</v>
      </c>
      <c r="B399" s="76"/>
      <c r="C399" s="98">
        <v>20</v>
      </c>
      <c r="D399" s="76"/>
    </row>
    <row r="400" spans="1:4" ht="20.25" customHeight="1" thickBot="1" x14ac:dyDescent="0.3">
      <c r="A400" s="110">
        <v>19</v>
      </c>
      <c r="B400" s="98" t="s">
        <v>10</v>
      </c>
      <c r="C400" s="76"/>
      <c r="D400" s="110">
        <v>23</v>
      </c>
    </row>
    <row r="401" spans="1:22" ht="20.25" customHeight="1" thickBot="1" x14ac:dyDescent="0.3">
      <c r="A401" s="110" t="s">
        <v>44</v>
      </c>
      <c r="B401" s="106">
        <v>44482</v>
      </c>
      <c r="C401" s="74" t="s">
        <v>302</v>
      </c>
      <c r="D401" s="107" t="s">
        <v>46</v>
      </c>
      <c r="T401" s="95"/>
      <c r="V401" s="95"/>
    </row>
    <row r="402" spans="1:22" ht="20.25" customHeight="1" thickBot="1" x14ac:dyDescent="0.3">
      <c r="A402" s="98" t="s">
        <v>15</v>
      </c>
      <c r="B402" s="76"/>
      <c r="C402" s="98" t="s">
        <v>110</v>
      </c>
      <c r="D402" s="76"/>
    </row>
    <row r="403" spans="1:22" ht="20.25" customHeight="1" thickBot="1" x14ac:dyDescent="0.3">
      <c r="A403" s="98" t="s">
        <v>0</v>
      </c>
      <c r="B403" s="76"/>
      <c r="C403" s="98" t="s">
        <v>301</v>
      </c>
      <c r="D403" s="76"/>
      <c r="U403" s="95"/>
      <c r="V403" s="95"/>
    </row>
    <row r="404" spans="1:22" ht="20.25" customHeight="1" thickBot="1" x14ac:dyDescent="0.3">
      <c r="A404" s="98" t="s">
        <v>300</v>
      </c>
      <c r="B404" s="76"/>
      <c r="C404" s="98"/>
      <c r="D404" s="76"/>
    </row>
    <row r="405" spans="1:22" ht="20.25" customHeight="1" thickBot="1" x14ac:dyDescent="0.3">
      <c r="A405" s="105"/>
      <c r="B405" s="64"/>
      <c r="C405" s="64"/>
      <c r="D405" s="72"/>
    </row>
    <row r="406" spans="1:22" ht="20.25" customHeight="1" thickBot="1" x14ac:dyDescent="0.3">
      <c r="A406" s="108" t="s">
        <v>13</v>
      </c>
      <c r="B406" s="108" t="s">
        <v>16</v>
      </c>
      <c r="C406" s="108"/>
      <c r="D406" s="108"/>
    </row>
    <row r="407" spans="1:22" ht="20.25" customHeight="1" x14ac:dyDescent="0.25">
      <c r="A407" s="105" t="s">
        <v>4</v>
      </c>
      <c r="B407" s="111"/>
      <c r="C407" s="112"/>
      <c r="D407" s="113"/>
    </row>
    <row r="408" spans="1:22" ht="20.25" customHeight="1" x14ac:dyDescent="0.25">
      <c r="A408" s="105" t="s">
        <v>5</v>
      </c>
      <c r="B408" s="114"/>
      <c r="C408" s="109"/>
      <c r="D408" s="115"/>
    </row>
    <row r="409" spans="1:22" ht="20.25" customHeight="1" x14ac:dyDescent="0.25">
      <c r="A409" s="105" t="s">
        <v>6</v>
      </c>
      <c r="B409" s="114"/>
      <c r="C409" s="109"/>
      <c r="D409" s="115"/>
    </row>
    <row r="410" spans="1:22" ht="20.25" customHeight="1" x14ac:dyDescent="0.25">
      <c r="A410" s="105" t="s">
        <v>7</v>
      </c>
      <c r="B410" s="114"/>
      <c r="C410" s="109"/>
      <c r="D410" s="115"/>
    </row>
    <row r="411" spans="1:22" ht="20.25" customHeight="1" x14ac:dyDescent="0.25">
      <c r="A411" s="105" t="s">
        <v>8</v>
      </c>
      <c r="B411" s="114"/>
      <c r="C411" s="109"/>
      <c r="D411" s="115"/>
    </row>
    <row r="412" spans="1:22" ht="20.25" customHeight="1" x14ac:dyDescent="0.25">
      <c r="A412" s="105" t="s">
        <v>9</v>
      </c>
      <c r="B412" s="114">
        <v>7</v>
      </c>
      <c r="C412" s="109"/>
      <c r="D412" s="115"/>
    </row>
    <row r="413" spans="1:22" ht="20.25" customHeight="1" x14ac:dyDescent="0.25">
      <c r="A413" s="105" t="s">
        <v>11</v>
      </c>
      <c r="B413" s="114"/>
      <c r="C413" s="109"/>
      <c r="D413" s="115"/>
    </row>
    <row r="414" spans="1:22" ht="20.25" customHeight="1" x14ac:dyDescent="0.25">
      <c r="A414" s="105" t="s">
        <v>12</v>
      </c>
      <c r="B414" s="114"/>
      <c r="C414" s="109"/>
      <c r="D414" s="115"/>
    </row>
    <row r="415" spans="1:22" ht="20.25" customHeight="1" thickBot="1" x14ac:dyDescent="0.3">
      <c r="A415" s="73" t="s">
        <v>70</v>
      </c>
      <c r="B415" s="116"/>
      <c r="C415" s="117"/>
      <c r="D415" s="118"/>
    </row>
    <row r="416" spans="1:22" ht="20.25" customHeight="1" thickBot="1" x14ac:dyDescent="0.3">
      <c r="A416" s="98" t="s">
        <v>18</v>
      </c>
      <c r="B416" s="100"/>
      <c r="C416" s="100"/>
      <c r="D416" s="76"/>
    </row>
    <row r="417" spans="1:22" ht="20.25" customHeight="1" x14ac:dyDescent="0.25">
      <c r="A417" s="91" t="s">
        <v>303</v>
      </c>
      <c r="B417" s="92"/>
      <c r="C417" s="92"/>
      <c r="D417" s="104"/>
    </row>
    <row r="418" spans="1:22" ht="20.25" customHeight="1" thickBot="1" x14ac:dyDescent="0.3">
      <c r="A418" s="73"/>
      <c r="B418" s="74"/>
      <c r="C418" s="74"/>
      <c r="D418" s="75"/>
    </row>
    <row r="419" spans="1:22" ht="20.25" customHeight="1" thickBot="1" x14ac:dyDescent="0.3">
      <c r="A419" s="98" t="s">
        <v>17</v>
      </c>
      <c r="B419" s="76"/>
      <c r="C419" s="98">
        <v>7</v>
      </c>
      <c r="D419" s="76"/>
    </row>
    <row r="420" spans="1:22" ht="20.25" customHeight="1" thickBot="1" x14ac:dyDescent="0.3">
      <c r="A420" s="110">
        <v>20</v>
      </c>
      <c r="B420" s="98" t="s">
        <v>10</v>
      </c>
      <c r="C420" s="76"/>
      <c r="D420" s="110">
        <v>23</v>
      </c>
    </row>
    <row r="421" spans="1:22" ht="20.25" customHeight="1" thickBot="1" x14ac:dyDescent="0.3">
      <c r="A421" s="110" t="s">
        <v>44</v>
      </c>
      <c r="B421" s="106">
        <v>44482</v>
      </c>
      <c r="C421" s="74" t="s">
        <v>302</v>
      </c>
      <c r="D421" s="107" t="s">
        <v>46</v>
      </c>
      <c r="T421" s="95"/>
      <c r="V421" s="95"/>
    </row>
    <row r="422" spans="1:22" ht="20.25" customHeight="1" thickBot="1" x14ac:dyDescent="0.3">
      <c r="A422" s="98" t="s">
        <v>15</v>
      </c>
      <c r="B422" s="76"/>
      <c r="C422" s="98" t="s">
        <v>110</v>
      </c>
      <c r="D422" s="76"/>
    </row>
    <row r="423" spans="1:22" ht="20.25" customHeight="1" thickBot="1" x14ac:dyDescent="0.3">
      <c r="A423" s="98" t="s">
        <v>0</v>
      </c>
      <c r="B423" s="76"/>
      <c r="C423" s="98" t="s">
        <v>301</v>
      </c>
      <c r="D423" s="76"/>
      <c r="U423" s="95"/>
      <c r="V423" s="95"/>
    </row>
    <row r="424" spans="1:22" ht="20.25" customHeight="1" thickBot="1" x14ac:dyDescent="0.3">
      <c r="A424" s="98" t="s">
        <v>300</v>
      </c>
      <c r="B424" s="76"/>
      <c r="C424" s="98"/>
      <c r="D424" s="76"/>
    </row>
    <row r="425" spans="1:22" ht="20.25" customHeight="1" thickBot="1" x14ac:dyDescent="0.3">
      <c r="A425" s="105"/>
      <c r="B425" s="64"/>
      <c r="C425" s="64"/>
      <c r="D425" s="72"/>
    </row>
    <row r="426" spans="1:22" ht="20.25" customHeight="1" thickBot="1" x14ac:dyDescent="0.3">
      <c r="A426" s="108" t="s">
        <v>13</v>
      </c>
      <c r="B426" s="108" t="s">
        <v>16</v>
      </c>
      <c r="C426" s="108"/>
      <c r="D426" s="108"/>
    </row>
    <row r="427" spans="1:22" ht="20.25" customHeight="1" x14ac:dyDescent="0.25">
      <c r="A427" s="105" t="s">
        <v>4</v>
      </c>
      <c r="B427" s="111"/>
      <c r="C427" s="112"/>
      <c r="D427" s="113"/>
    </row>
    <row r="428" spans="1:22" ht="20.25" customHeight="1" x14ac:dyDescent="0.25">
      <c r="A428" s="105" t="s">
        <v>5</v>
      </c>
      <c r="B428" s="114"/>
      <c r="C428" s="109"/>
      <c r="D428" s="115"/>
    </row>
    <row r="429" spans="1:22" ht="20.25" customHeight="1" x14ac:dyDescent="0.25">
      <c r="A429" s="105" t="s">
        <v>6</v>
      </c>
      <c r="B429" s="114"/>
      <c r="C429" s="109"/>
      <c r="D429" s="115"/>
    </row>
    <row r="430" spans="1:22" ht="20.25" customHeight="1" x14ac:dyDescent="0.25">
      <c r="A430" s="105" t="s">
        <v>7</v>
      </c>
      <c r="B430" s="114"/>
      <c r="C430" s="109"/>
      <c r="D430" s="115"/>
    </row>
    <row r="431" spans="1:22" ht="20.25" customHeight="1" x14ac:dyDescent="0.25">
      <c r="A431" s="105" t="s">
        <v>8</v>
      </c>
      <c r="B431" s="114"/>
      <c r="C431" s="109"/>
      <c r="D431" s="115"/>
    </row>
    <row r="432" spans="1:22" ht="20.25" customHeight="1" x14ac:dyDescent="0.25">
      <c r="A432" s="105" t="s">
        <v>9</v>
      </c>
      <c r="B432" s="114"/>
      <c r="C432" s="109"/>
      <c r="D432" s="115"/>
    </row>
    <row r="433" spans="1:22" ht="20.25" customHeight="1" x14ac:dyDescent="0.25">
      <c r="A433" s="105" t="s">
        <v>11</v>
      </c>
      <c r="B433" s="114">
        <v>12</v>
      </c>
      <c r="C433" s="109"/>
      <c r="D433" s="115"/>
    </row>
    <row r="434" spans="1:22" ht="20.25" customHeight="1" x14ac:dyDescent="0.25">
      <c r="A434" s="105" t="s">
        <v>12</v>
      </c>
      <c r="B434" s="114"/>
      <c r="C434" s="109"/>
      <c r="D434" s="115"/>
    </row>
    <row r="435" spans="1:22" ht="20.25" customHeight="1" thickBot="1" x14ac:dyDescent="0.3">
      <c r="A435" s="73" t="s">
        <v>70</v>
      </c>
      <c r="B435" s="116"/>
      <c r="C435" s="117"/>
      <c r="D435" s="118"/>
    </row>
    <row r="436" spans="1:22" ht="20.25" customHeight="1" thickBot="1" x14ac:dyDescent="0.3">
      <c r="A436" s="98" t="s">
        <v>18</v>
      </c>
      <c r="B436" s="100"/>
      <c r="C436" s="100"/>
      <c r="D436" s="76"/>
    </row>
    <row r="437" spans="1:22" ht="20.25" customHeight="1" x14ac:dyDescent="0.25">
      <c r="A437" s="91" t="s">
        <v>303</v>
      </c>
      <c r="B437" s="92"/>
      <c r="C437" s="92"/>
      <c r="D437" s="104"/>
    </row>
    <row r="438" spans="1:22" ht="20.25" customHeight="1" thickBot="1" x14ac:dyDescent="0.3">
      <c r="A438" s="73"/>
      <c r="B438" s="74"/>
      <c r="C438" s="74"/>
      <c r="D438" s="75"/>
    </row>
    <row r="439" spans="1:22" ht="20.25" customHeight="1" thickBot="1" x14ac:dyDescent="0.3">
      <c r="A439" s="98" t="s">
        <v>17</v>
      </c>
      <c r="B439" s="76"/>
      <c r="C439" s="98">
        <v>12</v>
      </c>
      <c r="D439" s="76"/>
    </row>
    <row r="440" spans="1:22" ht="20.25" customHeight="1" thickBot="1" x14ac:dyDescent="0.3">
      <c r="A440" s="110">
        <v>21</v>
      </c>
      <c r="B440" s="98" t="s">
        <v>10</v>
      </c>
      <c r="C440" s="76"/>
      <c r="D440" s="110">
        <v>23</v>
      </c>
    </row>
    <row r="441" spans="1:22" ht="20.25" customHeight="1" thickBot="1" x14ac:dyDescent="0.3">
      <c r="A441" s="110" t="s">
        <v>44</v>
      </c>
      <c r="B441" s="106">
        <v>44482</v>
      </c>
      <c r="C441" s="74" t="s">
        <v>302</v>
      </c>
      <c r="D441" s="107" t="s">
        <v>46</v>
      </c>
      <c r="T441" s="95"/>
      <c r="V441" s="95"/>
    </row>
    <row r="442" spans="1:22" ht="20.25" customHeight="1" thickBot="1" x14ac:dyDescent="0.3">
      <c r="A442" s="98" t="s">
        <v>15</v>
      </c>
      <c r="B442" s="76"/>
      <c r="C442" s="98" t="s">
        <v>110</v>
      </c>
      <c r="D442" s="76"/>
    </row>
    <row r="443" spans="1:22" ht="20.25" customHeight="1" thickBot="1" x14ac:dyDescent="0.3">
      <c r="A443" s="98" t="s">
        <v>0</v>
      </c>
      <c r="B443" s="76"/>
      <c r="C443" s="98" t="s">
        <v>301</v>
      </c>
      <c r="D443" s="76"/>
      <c r="U443" s="95"/>
      <c r="V443" s="95"/>
    </row>
    <row r="444" spans="1:22" ht="20.25" customHeight="1" thickBot="1" x14ac:dyDescent="0.3">
      <c r="A444" s="98" t="s">
        <v>300</v>
      </c>
      <c r="B444" s="76"/>
      <c r="C444" s="98"/>
      <c r="D444" s="76"/>
    </row>
    <row r="445" spans="1:22" ht="20.25" customHeight="1" thickBot="1" x14ac:dyDescent="0.3">
      <c r="A445" s="105"/>
      <c r="B445" s="64"/>
      <c r="C445" s="64"/>
      <c r="D445" s="72"/>
    </row>
    <row r="446" spans="1:22" ht="20.25" customHeight="1" thickBot="1" x14ac:dyDescent="0.3">
      <c r="A446" s="108" t="s">
        <v>13</v>
      </c>
      <c r="B446" s="108" t="s">
        <v>16</v>
      </c>
      <c r="C446" s="108"/>
      <c r="D446" s="108"/>
    </row>
    <row r="447" spans="1:22" ht="20.25" customHeight="1" x14ac:dyDescent="0.25">
      <c r="A447" s="105" t="s">
        <v>4</v>
      </c>
      <c r="B447" s="111"/>
      <c r="C447" s="112"/>
      <c r="D447" s="113"/>
    </row>
    <row r="448" spans="1:22" ht="20.25" customHeight="1" x14ac:dyDescent="0.25">
      <c r="A448" s="105" t="s">
        <v>5</v>
      </c>
      <c r="B448" s="114">
        <v>11</v>
      </c>
      <c r="C448" s="109"/>
      <c r="D448" s="115"/>
    </row>
    <row r="449" spans="1:22" ht="20.25" customHeight="1" x14ac:dyDescent="0.25">
      <c r="A449" s="105" t="s">
        <v>6</v>
      </c>
      <c r="B449" s="114"/>
      <c r="C449" s="109"/>
      <c r="D449" s="115"/>
    </row>
    <row r="450" spans="1:22" ht="20.25" customHeight="1" x14ac:dyDescent="0.25">
      <c r="A450" s="105" t="s">
        <v>7</v>
      </c>
      <c r="B450" s="114"/>
      <c r="C450" s="109"/>
      <c r="D450" s="115"/>
    </row>
    <row r="451" spans="1:22" ht="20.25" customHeight="1" x14ac:dyDescent="0.25">
      <c r="A451" s="105" t="s">
        <v>8</v>
      </c>
      <c r="B451" s="114">
        <v>14</v>
      </c>
      <c r="C451" s="109"/>
      <c r="D451" s="115"/>
    </row>
    <row r="452" spans="1:22" ht="20.25" customHeight="1" x14ac:dyDescent="0.25">
      <c r="A452" s="105" t="s">
        <v>9</v>
      </c>
      <c r="B452" s="114"/>
      <c r="C452" s="109"/>
      <c r="D452" s="115"/>
    </row>
    <row r="453" spans="1:22" ht="20.25" customHeight="1" x14ac:dyDescent="0.25">
      <c r="A453" s="105" t="s">
        <v>11</v>
      </c>
      <c r="B453" s="114"/>
      <c r="C453" s="109"/>
      <c r="D453" s="115"/>
    </row>
    <row r="454" spans="1:22" ht="20.25" customHeight="1" x14ac:dyDescent="0.25">
      <c r="A454" s="105" t="s">
        <v>12</v>
      </c>
      <c r="B454" s="114"/>
      <c r="C454" s="109"/>
      <c r="D454" s="115"/>
    </row>
    <row r="455" spans="1:22" ht="20.25" customHeight="1" thickBot="1" x14ac:dyDescent="0.3">
      <c r="A455" s="73" t="s">
        <v>70</v>
      </c>
      <c r="B455" s="116"/>
      <c r="C455" s="117"/>
      <c r="D455" s="118"/>
    </row>
    <row r="456" spans="1:22" ht="20.25" customHeight="1" thickBot="1" x14ac:dyDescent="0.3">
      <c r="A456" s="98" t="s">
        <v>18</v>
      </c>
      <c r="B456" s="100"/>
      <c r="C456" s="100"/>
      <c r="D456" s="76"/>
    </row>
    <row r="457" spans="1:22" ht="20.25" customHeight="1" x14ac:dyDescent="0.25">
      <c r="A457" s="91" t="s">
        <v>303</v>
      </c>
      <c r="B457" s="92"/>
      <c r="C457" s="92"/>
      <c r="D457" s="104"/>
    </row>
    <row r="458" spans="1:22" ht="20.25" customHeight="1" thickBot="1" x14ac:dyDescent="0.3">
      <c r="A458" s="73"/>
      <c r="B458" s="74"/>
      <c r="C458" s="74"/>
      <c r="D458" s="75"/>
    </row>
    <row r="459" spans="1:22" ht="20.25" customHeight="1" thickBot="1" x14ac:dyDescent="0.3">
      <c r="A459" s="98" t="s">
        <v>17</v>
      </c>
      <c r="B459" s="76"/>
      <c r="C459" s="98">
        <v>25</v>
      </c>
      <c r="D459" s="76"/>
    </row>
    <row r="460" spans="1:22" ht="20.25" customHeight="1" thickBot="1" x14ac:dyDescent="0.3">
      <c r="A460" s="110">
        <v>22</v>
      </c>
      <c r="B460" s="98" t="s">
        <v>10</v>
      </c>
      <c r="C460" s="76"/>
      <c r="D460" s="110">
        <v>23</v>
      </c>
    </row>
    <row r="461" spans="1:22" ht="20.25" customHeight="1" thickBot="1" x14ac:dyDescent="0.3">
      <c r="A461" s="110" t="s">
        <v>44</v>
      </c>
      <c r="B461" s="106">
        <v>44482</v>
      </c>
      <c r="C461" s="74" t="s">
        <v>302</v>
      </c>
      <c r="D461" s="107" t="s">
        <v>46</v>
      </c>
      <c r="T461" s="95"/>
      <c r="V461" s="95"/>
    </row>
    <row r="462" spans="1:22" ht="20.25" customHeight="1" thickBot="1" x14ac:dyDescent="0.3">
      <c r="A462" s="98" t="s">
        <v>15</v>
      </c>
      <c r="B462" s="76"/>
      <c r="C462" s="98" t="s">
        <v>110</v>
      </c>
      <c r="D462" s="76"/>
    </row>
    <row r="463" spans="1:22" ht="20.25" customHeight="1" thickBot="1" x14ac:dyDescent="0.3">
      <c r="A463" s="98" t="s">
        <v>0</v>
      </c>
      <c r="B463" s="76"/>
      <c r="C463" s="98" t="s">
        <v>301</v>
      </c>
      <c r="D463" s="76"/>
      <c r="U463" s="95"/>
      <c r="V463" s="95"/>
    </row>
    <row r="464" spans="1:22" ht="20.25" customHeight="1" thickBot="1" x14ac:dyDescent="0.3">
      <c r="A464" s="98" t="s">
        <v>300</v>
      </c>
      <c r="B464" s="76"/>
      <c r="C464" s="98"/>
      <c r="D464" s="76"/>
    </row>
    <row r="465" spans="1:4" ht="20.25" customHeight="1" thickBot="1" x14ac:dyDescent="0.3">
      <c r="A465" s="105"/>
      <c r="B465" s="64"/>
      <c r="C465" s="64"/>
      <c r="D465" s="72"/>
    </row>
    <row r="466" spans="1:4" ht="20.25" customHeight="1" thickBot="1" x14ac:dyDescent="0.3">
      <c r="A466" s="108" t="s">
        <v>13</v>
      </c>
      <c r="B466" s="108" t="s">
        <v>16</v>
      </c>
      <c r="C466" s="108"/>
      <c r="D466" s="108"/>
    </row>
    <row r="467" spans="1:4" ht="20.25" customHeight="1" x14ac:dyDescent="0.25">
      <c r="A467" s="105" t="s">
        <v>4</v>
      </c>
      <c r="B467" s="111"/>
      <c r="C467" s="112"/>
      <c r="D467" s="113"/>
    </row>
    <row r="468" spans="1:4" ht="20.25" customHeight="1" x14ac:dyDescent="0.25">
      <c r="A468" s="105" t="s">
        <v>5</v>
      </c>
      <c r="B468" s="114"/>
      <c r="C468" s="109"/>
      <c r="D468" s="115"/>
    </row>
    <row r="469" spans="1:4" ht="20.25" customHeight="1" x14ac:dyDescent="0.25">
      <c r="A469" s="105" t="s">
        <v>6</v>
      </c>
      <c r="B469" s="114"/>
      <c r="C469" s="109"/>
      <c r="D469" s="115"/>
    </row>
    <row r="470" spans="1:4" ht="20.25" customHeight="1" x14ac:dyDescent="0.25">
      <c r="A470" s="105" t="s">
        <v>7</v>
      </c>
      <c r="B470" s="114">
        <v>16</v>
      </c>
      <c r="C470" s="109"/>
      <c r="D470" s="115"/>
    </row>
    <row r="471" spans="1:4" ht="20.25" customHeight="1" x14ac:dyDescent="0.25">
      <c r="A471" s="105" t="s">
        <v>8</v>
      </c>
      <c r="B471" s="114">
        <v>4</v>
      </c>
      <c r="C471" s="109"/>
      <c r="D471" s="115"/>
    </row>
    <row r="472" spans="1:4" ht="20.25" customHeight="1" x14ac:dyDescent="0.25">
      <c r="A472" s="105" t="s">
        <v>9</v>
      </c>
      <c r="B472" s="114"/>
      <c r="C472" s="109"/>
      <c r="D472" s="115"/>
    </row>
    <row r="473" spans="1:4" ht="20.25" customHeight="1" x14ac:dyDescent="0.25">
      <c r="A473" s="105" t="s">
        <v>11</v>
      </c>
      <c r="B473" s="114"/>
      <c r="C473" s="109"/>
      <c r="D473" s="115"/>
    </row>
    <row r="474" spans="1:4" ht="20.25" customHeight="1" x14ac:dyDescent="0.25">
      <c r="A474" s="105" t="s">
        <v>12</v>
      </c>
      <c r="B474" s="114"/>
      <c r="C474" s="109"/>
      <c r="D474" s="115"/>
    </row>
    <row r="475" spans="1:4" ht="20.25" customHeight="1" thickBot="1" x14ac:dyDescent="0.3">
      <c r="A475" s="73" t="s">
        <v>70</v>
      </c>
      <c r="B475" s="116"/>
      <c r="C475" s="117"/>
      <c r="D475" s="118"/>
    </row>
    <row r="476" spans="1:4" ht="20.25" customHeight="1" thickBot="1" x14ac:dyDescent="0.3">
      <c r="A476" s="98" t="s">
        <v>18</v>
      </c>
      <c r="B476" s="100"/>
      <c r="C476" s="100"/>
      <c r="D476" s="76"/>
    </row>
    <row r="477" spans="1:4" ht="20.25" customHeight="1" x14ac:dyDescent="0.25">
      <c r="A477" s="91" t="s">
        <v>303</v>
      </c>
      <c r="B477" s="92"/>
      <c r="C477" s="92"/>
      <c r="D477" s="104"/>
    </row>
    <row r="478" spans="1:4" ht="20.25" customHeight="1" thickBot="1" x14ac:dyDescent="0.3">
      <c r="A478" s="73"/>
      <c r="B478" s="74"/>
      <c r="C478" s="74"/>
      <c r="D478" s="75"/>
    </row>
    <row r="479" spans="1:4" ht="20.25" customHeight="1" thickBot="1" x14ac:dyDescent="0.3">
      <c r="A479" s="98" t="s">
        <v>17</v>
      </c>
      <c r="B479" s="76"/>
      <c r="C479" s="98">
        <v>20</v>
      </c>
      <c r="D479" s="76"/>
    </row>
    <row r="480" spans="1:4" ht="20.25" customHeight="1" thickBot="1" x14ac:dyDescent="0.3">
      <c r="A480" s="110">
        <v>23</v>
      </c>
      <c r="B480" s="98" t="s">
        <v>10</v>
      </c>
      <c r="C480" s="76"/>
      <c r="D480" s="110">
        <v>23</v>
      </c>
    </row>
    <row r="481" spans="1:22" ht="20.25" customHeight="1" thickBot="1" x14ac:dyDescent="0.3">
      <c r="A481" s="110" t="s">
        <v>44</v>
      </c>
      <c r="B481" s="106">
        <v>44482</v>
      </c>
      <c r="C481" s="74" t="s">
        <v>302</v>
      </c>
      <c r="D481" s="107" t="s">
        <v>46</v>
      </c>
      <c r="T481" s="95"/>
      <c r="V481" s="95"/>
    </row>
    <row r="482" spans="1:22" ht="20.25" customHeight="1" thickBot="1" x14ac:dyDescent="0.3">
      <c r="A482" s="98"/>
      <c r="B482" s="76"/>
      <c r="C482" s="98"/>
      <c r="D482" s="76"/>
    </row>
    <row r="483" spans="1:22" ht="20.25" customHeight="1" thickBot="1" x14ac:dyDescent="0.3">
      <c r="A483" s="98"/>
      <c r="B483" s="76"/>
      <c r="C483" s="98"/>
      <c r="D483" s="76"/>
      <c r="U483" s="95"/>
      <c r="V483" s="95"/>
    </row>
    <row r="484" spans="1:22" ht="20.25" customHeight="1" thickBot="1" x14ac:dyDescent="0.3">
      <c r="A484" s="98"/>
      <c r="B484" s="76"/>
      <c r="C484" s="98"/>
      <c r="D484" s="76"/>
    </row>
    <row r="485" spans="1:22" ht="20.25" customHeight="1" thickBot="1" x14ac:dyDescent="0.3">
      <c r="A485" s="105"/>
      <c r="B485" s="64"/>
      <c r="C485" s="64"/>
      <c r="D485" s="72"/>
    </row>
    <row r="486" spans="1:22" ht="20.25" customHeight="1" thickBot="1" x14ac:dyDescent="0.3">
      <c r="A486" s="108"/>
      <c r="B486" s="108"/>
      <c r="C486" s="108"/>
      <c r="D486" s="108"/>
    </row>
    <row r="487" spans="1:22" ht="20.25" customHeight="1" x14ac:dyDescent="0.25">
      <c r="A487" s="105"/>
      <c r="B487" s="111"/>
      <c r="C487" s="112"/>
      <c r="D487" s="113"/>
    </row>
    <row r="488" spans="1:22" ht="20.25" customHeight="1" x14ac:dyDescent="0.25">
      <c r="A488" s="105"/>
      <c r="B488" s="114"/>
      <c r="C488" s="109"/>
      <c r="D488" s="115"/>
    </row>
    <row r="489" spans="1:22" ht="20.25" customHeight="1" x14ac:dyDescent="0.25">
      <c r="A489" s="105"/>
      <c r="B489" s="114"/>
      <c r="C489" s="109"/>
      <c r="D489" s="115"/>
    </row>
    <row r="490" spans="1:22" ht="20.25" customHeight="1" x14ac:dyDescent="0.25">
      <c r="A490" s="105"/>
      <c r="B490" s="114"/>
      <c r="C490" s="109"/>
      <c r="D490" s="115"/>
    </row>
    <row r="491" spans="1:22" ht="20.25" customHeight="1" x14ac:dyDescent="0.25">
      <c r="A491" s="105"/>
      <c r="B491" s="114"/>
      <c r="C491" s="109"/>
      <c r="D491" s="115"/>
    </row>
    <row r="492" spans="1:22" ht="20.25" customHeight="1" x14ac:dyDescent="0.25">
      <c r="A492" s="105"/>
      <c r="B492" s="114"/>
      <c r="C492" s="109"/>
      <c r="D492" s="115"/>
    </row>
    <row r="493" spans="1:22" ht="20.25" customHeight="1" x14ac:dyDescent="0.25">
      <c r="A493" s="105"/>
      <c r="B493" s="114"/>
      <c r="C493" s="109"/>
      <c r="D493" s="115"/>
    </row>
    <row r="494" spans="1:22" ht="20.25" customHeight="1" x14ac:dyDescent="0.25">
      <c r="A494" s="105"/>
      <c r="B494" s="114"/>
      <c r="C494" s="109"/>
      <c r="D494" s="115"/>
    </row>
    <row r="495" spans="1:22" ht="20.25" customHeight="1" thickBot="1" x14ac:dyDescent="0.3">
      <c r="A495" s="73"/>
      <c r="B495" s="116"/>
      <c r="C495" s="117"/>
      <c r="D495" s="118"/>
    </row>
    <row r="496" spans="1:22" ht="20.25" customHeight="1" thickBot="1" x14ac:dyDescent="0.3">
      <c r="A496" s="98"/>
      <c r="B496" s="100"/>
      <c r="C496" s="100"/>
      <c r="D496" s="76"/>
    </row>
    <row r="497" spans="1:22" ht="20.25" customHeight="1" x14ac:dyDescent="0.25">
      <c r="A497" s="91"/>
      <c r="B497" s="92"/>
      <c r="C497" s="92"/>
      <c r="D497" s="104"/>
    </row>
    <row r="498" spans="1:22" ht="20.25" customHeight="1" thickBot="1" x14ac:dyDescent="0.3">
      <c r="A498" s="73"/>
      <c r="B498" s="74"/>
      <c r="C498" s="74"/>
      <c r="D498" s="75"/>
    </row>
    <row r="499" spans="1:22" ht="20.25" customHeight="1" thickBot="1" x14ac:dyDescent="0.3">
      <c r="A499" s="98"/>
      <c r="B499" s="76"/>
      <c r="C499" s="98"/>
      <c r="D499" s="76"/>
    </row>
    <row r="500" spans="1:22" ht="20.25" customHeight="1" thickBot="1" x14ac:dyDescent="0.3">
      <c r="A500" s="110"/>
      <c r="B500" s="98"/>
      <c r="C500" s="76"/>
      <c r="D500" s="110"/>
    </row>
    <row r="501" spans="1:22" ht="20.25" customHeight="1" thickBot="1" x14ac:dyDescent="0.3">
      <c r="A501" s="110"/>
      <c r="B501" s="106"/>
      <c r="C501" s="74"/>
      <c r="D501" s="107"/>
      <c r="T501" s="95"/>
      <c r="V501" s="95"/>
    </row>
    <row r="502" spans="1:22" ht="20.25" customHeight="1" thickBot="1" x14ac:dyDescent="0.3">
      <c r="A502" s="98"/>
      <c r="B502" s="76"/>
      <c r="C502" s="98"/>
      <c r="D502" s="76"/>
    </row>
    <row r="503" spans="1:22" ht="20.25" customHeight="1" thickBot="1" x14ac:dyDescent="0.3">
      <c r="A503" s="98"/>
      <c r="B503" s="76"/>
      <c r="C503" s="98"/>
      <c r="D503" s="76"/>
      <c r="U503" s="95"/>
      <c r="V503" s="95"/>
    </row>
    <row r="504" spans="1:22" ht="20.25" customHeight="1" thickBot="1" x14ac:dyDescent="0.3">
      <c r="A504" s="98"/>
      <c r="B504" s="76"/>
      <c r="C504" s="98"/>
      <c r="D504" s="76"/>
    </row>
    <row r="505" spans="1:22" ht="20.25" customHeight="1" thickBot="1" x14ac:dyDescent="0.3">
      <c r="A505" s="105"/>
      <c r="B505" s="64"/>
      <c r="C505" s="64"/>
      <c r="D505" s="72"/>
    </row>
    <row r="506" spans="1:22" ht="20.25" customHeight="1" thickBot="1" x14ac:dyDescent="0.3">
      <c r="A506" s="108"/>
      <c r="B506" s="108"/>
      <c r="C506" s="108"/>
      <c r="D506" s="108"/>
    </row>
    <row r="507" spans="1:22" ht="20.25" customHeight="1" x14ac:dyDescent="0.25">
      <c r="A507" s="105"/>
      <c r="B507" s="111"/>
      <c r="C507" s="112"/>
      <c r="D507" s="113"/>
    </row>
    <row r="508" spans="1:22" ht="20.25" customHeight="1" x14ac:dyDescent="0.25">
      <c r="A508" s="105"/>
      <c r="B508" s="114"/>
      <c r="C508" s="109"/>
      <c r="D508" s="115"/>
    </row>
    <row r="509" spans="1:22" ht="20.25" customHeight="1" x14ac:dyDescent="0.25">
      <c r="A509" s="105"/>
      <c r="B509" s="114"/>
      <c r="C509" s="109"/>
      <c r="D509" s="115"/>
    </row>
    <row r="510" spans="1:22" ht="20.25" customHeight="1" x14ac:dyDescent="0.25">
      <c r="A510" s="105"/>
      <c r="B510" s="114"/>
      <c r="C510" s="109"/>
      <c r="D510" s="115"/>
    </row>
    <row r="511" spans="1:22" ht="20.25" customHeight="1" x14ac:dyDescent="0.25">
      <c r="A511" s="105"/>
      <c r="B511" s="114"/>
      <c r="C511" s="109"/>
      <c r="D511" s="115"/>
    </row>
    <row r="512" spans="1:22" ht="20.25" customHeight="1" x14ac:dyDescent="0.25">
      <c r="A512" s="105"/>
      <c r="B512" s="114"/>
      <c r="C512" s="109"/>
      <c r="D512" s="115"/>
    </row>
    <row r="513" spans="1:22" ht="20.25" customHeight="1" x14ac:dyDescent="0.25">
      <c r="A513" s="105"/>
      <c r="B513" s="114"/>
      <c r="C513" s="109"/>
      <c r="D513" s="115"/>
    </row>
    <row r="514" spans="1:22" ht="20.25" customHeight="1" x14ac:dyDescent="0.25">
      <c r="A514" s="105"/>
      <c r="B514" s="114"/>
      <c r="C514" s="109"/>
      <c r="D514" s="115"/>
    </row>
    <row r="515" spans="1:22" ht="20.25" customHeight="1" thickBot="1" x14ac:dyDescent="0.3">
      <c r="A515" s="73"/>
      <c r="B515" s="116"/>
      <c r="C515" s="117"/>
      <c r="D515" s="118"/>
    </row>
    <row r="516" spans="1:22" ht="20.25" customHeight="1" thickBot="1" x14ac:dyDescent="0.3">
      <c r="A516" s="98"/>
      <c r="B516" s="100"/>
      <c r="C516" s="100"/>
      <c r="D516" s="76"/>
    </row>
    <row r="517" spans="1:22" ht="20.25" customHeight="1" x14ac:dyDescent="0.25">
      <c r="A517" s="91"/>
      <c r="B517" s="92"/>
      <c r="C517" s="92"/>
      <c r="D517" s="104"/>
    </row>
    <row r="518" spans="1:22" ht="20.25" customHeight="1" thickBot="1" x14ac:dyDescent="0.3">
      <c r="A518" s="73"/>
      <c r="B518" s="74"/>
      <c r="C518" s="74"/>
      <c r="D518" s="75"/>
    </row>
    <row r="519" spans="1:22" ht="20.25" customHeight="1" thickBot="1" x14ac:dyDescent="0.3">
      <c r="A519" s="98"/>
      <c r="B519" s="76"/>
      <c r="C519" s="98"/>
      <c r="D519" s="76"/>
    </row>
    <row r="520" spans="1:22" ht="20.25" customHeight="1" thickBot="1" x14ac:dyDescent="0.3">
      <c r="A520" s="110"/>
      <c r="B520" s="98"/>
      <c r="C520" s="76"/>
      <c r="D520" s="110"/>
    </row>
    <row r="521" spans="1:22" ht="20.25" customHeight="1" thickBot="1" x14ac:dyDescent="0.3">
      <c r="A521" s="110"/>
      <c r="B521" s="106"/>
      <c r="C521" s="74"/>
      <c r="D521" s="107"/>
      <c r="T521" s="95"/>
      <c r="V521" s="95"/>
    </row>
    <row r="522" spans="1:22" ht="20.25" customHeight="1" thickBot="1" x14ac:dyDescent="0.3">
      <c r="A522" s="98"/>
      <c r="B522" s="76"/>
      <c r="C522" s="98"/>
      <c r="D522" s="76"/>
    </row>
    <row r="523" spans="1:22" ht="20.25" customHeight="1" thickBot="1" x14ac:dyDescent="0.3">
      <c r="A523" s="98"/>
      <c r="B523" s="76"/>
      <c r="C523" s="98"/>
      <c r="D523" s="76"/>
      <c r="U523" s="95"/>
      <c r="V523" s="95"/>
    </row>
    <row r="524" spans="1:22" ht="20.25" customHeight="1" thickBot="1" x14ac:dyDescent="0.3">
      <c r="A524" s="98"/>
      <c r="B524" s="76"/>
      <c r="C524" s="98"/>
      <c r="D524" s="76"/>
    </row>
    <row r="525" spans="1:22" ht="20.25" customHeight="1" thickBot="1" x14ac:dyDescent="0.3">
      <c r="A525" s="105"/>
      <c r="B525" s="64"/>
      <c r="C525" s="64"/>
      <c r="D525" s="72"/>
    </row>
    <row r="526" spans="1:22" ht="20.25" customHeight="1" thickBot="1" x14ac:dyDescent="0.3">
      <c r="A526" s="108"/>
      <c r="B526" s="108"/>
      <c r="C526" s="108"/>
      <c r="D526" s="108"/>
    </row>
    <row r="527" spans="1:22" ht="20.25" customHeight="1" x14ac:dyDescent="0.25">
      <c r="A527" s="105"/>
      <c r="B527" s="111"/>
      <c r="C527" s="112"/>
      <c r="D527" s="113"/>
    </row>
    <row r="528" spans="1:22" ht="20.25" customHeight="1" x14ac:dyDescent="0.25">
      <c r="A528" s="105"/>
      <c r="B528" s="114"/>
      <c r="C528" s="109"/>
      <c r="D528" s="115"/>
    </row>
    <row r="529" spans="1:22" ht="20.25" customHeight="1" x14ac:dyDescent="0.25">
      <c r="A529" s="105"/>
      <c r="B529" s="114"/>
      <c r="C529" s="109"/>
      <c r="D529" s="115"/>
    </row>
    <row r="530" spans="1:22" ht="20.25" customHeight="1" x14ac:dyDescent="0.25">
      <c r="A530" s="105"/>
      <c r="B530" s="114"/>
      <c r="C530" s="109"/>
      <c r="D530" s="115"/>
    </row>
    <row r="531" spans="1:22" ht="20.25" customHeight="1" x14ac:dyDescent="0.25">
      <c r="A531" s="105"/>
      <c r="B531" s="114"/>
      <c r="C531" s="109"/>
      <c r="D531" s="115"/>
    </row>
    <row r="532" spans="1:22" ht="20.25" customHeight="1" x14ac:dyDescent="0.25">
      <c r="A532" s="105"/>
      <c r="B532" s="114"/>
      <c r="C532" s="109"/>
      <c r="D532" s="115"/>
    </row>
    <row r="533" spans="1:22" ht="20.25" customHeight="1" x14ac:dyDescent="0.25">
      <c r="A533" s="105"/>
      <c r="B533" s="114"/>
      <c r="C533" s="109"/>
      <c r="D533" s="115"/>
    </row>
    <row r="534" spans="1:22" ht="20.25" customHeight="1" x14ac:dyDescent="0.25">
      <c r="A534" s="105"/>
      <c r="B534" s="114"/>
      <c r="C534" s="109"/>
      <c r="D534" s="115"/>
    </row>
    <row r="535" spans="1:22" ht="20.25" customHeight="1" thickBot="1" x14ac:dyDescent="0.3">
      <c r="A535" s="73"/>
      <c r="B535" s="116"/>
      <c r="C535" s="117"/>
      <c r="D535" s="118"/>
    </row>
    <row r="536" spans="1:22" ht="20.25" customHeight="1" thickBot="1" x14ac:dyDescent="0.3">
      <c r="A536" s="98"/>
      <c r="B536" s="100"/>
      <c r="C536" s="100"/>
      <c r="D536" s="76"/>
    </row>
    <row r="537" spans="1:22" ht="20.25" customHeight="1" x14ac:dyDescent="0.25">
      <c r="A537" s="91"/>
      <c r="B537" s="92"/>
      <c r="C537" s="92"/>
      <c r="D537" s="104"/>
    </row>
    <row r="538" spans="1:22" ht="20.25" customHeight="1" thickBot="1" x14ac:dyDescent="0.3">
      <c r="A538" s="73"/>
      <c r="B538" s="74"/>
      <c r="C538" s="74"/>
      <c r="D538" s="75"/>
    </row>
    <row r="539" spans="1:22" ht="20.25" customHeight="1" thickBot="1" x14ac:dyDescent="0.3">
      <c r="A539" s="98"/>
      <c r="B539" s="76"/>
      <c r="C539" s="98"/>
      <c r="D539" s="76"/>
    </row>
    <row r="540" spans="1:22" ht="20.25" customHeight="1" thickBot="1" x14ac:dyDescent="0.3">
      <c r="A540" s="110"/>
      <c r="B540" s="98"/>
      <c r="C540" s="76"/>
      <c r="D540" s="110"/>
    </row>
    <row r="541" spans="1:22" ht="20.25" customHeight="1" thickBot="1" x14ac:dyDescent="0.3">
      <c r="A541" s="110"/>
      <c r="B541" s="106"/>
      <c r="C541" s="74"/>
      <c r="D541" s="107"/>
      <c r="T541" s="95"/>
      <c r="V541" s="95"/>
    </row>
    <row r="542" spans="1:22" ht="20.25" customHeight="1" thickBot="1" x14ac:dyDescent="0.3">
      <c r="A542" s="98"/>
      <c r="B542" s="76"/>
      <c r="C542" s="98"/>
      <c r="D542" s="76"/>
    </row>
    <row r="543" spans="1:22" ht="20.25" customHeight="1" thickBot="1" x14ac:dyDescent="0.3">
      <c r="A543" s="98"/>
      <c r="B543" s="76"/>
      <c r="C543" s="98"/>
      <c r="D543" s="76"/>
      <c r="U543" s="95"/>
      <c r="V543" s="95"/>
    </row>
    <row r="544" spans="1:22" ht="20.25" customHeight="1" thickBot="1" x14ac:dyDescent="0.3">
      <c r="A544" s="98"/>
      <c r="B544" s="76"/>
      <c r="C544" s="98"/>
      <c r="D544" s="76"/>
    </row>
    <row r="545" spans="1:4" ht="20.25" customHeight="1" thickBot="1" x14ac:dyDescent="0.3">
      <c r="A545" s="105"/>
      <c r="B545" s="64"/>
      <c r="C545" s="64"/>
      <c r="D545" s="72"/>
    </row>
    <row r="546" spans="1:4" ht="20.25" customHeight="1" thickBot="1" x14ac:dyDescent="0.3">
      <c r="A546" s="108"/>
      <c r="B546" s="108"/>
      <c r="C546" s="108"/>
      <c r="D546" s="108"/>
    </row>
    <row r="547" spans="1:4" ht="20.25" customHeight="1" x14ac:dyDescent="0.25">
      <c r="A547" s="105"/>
      <c r="B547" s="111"/>
      <c r="C547" s="112"/>
      <c r="D547" s="113"/>
    </row>
    <row r="548" spans="1:4" ht="20.25" customHeight="1" x14ac:dyDescent="0.25">
      <c r="A548" s="105"/>
      <c r="B548" s="114"/>
      <c r="C548" s="109"/>
      <c r="D548" s="115"/>
    </row>
    <row r="549" spans="1:4" ht="20.25" customHeight="1" x14ac:dyDescent="0.25">
      <c r="A549" s="105"/>
      <c r="B549" s="114"/>
      <c r="C549" s="109"/>
      <c r="D549" s="115"/>
    </row>
    <row r="550" spans="1:4" ht="20.25" customHeight="1" x14ac:dyDescent="0.25">
      <c r="A550" s="105"/>
      <c r="B550" s="114"/>
      <c r="C550" s="109"/>
      <c r="D550" s="115"/>
    </row>
    <row r="551" spans="1:4" ht="20.25" customHeight="1" x14ac:dyDescent="0.25">
      <c r="A551" s="105"/>
      <c r="B551" s="114"/>
      <c r="C551" s="109"/>
      <c r="D551" s="115"/>
    </row>
    <row r="552" spans="1:4" ht="20.25" customHeight="1" x14ac:dyDescent="0.25">
      <c r="A552" s="105"/>
      <c r="B552" s="114"/>
      <c r="C552" s="109"/>
      <c r="D552" s="115"/>
    </row>
    <row r="553" spans="1:4" ht="20.25" customHeight="1" x14ac:dyDescent="0.25">
      <c r="A553" s="105"/>
      <c r="B553" s="114"/>
      <c r="C553" s="109"/>
      <c r="D553" s="115"/>
    </row>
    <row r="554" spans="1:4" ht="20.25" customHeight="1" x14ac:dyDescent="0.25">
      <c r="A554" s="105"/>
      <c r="B554" s="114"/>
      <c r="C554" s="109"/>
      <c r="D554" s="115"/>
    </row>
    <row r="555" spans="1:4" ht="20.25" customHeight="1" thickBot="1" x14ac:dyDescent="0.3">
      <c r="A555" s="73"/>
      <c r="B555" s="116"/>
      <c r="C555" s="117"/>
      <c r="D555" s="118"/>
    </row>
    <row r="556" spans="1:4" ht="20.25" customHeight="1" thickBot="1" x14ac:dyDescent="0.3">
      <c r="A556" s="98"/>
      <c r="B556" s="100"/>
      <c r="C556" s="100"/>
      <c r="D556" s="76"/>
    </row>
    <row r="557" spans="1:4" ht="20.25" customHeight="1" x14ac:dyDescent="0.25">
      <c r="A557" s="91"/>
      <c r="B557" s="92"/>
      <c r="C557" s="92"/>
      <c r="D557" s="104"/>
    </row>
    <row r="558" spans="1:4" ht="20.25" customHeight="1" thickBot="1" x14ac:dyDescent="0.3">
      <c r="A558" s="73"/>
      <c r="B558" s="74"/>
      <c r="C558" s="74"/>
      <c r="D558" s="75"/>
    </row>
    <row r="559" spans="1:4" ht="20.25" customHeight="1" thickBot="1" x14ac:dyDescent="0.3">
      <c r="A559" s="98"/>
      <c r="B559" s="76"/>
      <c r="C559" s="98"/>
      <c r="D559" s="76"/>
    </row>
    <row r="560" spans="1:4" ht="20.25" customHeight="1" thickBot="1" x14ac:dyDescent="0.3">
      <c r="A560" s="110"/>
      <c r="B560" s="98"/>
      <c r="C560" s="76"/>
      <c r="D560" s="110"/>
    </row>
    <row r="561" spans="1:22" ht="20.25" customHeight="1" thickBot="1" x14ac:dyDescent="0.3">
      <c r="A561" s="110"/>
      <c r="B561" s="106"/>
      <c r="C561" s="74"/>
      <c r="D561" s="107"/>
      <c r="T561" s="95"/>
      <c r="V561" s="95"/>
    </row>
    <row r="562" spans="1:22" ht="20.25" customHeight="1" thickBot="1" x14ac:dyDescent="0.3">
      <c r="A562" s="98"/>
      <c r="B562" s="76"/>
      <c r="C562" s="98"/>
      <c r="D562" s="76"/>
    </row>
    <row r="563" spans="1:22" ht="20.25" customHeight="1" thickBot="1" x14ac:dyDescent="0.3">
      <c r="A563" s="98"/>
      <c r="B563" s="76"/>
      <c r="C563" s="98"/>
      <c r="D563" s="76"/>
      <c r="U563" s="95"/>
      <c r="V563" s="95"/>
    </row>
    <row r="564" spans="1:22" ht="20.25" customHeight="1" thickBot="1" x14ac:dyDescent="0.3">
      <c r="A564" s="98"/>
      <c r="B564" s="76"/>
      <c r="C564" s="98"/>
      <c r="D564" s="76"/>
    </row>
    <row r="565" spans="1:22" ht="20.25" customHeight="1" thickBot="1" x14ac:dyDescent="0.3">
      <c r="A565" s="105"/>
      <c r="B565" s="64"/>
      <c r="C565" s="64"/>
      <c r="D565" s="72"/>
    </row>
    <row r="566" spans="1:22" ht="20.25" customHeight="1" thickBot="1" x14ac:dyDescent="0.3">
      <c r="A566" s="108"/>
      <c r="B566" s="108"/>
      <c r="C566" s="108"/>
      <c r="D566" s="108"/>
    </row>
    <row r="567" spans="1:22" ht="20.25" customHeight="1" x14ac:dyDescent="0.25">
      <c r="A567" s="105"/>
      <c r="B567" s="111"/>
      <c r="C567" s="112"/>
      <c r="D567" s="113"/>
    </row>
    <row r="568" spans="1:22" ht="20.25" customHeight="1" x14ac:dyDescent="0.25">
      <c r="A568" s="105"/>
      <c r="B568" s="114"/>
      <c r="C568" s="109"/>
      <c r="D568" s="115"/>
    </row>
    <row r="569" spans="1:22" ht="20.25" customHeight="1" x14ac:dyDescent="0.25">
      <c r="A569" s="105"/>
      <c r="B569" s="114"/>
      <c r="C569" s="109"/>
      <c r="D569" s="115"/>
    </row>
    <row r="570" spans="1:22" ht="20.25" customHeight="1" x14ac:dyDescent="0.25">
      <c r="A570" s="105"/>
      <c r="B570" s="114"/>
      <c r="C570" s="109"/>
      <c r="D570" s="115"/>
    </row>
    <row r="571" spans="1:22" ht="20.25" customHeight="1" x14ac:dyDescent="0.25">
      <c r="A571" s="105"/>
      <c r="B571" s="114"/>
      <c r="C571" s="109"/>
      <c r="D571" s="115"/>
    </row>
    <row r="572" spans="1:22" ht="20.25" customHeight="1" x14ac:dyDescent="0.25">
      <c r="A572" s="105"/>
      <c r="B572" s="114"/>
      <c r="C572" s="109"/>
      <c r="D572" s="115"/>
    </row>
    <row r="573" spans="1:22" ht="20.25" customHeight="1" x14ac:dyDescent="0.25">
      <c r="A573" s="105"/>
      <c r="B573" s="114"/>
      <c r="C573" s="109"/>
      <c r="D573" s="115"/>
    </row>
    <row r="574" spans="1:22" ht="20.25" customHeight="1" x14ac:dyDescent="0.25">
      <c r="A574" s="105"/>
      <c r="B574" s="114"/>
      <c r="C574" s="109"/>
      <c r="D574" s="115"/>
    </row>
    <row r="575" spans="1:22" ht="20.25" customHeight="1" thickBot="1" x14ac:dyDescent="0.3">
      <c r="A575" s="73"/>
      <c r="B575" s="116"/>
      <c r="C575" s="117"/>
      <c r="D575" s="118"/>
    </row>
    <row r="576" spans="1:22" ht="20.25" customHeight="1" thickBot="1" x14ac:dyDescent="0.3">
      <c r="A576" s="98"/>
      <c r="B576" s="100"/>
      <c r="C576" s="100"/>
      <c r="D576" s="76"/>
    </row>
    <row r="577" spans="1:22" ht="20.25" customHeight="1" x14ac:dyDescent="0.25">
      <c r="A577" s="91"/>
      <c r="B577" s="92"/>
      <c r="C577" s="92"/>
      <c r="D577" s="104"/>
    </row>
    <row r="578" spans="1:22" ht="20.25" customHeight="1" thickBot="1" x14ac:dyDescent="0.3">
      <c r="A578" s="73"/>
      <c r="B578" s="74"/>
      <c r="C578" s="74"/>
      <c r="D578" s="75"/>
    </row>
    <row r="579" spans="1:22" ht="20.25" customHeight="1" thickBot="1" x14ac:dyDescent="0.3">
      <c r="A579" s="98"/>
      <c r="B579" s="76"/>
      <c r="C579" s="98"/>
      <c r="D579" s="76"/>
    </row>
    <row r="580" spans="1:22" ht="20.25" customHeight="1" thickBot="1" x14ac:dyDescent="0.3">
      <c r="A580" s="110"/>
      <c r="B580" s="98"/>
      <c r="C580" s="76"/>
      <c r="D580" s="110"/>
    </row>
    <row r="581" spans="1:22" ht="20.25" customHeight="1" thickBot="1" x14ac:dyDescent="0.3">
      <c r="A581" s="110"/>
      <c r="B581" s="106"/>
      <c r="C581" s="74"/>
      <c r="D581" s="107"/>
      <c r="T581" s="95"/>
      <c r="V581" s="95"/>
    </row>
    <row r="582" spans="1:22" ht="20.25" customHeight="1" thickBot="1" x14ac:dyDescent="0.3">
      <c r="A582" s="98"/>
      <c r="B582" s="76"/>
      <c r="C582" s="98"/>
      <c r="D582" s="76"/>
    </row>
    <row r="583" spans="1:22" ht="20.25" customHeight="1" thickBot="1" x14ac:dyDescent="0.3">
      <c r="A583" s="98"/>
      <c r="B583" s="76"/>
      <c r="C583" s="98"/>
      <c r="D583" s="76"/>
      <c r="U583" s="95"/>
      <c r="V583" s="95"/>
    </row>
    <row r="584" spans="1:22" ht="20.25" customHeight="1" thickBot="1" x14ac:dyDescent="0.3">
      <c r="A584" s="98"/>
      <c r="B584" s="76"/>
      <c r="C584" s="98"/>
      <c r="D584" s="76"/>
    </row>
    <row r="585" spans="1:22" ht="20.25" customHeight="1" thickBot="1" x14ac:dyDescent="0.3">
      <c r="A585" s="105"/>
      <c r="B585" s="64"/>
      <c r="C585" s="64"/>
      <c r="D585" s="72"/>
    </row>
    <row r="586" spans="1:22" ht="20.25" customHeight="1" thickBot="1" x14ac:dyDescent="0.3">
      <c r="A586" s="108"/>
      <c r="B586" s="108"/>
      <c r="C586" s="108"/>
      <c r="D586" s="108"/>
    </row>
    <row r="587" spans="1:22" ht="20.25" customHeight="1" x14ac:dyDescent="0.25">
      <c r="A587" s="105"/>
      <c r="B587" s="111"/>
      <c r="C587" s="112"/>
      <c r="D587" s="113"/>
    </row>
    <row r="588" spans="1:22" ht="20.25" customHeight="1" x14ac:dyDescent="0.25">
      <c r="A588" s="105"/>
      <c r="B588" s="114"/>
      <c r="C588" s="109"/>
      <c r="D588" s="115"/>
    </row>
    <row r="589" spans="1:22" ht="20.25" customHeight="1" x14ac:dyDescent="0.25">
      <c r="A589" s="105"/>
      <c r="B589" s="114"/>
      <c r="C589" s="109"/>
      <c r="D589" s="115"/>
    </row>
    <row r="590" spans="1:22" ht="20.25" customHeight="1" x14ac:dyDescent="0.25">
      <c r="A590" s="105"/>
      <c r="B590" s="114"/>
      <c r="C590" s="109"/>
      <c r="D590" s="115"/>
    </row>
    <row r="591" spans="1:22" ht="20.25" customHeight="1" x14ac:dyDescent="0.25">
      <c r="A591" s="105"/>
      <c r="B591" s="114"/>
      <c r="C591" s="109"/>
      <c r="D591" s="115"/>
    </row>
    <row r="592" spans="1:22" ht="20.25" customHeight="1" x14ac:dyDescent="0.25">
      <c r="A592" s="105"/>
      <c r="B592" s="114"/>
      <c r="C592" s="109"/>
      <c r="D592" s="115"/>
    </row>
    <row r="593" spans="1:22" ht="20.25" customHeight="1" x14ac:dyDescent="0.25">
      <c r="A593" s="105"/>
      <c r="B593" s="114"/>
      <c r="C593" s="109"/>
      <c r="D593" s="115"/>
    </row>
    <row r="594" spans="1:22" ht="20.25" customHeight="1" x14ac:dyDescent="0.25">
      <c r="A594" s="105"/>
      <c r="B594" s="114"/>
      <c r="C594" s="109"/>
      <c r="D594" s="115"/>
    </row>
    <row r="595" spans="1:22" ht="20.25" customHeight="1" thickBot="1" x14ac:dyDescent="0.3">
      <c r="A595" s="73"/>
      <c r="B595" s="116"/>
      <c r="C595" s="117"/>
      <c r="D595" s="118"/>
    </row>
    <row r="596" spans="1:22" ht="20.25" customHeight="1" thickBot="1" x14ac:dyDescent="0.3">
      <c r="A596" s="98"/>
      <c r="B596" s="100"/>
      <c r="C596" s="100"/>
      <c r="D596" s="76"/>
    </row>
    <row r="597" spans="1:22" ht="20.25" customHeight="1" x14ac:dyDescent="0.25">
      <c r="A597" s="91"/>
      <c r="B597" s="92"/>
      <c r="C597" s="92"/>
      <c r="D597" s="104"/>
    </row>
    <row r="598" spans="1:22" ht="20.25" customHeight="1" thickBot="1" x14ac:dyDescent="0.3">
      <c r="A598" s="73"/>
      <c r="B598" s="74"/>
      <c r="C598" s="74"/>
      <c r="D598" s="75"/>
    </row>
    <row r="599" spans="1:22" ht="20.25" customHeight="1" thickBot="1" x14ac:dyDescent="0.3">
      <c r="A599" s="98"/>
      <c r="B599" s="76"/>
      <c r="C599" s="98"/>
      <c r="D599" s="76"/>
    </row>
    <row r="600" spans="1:22" ht="20.25" customHeight="1" thickBot="1" x14ac:dyDescent="0.3">
      <c r="A600" s="110"/>
      <c r="B600" s="98"/>
      <c r="C600" s="76"/>
      <c r="D600" s="110"/>
    </row>
    <row r="601" spans="1:22" ht="20.25" customHeight="1" thickBot="1" x14ac:dyDescent="0.3">
      <c r="A601" s="110"/>
      <c r="B601" s="106"/>
      <c r="C601" s="74"/>
      <c r="D601" s="107"/>
      <c r="T601" s="95"/>
      <c r="V601" s="95"/>
    </row>
    <row r="602" spans="1:22" ht="20.25" customHeight="1" thickBot="1" x14ac:dyDescent="0.3">
      <c r="A602" s="98"/>
      <c r="B602" s="76"/>
      <c r="C602" s="98"/>
      <c r="D602" s="76"/>
    </row>
    <row r="603" spans="1:22" ht="20.25" customHeight="1" thickBot="1" x14ac:dyDescent="0.3">
      <c r="A603" s="98"/>
      <c r="B603" s="76"/>
      <c r="C603" s="98"/>
      <c r="D603" s="76"/>
      <c r="U603" s="95"/>
      <c r="V603" s="95"/>
    </row>
    <row r="604" spans="1:22" ht="20.25" customHeight="1" thickBot="1" x14ac:dyDescent="0.3">
      <c r="A604" s="98"/>
      <c r="B604" s="76"/>
      <c r="C604" s="98"/>
      <c r="D604" s="76"/>
    </row>
    <row r="605" spans="1:22" ht="20.25" customHeight="1" thickBot="1" x14ac:dyDescent="0.3">
      <c r="A605" s="105"/>
      <c r="B605" s="64"/>
      <c r="C605" s="64"/>
      <c r="D605" s="72"/>
    </row>
    <row r="606" spans="1:22" ht="20.25" customHeight="1" thickBot="1" x14ac:dyDescent="0.3">
      <c r="A606" s="108"/>
      <c r="B606" s="108"/>
      <c r="C606" s="108"/>
      <c r="D606" s="108"/>
    </row>
    <row r="607" spans="1:22" ht="20.25" customHeight="1" x14ac:dyDescent="0.25">
      <c r="A607" s="105"/>
      <c r="B607" s="111"/>
      <c r="C607" s="112"/>
      <c r="D607" s="113"/>
    </row>
    <row r="608" spans="1:22" ht="20.25" customHeight="1" x14ac:dyDescent="0.25">
      <c r="A608" s="105"/>
      <c r="B608" s="114"/>
      <c r="C608" s="109"/>
      <c r="D608" s="115"/>
    </row>
    <row r="609" spans="1:22" ht="20.25" customHeight="1" x14ac:dyDescent="0.25">
      <c r="A609" s="105"/>
      <c r="B609" s="114"/>
      <c r="C609" s="109"/>
      <c r="D609" s="115"/>
    </row>
    <row r="610" spans="1:22" ht="20.25" customHeight="1" x14ac:dyDescent="0.25">
      <c r="A610" s="105"/>
      <c r="B610" s="114"/>
      <c r="C610" s="109"/>
      <c r="D610" s="115"/>
    </row>
    <row r="611" spans="1:22" ht="20.25" customHeight="1" x14ac:dyDescent="0.25">
      <c r="A611" s="105"/>
      <c r="B611" s="114"/>
      <c r="C611" s="109"/>
      <c r="D611" s="115"/>
    </row>
    <row r="612" spans="1:22" ht="20.25" customHeight="1" x14ac:dyDescent="0.25">
      <c r="A612" s="105"/>
      <c r="B612" s="114"/>
      <c r="C612" s="109"/>
      <c r="D612" s="115"/>
    </row>
    <row r="613" spans="1:22" ht="20.25" customHeight="1" x14ac:dyDescent="0.25">
      <c r="A613" s="105"/>
      <c r="B613" s="114"/>
      <c r="C613" s="109"/>
      <c r="D613" s="115"/>
    </row>
    <row r="614" spans="1:22" ht="20.25" customHeight="1" x14ac:dyDescent="0.25">
      <c r="A614" s="105"/>
      <c r="B614" s="114"/>
      <c r="C614" s="109"/>
      <c r="D614" s="115"/>
    </row>
    <row r="615" spans="1:22" ht="20.25" customHeight="1" thickBot="1" x14ac:dyDescent="0.3">
      <c r="A615" s="73"/>
      <c r="B615" s="116"/>
      <c r="C615" s="117"/>
      <c r="D615" s="118"/>
    </row>
    <row r="616" spans="1:22" ht="20.25" customHeight="1" thickBot="1" x14ac:dyDescent="0.3">
      <c r="A616" s="98"/>
      <c r="B616" s="100"/>
      <c r="C616" s="100"/>
      <c r="D616" s="76"/>
    </row>
    <row r="617" spans="1:22" ht="20.25" customHeight="1" x14ac:dyDescent="0.25">
      <c r="A617" s="91"/>
      <c r="B617" s="92"/>
      <c r="C617" s="92"/>
      <c r="D617" s="104"/>
    </row>
    <row r="618" spans="1:22" ht="20.25" customHeight="1" thickBot="1" x14ac:dyDescent="0.3">
      <c r="A618" s="73"/>
      <c r="B618" s="74"/>
      <c r="C618" s="74"/>
      <c r="D618" s="75"/>
    </row>
    <row r="619" spans="1:22" ht="20.25" customHeight="1" thickBot="1" x14ac:dyDescent="0.3">
      <c r="A619" s="98"/>
      <c r="B619" s="76"/>
      <c r="C619" s="98"/>
      <c r="D619" s="76"/>
    </row>
    <row r="620" spans="1:22" ht="20.25" customHeight="1" thickBot="1" x14ac:dyDescent="0.3">
      <c r="A620" s="110"/>
      <c r="B620" s="98"/>
      <c r="C620" s="76"/>
      <c r="D620" s="110"/>
    </row>
    <row r="621" spans="1:22" ht="20.25" customHeight="1" thickBot="1" x14ac:dyDescent="0.3">
      <c r="A621" s="110"/>
      <c r="B621" s="106"/>
      <c r="C621" s="74"/>
      <c r="D621" s="107"/>
      <c r="T621" s="95"/>
      <c r="V621" s="95"/>
    </row>
    <row r="622" spans="1:22" ht="20.25" customHeight="1" thickBot="1" x14ac:dyDescent="0.3">
      <c r="A622" s="98"/>
      <c r="B622" s="76"/>
      <c r="C622" s="98"/>
      <c r="D622" s="76"/>
    </row>
    <row r="623" spans="1:22" ht="20.25" customHeight="1" thickBot="1" x14ac:dyDescent="0.3">
      <c r="A623" s="98"/>
      <c r="B623" s="76"/>
      <c r="C623" s="98"/>
      <c r="D623" s="76"/>
      <c r="U623" s="95"/>
      <c r="V623" s="95"/>
    </row>
    <row r="624" spans="1:22" ht="20.25" customHeight="1" thickBot="1" x14ac:dyDescent="0.3">
      <c r="A624" s="98"/>
      <c r="B624" s="76"/>
      <c r="C624" s="98"/>
      <c r="D624" s="76"/>
    </row>
    <row r="625" spans="1:4" ht="20.25" customHeight="1" thickBot="1" x14ac:dyDescent="0.3">
      <c r="A625" s="105"/>
      <c r="B625" s="64"/>
      <c r="C625" s="64"/>
      <c r="D625" s="72"/>
    </row>
    <row r="626" spans="1:4" ht="20.25" customHeight="1" thickBot="1" x14ac:dyDescent="0.3">
      <c r="A626" s="108"/>
      <c r="B626" s="108"/>
      <c r="C626" s="108"/>
      <c r="D626" s="108"/>
    </row>
    <row r="627" spans="1:4" ht="20.25" customHeight="1" x14ac:dyDescent="0.25">
      <c r="A627" s="105"/>
      <c r="B627" s="111"/>
      <c r="C627" s="112"/>
      <c r="D627" s="113"/>
    </row>
    <row r="628" spans="1:4" ht="20.25" customHeight="1" x14ac:dyDescent="0.25">
      <c r="A628" s="105"/>
      <c r="B628" s="114"/>
      <c r="C628" s="109"/>
      <c r="D628" s="115"/>
    </row>
    <row r="629" spans="1:4" ht="20.25" customHeight="1" x14ac:dyDescent="0.25">
      <c r="A629" s="105"/>
      <c r="B629" s="114"/>
      <c r="C629" s="109"/>
      <c r="D629" s="115"/>
    </row>
    <row r="630" spans="1:4" ht="20.25" customHeight="1" x14ac:dyDescent="0.25">
      <c r="A630" s="105"/>
      <c r="B630" s="114"/>
      <c r="C630" s="109"/>
      <c r="D630" s="115"/>
    </row>
    <row r="631" spans="1:4" ht="20.25" customHeight="1" x14ac:dyDescent="0.25">
      <c r="A631" s="105"/>
      <c r="B631" s="114"/>
      <c r="C631" s="109"/>
      <c r="D631" s="115"/>
    </row>
    <row r="632" spans="1:4" ht="20.25" customHeight="1" x14ac:dyDescent="0.25">
      <c r="A632" s="105"/>
      <c r="B632" s="114"/>
      <c r="C632" s="109"/>
      <c r="D632" s="115"/>
    </row>
    <row r="633" spans="1:4" ht="20.25" customHeight="1" x14ac:dyDescent="0.25">
      <c r="A633" s="105"/>
      <c r="B633" s="114"/>
      <c r="C633" s="109"/>
      <c r="D633" s="115"/>
    </row>
    <row r="634" spans="1:4" ht="20.25" customHeight="1" x14ac:dyDescent="0.25">
      <c r="A634" s="105"/>
      <c r="B634" s="114"/>
      <c r="C634" s="109"/>
      <c r="D634" s="115"/>
    </row>
    <row r="635" spans="1:4" ht="20.25" customHeight="1" thickBot="1" x14ac:dyDescent="0.3">
      <c r="A635" s="73"/>
      <c r="B635" s="116"/>
      <c r="C635" s="117"/>
      <c r="D635" s="118"/>
    </row>
    <row r="636" spans="1:4" ht="20.25" customHeight="1" thickBot="1" x14ac:dyDescent="0.3">
      <c r="A636" s="98"/>
      <c r="B636" s="100"/>
      <c r="C636" s="100"/>
      <c r="D636" s="76"/>
    </row>
    <row r="637" spans="1:4" ht="20.25" customHeight="1" x14ac:dyDescent="0.25">
      <c r="A637" s="91"/>
      <c r="B637" s="92"/>
      <c r="C637" s="92"/>
      <c r="D637" s="104"/>
    </row>
    <row r="638" spans="1:4" ht="20.25" customHeight="1" thickBot="1" x14ac:dyDescent="0.3">
      <c r="A638" s="73"/>
      <c r="B638" s="74"/>
      <c r="C638" s="74"/>
      <c r="D638" s="75"/>
    </row>
    <row r="639" spans="1:4" ht="20.25" customHeight="1" thickBot="1" x14ac:dyDescent="0.3">
      <c r="A639" s="98"/>
      <c r="B639" s="76"/>
      <c r="C639" s="98"/>
      <c r="D639" s="76"/>
    </row>
    <row r="640" spans="1:4" ht="20.25" customHeight="1" thickBot="1" x14ac:dyDescent="0.3">
      <c r="A640" s="110"/>
      <c r="B640" s="98"/>
      <c r="C640" s="76"/>
      <c r="D640" s="110"/>
    </row>
    <row r="641" spans="1:22" ht="20.25" customHeight="1" thickBot="1" x14ac:dyDescent="0.3">
      <c r="A641" s="110"/>
      <c r="B641" s="106"/>
      <c r="C641" s="74"/>
      <c r="D641" s="107"/>
      <c r="T641" s="95"/>
      <c r="V641" s="95"/>
    </row>
    <row r="642" spans="1:22" ht="20.25" customHeight="1" thickBot="1" x14ac:dyDescent="0.3">
      <c r="A642" s="98"/>
      <c r="B642" s="76"/>
      <c r="C642" s="98"/>
      <c r="D642" s="76"/>
    </row>
    <row r="643" spans="1:22" ht="20.25" customHeight="1" thickBot="1" x14ac:dyDescent="0.3">
      <c r="A643" s="98"/>
      <c r="B643" s="76"/>
      <c r="C643" s="98"/>
      <c r="D643" s="76"/>
      <c r="U643" s="95"/>
      <c r="V643" s="95"/>
    </row>
    <row r="644" spans="1:22" ht="20.25" customHeight="1" thickBot="1" x14ac:dyDescent="0.3">
      <c r="A644" s="98"/>
      <c r="B644" s="76"/>
      <c r="C644" s="98"/>
      <c r="D644" s="76"/>
    </row>
    <row r="645" spans="1:22" ht="20.25" customHeight="1" thickBot="1" x14ac:dyDescent="0.3">
      <c r="A645" s="105"/>
      <c r="B645" s="64"/>
      <c r="C645" s="64"/>
      <c r="D645" s="72"/>
    </row>
    <row r="646" spans="1:22" ht="20.25" customHeight="1" thickBot="1" x14ac:dyDescent="0.3">
      <c r="A646" s="108"/>
      <c r="B646" s="108"/>
      <c r="C646" s="108"/>
      <c r="D646" s="108"/>
    </row>
    <row r="647" spans="1:22" ht="20.25" customHeight="1" x14ac:dyDescent="0.25">
      <c r="A647" s="105"/>
      <c r="B647" s="111"/>
      <c r="C647" s="112"/>
      <c r="D647" s="113"/>
    </row>
    <row r="648" spans="1:22" ht="20.25" customHeight="1" x14ac:dyDescent="0.25">
      <c r="A648" s="105"/>
      <c r="B648" s="114"/>
      <c r="C648" s="109"/>
      <c r="D648" s="115"/>
    </row>
    <row r="649" spans="1:22" ht="20.25" customHeight="1" x14ac:dyDescent="0.25">
      <c r="A649" s="105"/>
      <c r="B649" s="114"/>
      <c r="C649" s="109"/>
      <c r="D649" s="115"/>
    </row>
    <row r="650" spans="1:22" ht="20.25" customHeight="1" x14ac:dyDescent="0.25">
      <c r="A650" s="105"/>
      <c r="B650" s="114"/>
      <c r="C650" s="109"/>
      <c r="D650" s="115"/>
    </row>
    <row r="651" spans="1:22" ht="20.25" customHeight="1" x14ac:dyDescent="0.25">
      <c r="A651" s="105"/>
      <c r="B651" s="114"/>
      <c r="C651" s="109"/>
      <c r="D651" s="115"/>
    </row>
    <row r="652" spans="1:22" ht="20.25" customHeight="1" x14ac:dyDescent="0.25">
      <c r="A652" s="105"/>
      <c r="B652" s="114"/>
      <c r="C652" s="109"/>
      <c r="D652" s="115"/>
    </row>
    <row r="653" spans="1:22" ht="20.25" customHeight="1" x14ac:dyDescent="0.25">
      <c r="A653" s="105"/>
      <c r="B653" s="114"/>
      <c r="C653" s="109"/>
      <c r="D653" s="115"/>
    </row>
    <row r="654" spans="1:22" ht="20.25" customHeight="1" x14ac:dyDescent="0.25">
      <c r="A654" s="105"/>
      <c r="B654" s="114"/>
      <c r="C654" s="109"/>
      <c r="D654" s="115"/>
    </row>
    <row r="655" spans="1:22" ht="20.25" customHeight="1" thickBot="1" x14ac:dyDescent="0.3">
      <c r="A655" s="73"/>
      <c r="B655" s="116"/>
      <c r="C655" s="117"/>
      <c r="D655" s="118"/>
    </row>
    <row r="656" spans="1:22" ht="20.25" customHeight="1" thickBot="1" x14ac:dyDescent="0.3">
      <c r="A656" s="98"/>
      <c r="B656" s="100"/>
      <c r="C656" s="100"/>
      <c r="D656" s="76"/>
    </row>
    <row r="657" spans="1:22" ht="20.25" customHeight="1" x14ac:dyDescent="0.25">
      <c r="A657" s="91"/>
      <c r="B657" s="92"/>
      <c r="C657" s="92"/>
      <c r="D657" s="104"/>
    </row>
    <row r="658" spans="1:22" ht="20.25" customHeight="1" thickBot="1" x14ac:dyDescent="0.3">
      <c r="A658" s="73"/>
      <c r="B658" s="74"/>
      <c r="C658" s="74"/>
      <c r="D658" s="75"/>
    </row>
    <row r="659" spans="1:22" ht="20.25" customHeight="1" thickBot="1" x14ac:dyDescent="0.3">
      <c r="A659" s="98"/>
      <c r="B659" s="76"/>
      <c r="C659" s="98"/>
      <c r="D659" s="76"/>
    </row>
    <row r="660" spans="1:22" ht="20.25" customHeight="1" thickBot="1" x14ac:dyDescent="0.3">
      <c r="A660" s="110"/>
      <c r="B660" s="98"/>
      <c r="C660" s="76"/>
      <c r="D660" s="110"/>
    </row>
    <row r="661" spans="1:22" ht="20.25" customHeight="1" thickBot="1" x14ac:dyDescent="0.3">
      <c r="A661" s="110"/>
      <c r="B661" s="106"/>
      <c r="C661" s="74"/>
      <c r="D661" s="107"/>
      <c r="T661" s="95"/>
      <c r="V661" s="95"/>
    </row>
    <row r="662" spans="1:22" ht="20.25" customHeight="1" thickBot="1" x14ac:dyDescent="0.3">
      <c r="A662" s="98"/>
      <c r="B662" s="76"/>
      <c r="C662" s="98"/>
      <c r="D662" s="76"/>
    </row>
    <row r="663" spans="1:22" ht="20.25" customHeight="1" thickBot="1" x14ac:dyDescent="0.3">
      <c r="A663" s="98"/>
      <c r="B663" s="76"/>
      <c r="C663" s="98"/>
      <c r="D663" s="76"/>
      <c r="U663" s="95"/>
      <c r="V663" s="95"/>
    </row>
    <row r="664" spans="1:22" ht="20.25" customHeight="1" thickBot="1" x14ac:dyDescent="0.3">
      <c r="A664" s="98"/>
      <c r="B664" s="76"/>
      <c r="C664" s="98"/>
      <c r="D664" s="76"/>
    </row>
    <row r="665" spans="1:22" ht="20.25" customHeight="1" thickBot="1" x14ac:dyDescent="0.3">
      <c r="A665" s="105"/>
      <c r="B665" s="64"/>
      <c r="C665" s="64"/>
      <c r="D665" s="72"/>
    </row>
    <row r="666" spans="1:22" ht="20.25" customHeight="1" thickBot="1" x14ac:dyDescent="0.3">
      <c r="A666" s="108"/>
      <c r="B666" s="108"/>
      <c r="C666" s="108"/>
      <c r="D666" s="108"/>
    </row>
    <row r="667" spans="1:22" ht="20.25" customHeight="1" x14ac:dyDescent="0.25">
      <c r="A667" s="105"/>
      <c r="B667" s="111"/>
      <c r="C667" s="112"/>
      <c r="D667" s="113"/>
    </row>
    <row r="668" spans="1:22" ht="20.25" customHeight="1" x14ac:dyDescent="0.25">
      <c r="A668" s="105"/>
      <c r="B668" s="114"/>
      <c r="C668" s="109"/>
      <c r="D668" s="115"/>
    </row>
    <row r="669" spans="1:22" ht="20.25" customHeight="1" x14ac:dyDescent="0.25">
      <c r="A669" s="105"/>
      <c r="B669" s="114"/>
      <c r="C669" s="109"/>
      <c r="D669" s="115"/>
    </row>
    <row r="670" spans="1:22" ht="20.25" customHeight="1" x14ac:dyDescent="0.25">
      <c r="A670" s="105"/>
      <c r="B670" s="114"/>
      <c r="C670" s="109"/>
      <c r="D670" s="115"/>
    </row>
    <row r="671" spans="1:22" ht="20.25" customHeight="1" x14ac:dyDescent="0.25">
      <c r="A671" s="105"/>
      <c r="B671" s="114"/>
      <c r="C671" s="109"/>
      <c r="D671" s="115"/>
    </row>
    <row r="672" spans="1:22" ht="20.25" customHeight="1" x14ac:dyDescent="0.25">
      <c r="A672" s="105"/>
      <c r="B672" s="114"/>
      <c r="C672" s="109"/>
      <c r="D672" s="115"/>
    </row>
    <row r="673" spans="1:22" ht="20.25" customHeight="1" x14ac:dyDescent="0.25">
      <c r="A673" s="105"/>
      <c r="B673" s="114"/>
      <c r="C673" s="109"/>
      <c r="D673" s="115"/>
    </row>
    <row r="674" spans="1:22" ht="20.25" customHeight="1" x14ac:dyDescent="0.25">
      <c r="A674" s="105"/>
      <c r="B674" s="114"/>
      <c r="C674" s="109"/>
      <c r="D674" s="115"/>
    </row>
    <row r="675" spans="1:22" ht="20.25" customHeight="1" thickBot="1" x14ac:dyDescent="0.3">
      <c r="A675" s="73"/>
      <c r="B675" s="116"/>
      <c r="C675" s="117"/>
      <c r="D675" s="118"/>
    </row>
    <row r="676" spans="1:22" ht="20.25" customHeight="1" thickBot="1" x14ac:dyDescent="0.3">
      <c r="A676" s="98"/>
      <c r="B676" s="100"/>
      <c r="C676" s="100"/>
      <c r="D676" s="76"/>
    </row>
    <row r="677" spans="1:22" ht="20.25" customHeight="1" x14ac:dyDescent="0.25">
      <c r="A677" s="91"/>
      <c r="B677" s="92"/>
      <c r="C677" s="92"/>
      <c r="D677" s="104"/>
    </row>
    <row r="678" spans="1:22" ht="20.25" customHeight="1" thickBot="1" x14ac:dyDescent="0.3">
      <c r="A678" s="73"/>
      <c r="B678" s="74"/>
      <c r="C678" s="74"/>
      <c r="D678" s="75"/>
    </row>
    <row r="679" spans="1:22" ht="20.25" customHeight="1" thickBot="1" x14ac:dyDescent="0.3">
      <c r="A679" s="98"/>
      <c r="B679" s="76"/>
      <c r="C679" s="98"/>
      <c r="D679" s="76"/>
    </row>
    <row r="680" spans="1:22" ht="20.25" customHeight="1" thickBot="1" x14ac:dyDescent="0.3">
      <c r="A680" s="110"/>
      <c r="B680" s="98"/>
      <c r="C680" s="76"/>
      <c r="D680" s="110"/>
    </row>
    <row r="681" spans="1:22" ht="20.25" customHeight="1" thickBot="1" x14ac:dyDescent="0.3">
      <c r="A681" s="110"/>
      <c r="B681" s="106"/>
      <c r="C681" s="74"/>
      <c r="D681" s="107"/>
      <c r="T681" s="95"/>
      <c r="V681" s="95"/>
    </row>
    <row r="682" spans="1:22" ht="20.25" customHeight="1" thickBot="1" x14ac:dyDescent="0.3">
      <c r="A682" s="98"/>
      <c r="B682" s="76"/>
      <c r="C682" s="98"/>
      <c r="D682" s="76"/>
    </row>
    <row r="683" spans="1:22" ht="20.25" customHeight="1" thickBot="1" x14ac:dyDescent="0.3">
      <c r="A683" s="98"/>
      <c r="B683" s="76"/>
      <c r="C683" s="98"/>
      <c r="D683" s="76"/>
      <c r="U683" s="95"/>
      <c r="V683" s="95"/>
    </row>
    <row r="684" spans="1:22" ht="20.25" customHeight="1" thickBot="1" x14ac:dyDescent="0.3">
      <c r="A684" s="98"/>
      <c r="B684" s="76"/>
      <c r="C684" s="98"/>
      <c r="D684" s="76"/>
    </row>
    <row r="685" spans="1:22" ht="20.25" customHeight="1" thickBot="1" x14ac:dyDescent="0.3">
      <c r="A685" s="105"/>
      <c r="B685" s="64"/>
      <c r="C685" s="64"/>
      <c r="D685" s="72"/>
    </row>
    <row r="686" spans="1:22" ht="20.25" customHeight="1" thickBot="1" x14ac:dyDescent="0.3">
      <c r="A686" s="108"/>
      <c r="B686" s="108"/>
      <c r="C686" s="108"/>
      <c r="D686" s="108"/>
    </row>
    <row r="687" spans="1:22" ht="20.25" customHeight="1" x14ac:dyDescent="0.25">
      <c r="A687" s="105"/>
      <c r="B687" s="111"/>
      <c r="C687" s="112"/>
      <c r="D687" s="113"/>
    </row>
    <row r="688" spans="1:22" ht="20.25" customHeight="1" x14ac:dyDescent="0.25">
      <c r="A688" s="105"/>
      <c r="B688" s="114"/>
      <c r="C688" s="109"/>
      <c r="D688" s="115"/>
    </row>
    <row r="689" spans="1:22" ht="20.25" customHeight="1" x14ac:dyDescent="0.25">
      <c r="A689" s="105"/>
      <c r="B689" s="114"/>
      <c r="C689" s="109"/>
      <c r="D689" s="115"/>
    </row>
    <row r="690" spans="1:22" ht="20.25" customHeight="1" x14ac:dyDescent="0.25">
      <c r="A690" s="105"/>
      <c r="B690" s="114"/>
      <c r="C690" s="109"/>
      <c r="D690" s="115"/>
    </row>
    <row r="691" spans="1:22" ht="20.25" customHeight="1" x14ac:dyDescent="0.25">
      <c r="A691" s="105"/>
      <c r="B691" s="114"/>
      <c r="C691" s="109"/>
      <c r="D691" s="115"/>
    </row>
    <row r="692" spans="1:22" ht="20.25" customHeight="1" x14ac:dyDescent="0.25">
      <c r="A692" s="105"/>
      <c r="B692" s="114"/>
      <c r="C692" s="109"/>
      <c r="D692" s="115"/>
    </row>
    <row r="693" spans="1:22" ht="20.25" customHeight="1" x14ac:dyDescent="0.25">
      <c r="A693" s="105"/>
      <c r="B693" s="114"/>
      <c r="C693" s="109"/>
      <c r="D693" s="115"/>
    </row>
    <row r="694" spans="1:22" ht="20.25" customHeight="1" x14ac:dyDescent="0.25">
      <c r="A694" s="105"/>
      <c r="B694" s="114"/>
      <c r="C694" s="109"/>
      <c r="D694" s="115"/>
    </row>
    <row r="695" spans="1:22" ht="20.25" customHeight="1" thickBot="1" x14ac:dyDescent="0.3">
      <c r="A695" s="73"/>
      <c r="B695" s="116"/>
      <c r="C695" s="117"/>
      <c r="D695" s="118"/>
    </row>
    <row r="696" spans="1:22" ht="20.25" customHeight="1" thickBot="1" x14ac:dyDescent="0.3">
      <c r="A696" s="98"/>
      <c r="B696" s="100"/>
      <c r="C696" s="100"/>
      <c r="D696" s="76"/>
    </row>
    <row r="697" spans="1:22" ht="20.25" customHeight="1" x14ac:dyDescent="0.25">
      <c r="A697" s="91"/>
      <c r="B697" s="92"/>
      <c r="C697" s="92"/>
      <c r="D697" s="104"/>
    </row>
    <row r="698" spans="1:22" ht="20.25" customHeight="1" thickBot="1" x14ac:dyDescent="0.3">
      <c r="A698" s="73"/>
      <c r="B698" s="74"/>
      <c r="C698" s="74"/>
      <c r="D698" s="75"/>
    </row>
    <row r="699" spans="1:22" ht="20.25" customHeight="1" thickBot="1" x14ac:dyDescent="0.3">
      <c r="A699" s="98"/>
      <c r="B699" s="76"/>
      <c r="C699" s="98"/>
      <c r="D699" s="76"/>
    </row>
    <row r="700" spans="1:22" ht="20.25" customHeight="1" thickBot="1" x14ac:dyDescent="0.3">
      <c r="A700" s="110"/>
      <c r="B700" s="98"/>
      <c r="C700" s="76"/>
      <c r="D700" s="110"/>
    </row>
    <row r="701" spans="1:22" ht="20.25" customHeight="1" thickBot="1" x14ac:dyDescent="0.3">
      <c r="A701" s="110"/>
      <c r="B701" s="106"/>
      <c r="C701" s="74"/>
      <c r="D701" s="107"/>
      <c r="T701" s="95"/>
      <c r="V701" s="95"/>
    </row>
    <row r="702" spans="1:22" ht="20.25" customHeight="1" thickBot="1" x14ac:dyDescent="0.3">
      <c r="A702" s="98"/>
      <c r="B702" s="76"/>
      <c r="C702" s="98"/>
      <c r="D702" s="76"/>
    </row>
    <row r="703" spans="1:22" ht="20.25" customHeight="1" thickBot="1" x14ac:dyDescent="0.3">
      <c r="A703" s="98"/>
      <c r="B703" s="76"/>
      <c r="C703" s="98"/>
      <c r="D703" s="76"/>
      <c r="U703" s="95"/>
      <c r="V703" s="95"/>
    </row>
    <row r="704" spans="1:22" ht="20.25" customHeight="1" thickBot="1" x14ac:dyDescent="0.3">
      <c r="A704" s="98"/>
      <c r="B704" s="76"/>
      <c r="C704" s="98"/>
      <c r="D704" s="76"/>
    </row>
    <row r="705" spans="1:4" ht="20.25" customHeight="1" thickBot="1" x14ac:dyDescent="0.3">
      <c r="A705" s="105"/>
      <c r="B705" s="64"/>
      <c r="C705" s="64"/>
      <c r="D705" s="72"/>
    </row>
    <row r="706" spans="1:4" ht="20.25" customHeight="1" thickBot="1" x14ac:dyDescent="0.3">
      <c r="A706" s="108"/>
      <c r="B706" s="108"/>
      <c r="C706" s="108"/>
      <c r="D706" s="108"/>
    </row>
    <row r="707" spans="1:4" ht="20.25" customHeight="1" x14ac:dyDescent="0.25">
      <c r="A707" s="105"/>
      <c r="B707" s="111"/>
      <c r="C707" s="112"/>
      <c r="D707" s="113"/>
    </row>
    <row r="708" spans="1:4" ht="20.25" customHeight="1" x14ac:dyDescent="0.25">
      <c r="A708" s="105"/>
      <c r="B708" s="114"/>
      <c r="C708" s="109"/>
      <c r="D708" s="115"/>
    </row>
    <row r="709" spans="1:4" ht="20.25" customHeight="1" x14ac:dyDescent="0.25">
      <c r="A709" s="105"/>
      <c r="B709" s="114"/>
      <c r="C709" s="109"/>
      <c r="D709" s="115"/>
    </row>
    <row r="710" spans="1:4" ht="20.25" customHeight="1" x14ac:dyDescent="0.25">
      <c r="A710" s="105"/>
      <c r="B710" s="114"/>
      <c r="C710" s="109"/>
      <c r="D710" s="115"/>
    </row>
    <row r="711" spans="1:4" ht="20.25" customHeight="1" x14ac:dyDescent="0.25">
      <c r="A711" s="105"/>
      <c r="B711" s="114"/>
      <c r="C711" s="109"/>
      <c r="D711" s="115"/>
    </row>
    <row r="712" spans="1:4" ht="20.25" customHeight="1" x14ac:dyDescent="0.25">
      <c r="A712" s="105"/>
      <c r="B712" s="114"/>
      <c r="C712" s="109"/>
      <c r="D712" s="115"/>
    </row>
    <row r="713" spans="1:4" ht="20.25" customHeight="1" x14ac:dyDescent="0.25">
      <c r="A713" s="105"/>
      <c r="B713" s="114"/>
      <c r="C713" s="109"/>
      <c r="D713" s="115"/>
    </row>
    <row r="714" spans="1:4" ht="20.25" customHeight="1" x14ac:dyDescent="0.25">
      <c r="A714" s="105"/>
      <c r="B714" s="114"/>
      <c r="C714" s="109"/>
      <c r="D714" s="115"/>
    </row>
    <row r="715" spans="1:4" ht="20.25" customHeight="1" thickBot="1" x14ac:dyDescent="0.3">
      <c r="A715" s="73"/>
      <c r="B715" s="116"/>
      <c r="C715" s="117"/>
      <c r="D715" s="118"/>
    </row>
    <row r="716" spans="1:4" ht="20.25" customHeight="1" thickBot="1" x14ac:dyDescent="0.3">
      <c r="A716" s="98"/>
      <c r="B716" s="100"/>
      <c r="C716" s="100"/>
      <c r="D716" s="76"/>
    </row>
    <row r="717" spans="1:4" ht="20.25" customHeight="1" x14ac:dyDescent="0.25">
      <c r="A717" s="91"/>
      <c r="B717" s="92"/>
      <c r="C717" s="92"/>
      <c r="D717" s="104"/>
    </row>
    <row r="718" spans="1:4" ht="20.25" customHeight="1" thickBot="1" x14ac:dyDescent="0.3">
      <c r="A718" s="73"/>
      <c r="B718" s="74"/>
      <c r="C718" s="74"/>
      <c r="D718" s="75"/>
    </row>
    <row r="719" spans="1:4" ht="20.25" customHeight="1" thickBot="1" x14ac:dyDescent="0.3">
      <c r="A719" s="98"/>
      <c r="B719" s="76"/>
      <c r="C719" s="98"/>
      <c r="D719" s="76"/>
    </row>
    <row r="720" spans="1:4" ht="20.25" customHeight="1" thickBot="1" x14ac:dyDescent="0.3">
      <c r="A720" s="110"/>
      <c r="B720" s="98"/>
      <c r="C720" s="76"/>
      <c r="D720" s="110"/>
    </row>
    <row r="721" spans="1:22" ht="20.25" customHeight="1" thickBot="1" x14ac:dyDescent="0.3">
      <c r="A721" s="110"/>
      <c r="B721" s="106"/>
      <c r="C721" s="74"/>
      <c r="D721" s="107"/>
      <c r="T721" s="95"/>
      <c r="V721" s="95"/>
    </row>
    <row r="722" spans="1:22" ht="20.25" customHeight="1" thickBot="1" x14ac:dyDescent="0.3">
      <c r="A722" s="98"/>
      <c r="B722" s="76"/>
      <c r="C722" s="98"/>
      <c r="D722" s="76"/>
    </row>
    <row r="723" spans="1:22" ht="20.25" customHeight="1" thickBot="1" x14ac:dyDescent="0.3">
      <c r="A723" s="98"/>
      <c r="B723" s="76"/>
      <c r="C723" s="98"/>
      <c r="D723" s="76"/>
      <c r="U723" s="95"/>
      <c r="V723" s="95"/>
    </row>
    <row r="724" spans="1:22" ht="20.25" customHeight="1" thickBot="1" x14ac:dyDescent="0.3">
      <c r="A724" s="98"/>
      <c r="B724" s="76"/>
      <c r="C724" s="98"/>
      <c r="D724" s="76"/>
    </row>
    <row r="725" spans="1:22" ht="20.25" customHeight="1" thickBot="1" x14ac:dyDescent="0.3">
      <c r="A725" s="105"/>
      <c r="B725" s="64"/>
      <c r="C725" s="64"/>
      <c r="D725" s="72"/>
    </row>
    <row r="726" spans="1:22" ht="20.25" customHeight="1" thickBot="1" x14ac:dyDescent="0.3">
      <c r="A726" s="108"/>
      <c r="B726" s="108"/>
      <c r="C726" s="108"/>
      <c r="D726" s="108"/>
    </row>
    <row r="727" spans="1:22" ht="20.25" customHeight="1" x14ac:dyDescent="0.25">
      <c r="A727" s="105"/>
      <c r="B727" s="111"/>
      <c r="C727" s="112"/>
      <c r="D727" s="113"/>
    </row>
    <row r="728" spans="1:22" ht="20.25" customHeight="1" x14ac:dyDescent="0.25">
      <c r="A728" s="105"/>
      <c r="B728" s="114"/>
      <c r="C728" s="109"/>
      <c r="D728" s="115"/>
    </row>
    <row r="729" spans="1:22" ht="20.25" customHeight="1" x14ac:dyDescent="0.25">
      <c r="A729" s="105"/>
      <c r="B729" s="114"/>
      <c r="C729" s="109"/>
      <c r="D729" s="115"/>
    </row>
    <row r="730" spans="1:22" ht="20.25" customHeight="1" x14ac:dyDescent="0.25">
      <c r="A730" s="105"/>
      <c r="B730" s="114"/>
      <c r="C730" s="109"/>
      <c r="D730" s="115"/>
    </row>
    <row r="731" spans="1:22" ht="20.25" customHeight="1" x14ac:dyDescent="0.25">
      <c r="A731" s="105"/>
      <c r="B731" s="114"/>
      <c r="C731" s="109"/>
      <c r="D731" s="115"/>
    </row>
    <row r="732" spans="1:22" ht="20.25" customHeight="1" x14ac:dyDescent="0.25">
      <c r="A732" s="105"/>
      <c r="B732" s="114"/>
      <c r="C732" s="109"/>
      <c r="D732" s="115"/>
    </row>
    <row r="733" spans="1:22" ht="20.25" customHeight="1" x14ac:dyDescent="0.25">
      <c r="A733" s="105"/>
      <c r="B733" s="114"/>
      <c r="C733" s="109"/>
      <c r="D733" s="115"/>
    </row>
    <row r="734" spans="1:22" ht="20.25" customHeight="1" x14ac:dyDescent="0.25">
      <c r="A734" s="105"/>
      <c r="B734" s="114"/>
      <c r="C734" s="109"/>
      <c r="D734" s="115"/>
    </row>
    <row r="735" spans="1:22" ht="20.25" customHeight="1" thickBot="1" x14ac:dyDescent="0.3">
      <c r="A735" s="73"/>
      <c r="B735" s="116"/>
      <c r="C735" s="117"/>
      <c r="D735" s="118"/>
    </row>
    <row r="736" spans="1:22" ht="20.25" customHeight="1" thickBot="1" x14ac:dyDescent="0.3">
      <c r="A736" s="98"/>
      <c r="B736" s="100"/>
      <c r="C736" s="100"/>
      <c r="D736" s="76"/>
    </row>
    <row r="737" spans="1:22" ht="20.25" customHeight="1" x14ac:dyDescent="0.25">
      <c r="A737" s="91"/>
      <c r="B737" s="92"/>
      <c r="C737" s="92"/>
      <c r="D737" s="104"/>
    </row>
    <row r="738" spans="1:22" ht="20.25" customHeight="1" thickBot="1" x14ac:dyDescent="0.3">
      <c r="A738" s="73"/>
      <c r="B738" s="74"/>
      <c r="C738" s="74"/>
      <c r="D738" s="75"/>
    </row>
    <row r="739" spans="1:22" ht="20.25" customHeight="1" thickBot="1" x14ac:dyDescent="0.3">
      <c r="A739" s="98"/>
      <c r="B739" s="76"/>
      <c r="C739" s="98"/>
      <c r="D739" s="76"/>
    </row>
    <row r="740" spans="1:22" ht="20.25" customHeight="1" thickBot="1" x14ac:dyDescent="0.3">
      <c r="A740" s="110"/>
      <c r="B740" s="98"/>
      <c r="C740" s="76"/>
      <c r="D740" s="110"/>
    </row>
    <row r="741" spans="1:22" ht="20.25" customHeight="1" thickBot="1" x14ac:dyDescent="0.3">
      <c r="A741" s="110"/>
      <c r="B741" s="106"/>
      <c r="C741" s="74"/>
      <c r="D741" s="107"/>
      <c r="T741" s="95"/>
      <c r="V741" s="95"/>
    </row>
    <row r="742" spans="1:22" ht="20.25" customHeight="1" thickBot="1" x14ac:dyDescent="0.3">
      <c r="A742" s="98"/>
      <c r="B742" s="76"/>
      <c r="C742" s="98"/>
      <c r="D742" s="76"/>
    </row>
    <row r="743" spans="1:22" ht="20.25" customHeight="1" thickBot="1" x14ac:dyDescent="0.3">
      <c r="A743" s="98"/>
      <c r="B743" s="76"/>
      <c r="C743" s="98"/>
      <c r="D743" s="76"/>
      <c r="U743" s="95"/>
      <c r="V743" s="95"/>
    </row>
    <row r="744" spans="1:22" ht="20.25" customHeight="1" thickBot="1" x14ac:dyDescent="0.3">
      <c r="A744" s="98"/>
      <c r="B744" s="76"/>
      <c r="C744" s="98"/>
      <c r="D744" s="76"/>
    </row>
    <row r="745" spans="1:22" ht="20.25" customHeight="1" thickBot="1" x14ac:dyDescent="0.3">
      <c r="A745" s="105"/>
      <c r="B745" s="64"/>
      <c r="C745" s="64"/>
      <c r="D745" s="72"/>
    </row>
    <row r="746" spans="1:22" ht="20.25" customHeight="1" thickBot="1" x14ac:dyDescent="0.3">
      <c r="A746" s="108"/>
      <c r="B746" s="108"/>
      <c r="C746" s="108"/>
      <c r="D746" s="108"/>
    </row>
    <row r="747" spans="1:22" ht="20.25" customHeight="1" x14ac:dyDescent="0.25">
      <c r="A747" s="105"/>
      <c r="B747" s="111"/>
      <c r="C747" s="112"/>
      <c r="D747" s="113"/>
    </row>
    <row r="748" spans="1:22" ht="20.25" customHeight="1" x14ac:dyDescent="0.25">
      <c r="A748" s="105"/>
      <c r="B748" s="114"/>
      <c r="C748" s="109"/>
      <c r="D748" s="115"/>
    </row>
    <row r="749" spans="1:22" ht="20.25" customHeight="1" x14ac:dyDescent="0.25">
      <c r="A749" s="105"/>
      <c r="B749" s="114"/>
      <c r="C749" s="109"/>
      <c r="D749" s="115"/>
    </row>
    <row r="750" spans="1:22" ht="20.25" customHeight="1" x14ac:dyDescent="0.25">
      <c r="A750" s="105"/>
      <c r="B750" s="114"/>
      <c r="C750" s="109"/>
      <c r="D750" s="115"/>
    </row>
    <row r="751" spans="1:22" ht="20.25" customHeight="1" x14ac:dyDescent="0.25">
      <c r="A751" s="105"/>
      <c r="B751" s="114"/>
      <c r="C751" s="109"/>
      <c r="D751" s="115"/>
    </row>
    <row r="752" spans="1:22" ht="20.25" customHeight="1" x14ac:dyDescent="0.25">
      <c r="A752" s="105"/>
      <c r="B752" s="114"/>
      <c r="C752" s="109"/>
      <c r="D752" s="115"/>
    </row>
    <row r="753" spans="1:22" ht="20.25" customHeight="1" x14ac:dyDescent="0.25">
      <c r="A753" s="105"/>
      <c r="B753" s="114"/>
      <c r="C753" s="109"/>
      <c r="D753" s="115"/>
    </row>
    <row r="754" spans="1:22" ht="20.25" customHeight="1" x14ac:dyDescent="0.25">
      <c r="A754" s="105"/>
      <c r="B754" s="114"/>
      <c r="C754" s="109"/>
      <c r="D754" s="115"/>
    </row>
    <row r="755" spans="1:22" ht="20.25" customHeight="1" thickBot="1" x14ac:dyDescent="0.3">
      <c r="A755" s="73"/>
      <c r="B755" s="116"/>
      <c r="C755" s="117"/>
      <c r="D755" s="118"/>
    </row>
    <row r="756" spans="1:22" ht="20.25" customHeight="1" thickBot="1" x14ac:dyDescent="0.3">
      <c r="A756" s="98"/>
      <c r="B756" s="100"/>
      <c r="C756" s="100"/>
      <c r="D756" s="76"/>
    </row>
    <row r="757" spans="1:22" ht="20.25" customHeight="1" x14ac:dyDescent="0.25">
      <c r="A757" s="91"/>
      <c r="B757" s="92"/>
      <c r="C757" s="92"/>
      <c r="D757" s="104"/>
    </row>
    <row r="758" spans="1:22" ht="20.25" customHeight="1" thickBot="1" x14ac:dyDescent="0.3">
      <c r="A758" s="73"/>
      <c r="B758" s="74"/>
      <c r="C758" s="74"/>
      <c r="D758" s="75"/>
    </row>
    <row r="759" spans="1:22" ht="20.25" customHeight="1" thickBot="1" x14ac:dyDescent="0.3">
      <c r="A759" s="98"/>
      <c r="B759" s="76"/>
      <c r="C759" s="98"/>
      <c r="D759" s="76"/>
    </row>
    <row r="760" spans="1:22" ht="20.25" customHeight="1" thickBot="1" x14ac:dyDescent="0.3">
      <c r="A760" s="110"/>
      <c r="B760" s="98"/>
      <c r="C760" s="76"/>
      <c r="D760" s="110"/>
    </row>
    <row r="761" spans="1:22" ht="20.25" customHeight="1" thickBot="1" x14ac:dyDescent="0.3">
      <c r="A761" s="110"/>
      <c r="B761" s="106"/>
      <c r="C761" s="74"/>
      <c r="D761" s="107"/>
      <c r="T761" s="95"/>
      <c r="V761" s="95"/>
    </row>
    <row r="762" spans="1:22" ht="20.25" customHeight="1" thickBot="1" x14ac:dyDescent="0.3">
      <c r="A762" s="98"/>
      <c r="B762" s="76"/>
      <c r="C762" s="98"/>
      <c r="D762" s="76"/>
    </row>
    <row r="763" spans="1:22" ht="20.25" customHeight="1" thickBot="1" x14ac:dyDescent="0.3">
      <c r="A763" s="98"/>
      <c r="B763" s="76"/>
      <c r="C763" s="98"/>
      <c r="D763" s="76"/>
      <c r="U763" s="95"/>
      <c r="V763" s="95"/>
    </row>
    <row r="764" spans="1:22" ht="20.25" customHeight="1" thickBot="1" x14ac:dyDescent="0.3">
      <c r="A764" s="98"/>
      <c r="B764" s="76"/>
      <c r="C764" s="98"/>
      <c r="D764" s="76"/>
    </row>
    <row r="765" spans="1:22" ht="20.25" customHeight="1" thickBot="1" x14ac:dyDescent="0.3">
      <c r="A765" s="105"/>
      <c r="B765" s="64"/>
      <c r="C765" s="64"/>
      <c r="D765" s="72"/>
    </row>
    <row r="766" spans="1:22" ht="20.25" customHeight="1" thickBot="1" x14ac:dyDescent="0.3">
      <c r="A766" s="108"/>
      <c r="B766" s="108"/>
      <c r="C766" s="108"/>
      <c r="D766" s="108"/>
    </row>
    <row r="767" spans="1:22" ht="20.25" customHeight="1" x14ac:dyDescent="0.25">
      <c r="A767" s="105"/>
      <c r="B767" s="111"/>
      <c r="C767" s="112"/>
      <c r="D767" s="113"/>
    </row>
    <row r="768" spans="1:22" ht="20.25" customHeight="1" x14ac:dyDescent="0.25">
      <c r="A768" s="105"/>
      <c r="B768" s="114"/>
      <c r="C768" s="109"/>
      <c r="D768" s="115"/>
    </row>
    <row r="769" spans="1:22" ht="20.25" customHeight="1" x14ac:dyDescent="0.25">
      <c r="A769" s="105"/>
      <c r="B769" s="114"/>
      <c r="C769" s="109"/>
      <c r="D769" s="115"/>
    </row>
    <row r="770" spans="1:22" ht="20.25" customHeight="1" x14ac:dyDescent="0.25">
      <c r="A770" s="105"/>
      <c r="B770" s="114"/>
      <c r="C770" s="109"/>
      <c r="D770" s="115"/>
    </row>
    <row r="771" spans="1:22" ht="20.25" customHeight="1" x14ac:dyDescent="0.25">
      <c r="A771" s="105"/>
      <c r="B771" s="114"/>
      <c r="C771" s="109"/>
      <c r="D771" s="115"/>
    </row>
    <row r="772" spans="1:22" ht="20.25" customHeight="1" x14ac:dyDescent="0.25">
      <c r="A772" s="105"/>
      <c r="B772" s="114"/>
      <c r="C772" s="109"/>
      <c r="D772" s="115"/>
    </row>
    <row r="773" spans="1:22" ht="20.25" customHeight="1" x14ac:dyDescent="0.25">
      <c r="A773" s="105"/>
      <c r="B773" s="114"/>
      <c r="C773" s="109"/>
      <c r="D773" s="115"/>
    </row>
    <row r="774" spans="1:22" ht="20.25" customHeight="1" x14ac:dyDescent="0.25">
      <c r="A774" s="105"/>
      <c r="B774" s="114"/>
      <c r="C774" s="109"/>
      <c r="D774" s="115"/>
    </row>
    <row r="775" spans="1:22" ht="20.25" customHeight="1" thickBot="1" x14ac:dyDescent="0.3">
      <c r="A775" s="73"/>
      <c r="B775" s="116"/>
      <c r="C775" s="117"/>
      <c r="D775" s="118"/>
    </row>
    <row r="776" spans="1:22" ht="20.25" customHeight="1" thickBot="1" x14ac:dyDescent="0.3">
      <c r="A776" s="98"/>
      <c r="B776" s="100"/>
      <c r="C776" s="100"/>
      <c r="D776" s="76"/>
    </row>
    <row r="777" spans="1:22" ht="20.25" customHeight="1" x14ac:dyDescent="0.25">
      <c r="A777" s="91"/>
      <c r="B777" s="92"/>
      <c r="C777" s="92"/>
      <c r="D777" s="104"/>
    </row>
    <row r="778" spans="1:22" ht="20.25" customHeight="1" thickBot="1" x14ac:dyDescent="0.3">
      <c r="A778" s="73"/>
      <c r="B778" s="74"/>
      <c r="C778" s="74"/>
      <c r="D778" s="75"/>
    </row>
    <row r="779" spans="1:22" ht="20.25" customHeight="1" thickBot="1" x14ac:dyDescent="0.3">
      <c r="A779" s="98"/>
      <c r="B779" s="76"/>
      <c r="C779" s="98"/>
      <c r="D779" s="76"/>
    </row>
    <row r="780" spans="1:22" ht="20.25" customHeight="1" thickBot="1" x14ac:dyDescent="0.3">
      <c r="A780" s="110"/>
      <c r="B780" s="98"/>
      <c r="C780" s="76"/>
      <c r="D780" s="110"/>
    </row>
    <row r="781" spans="1:22" ht="20.25" customHeight="1" thickBot="1" x14ac:dyDescent="0.3">
      <c r="A781" s="110"/>
      <c r="B781" s="106"/>
      <c r="C781" s="74"/>
      <c r="D781" s="107"/>
      <c r="T781" s="95"/>
      <c r="V781" s="95"/>
    </row>
    <row r="782" spans="1:22" ht="20.25" customHeight="1" thickBot="1" x14ac:dyDescent="0.3">
      <c r="A782" s="98"/>
      <c r="B782" s="76"/>
      <c r="C782" s="98"/>
      <c r="D782" s="76"/>
    </row>
    <row r="783" spans="1:22" ht="20.25" customHeight="1" thickBot="1" x14ac:dyDescent="0.3">
      <c r="A783" s="98"/>
      <c r="B783" s="76"/>
      <c r="C783" s="98"/>
      <c r="D783" s="76"/>
      <c r="U783" s="95"/>
      <c r="V783" s="95"/>
    </row>
    <row r="784" spans="1:22" ht="20.25" customHeight="1" thickBot="1" x14ac:dyDescent="0.3">
      <c r="A784" s="98"/>
      <c r="B784" s="76"/>
      <c r="C784" s="98"/>
      <c r="D784" s="76"/>
    </row>
    <row r="785" spans="1:4" ht="20.25" customHeight="1" thickBot="1" x14ac:dyDescent="0.3">
      <c r="A785" s="105"/>
      <c r="B785" s="64"/>
      <c r="C785" s="64"/>
      <c r="D785" s="72"/>
    </row>
    <row r="786" spans="1:4" ht="20.25" customHeight="1" thickBot="1" x14ac:dyDescent="0.3">
      <c r="A786" s="108"/>
      <c r="B786" s="108"/>
      <c r="C786" s="108"/>
      <c r="D786" s="108"/>
    </row>
    <row r="787" spans="1:4" ht="20.25" customHeight="1" x14ac:dyDescent="0.25">
      <c r="A787" s="105"/>
      <c r="B787" s="111"/>
      <c r="C787" s="112"/>
      <c r="D787" s="113"/>
    </row>
    <row r="788" spans="1:4" ht="20.25" customHeight="1" x14ac:dyDescent="0.25">
      <c r="A788" s="105"/>
      <c r="B788" s="114"/>
      <c r="C788" s="109"/>
      <c r="D788" s="115"/>
    </row>
    <row r="789" spans="1:4" ht="20.25" customHeight="1" x14ac:dyDescent="0.25">
      <c r="A789" s="105"/>
      <c r="B789" s="114"/>
      <c r="C789" s="109"/>
      <c r="D789" s="115"/>
    </row>
    <row r="790" spans="1:4" ht="20.25" customHeight="1" x14ac:dyDescent="0.25">
      <c r="A790" s="105"/>
      <c r="B790" s="114"/>
      <c r="C790" s="109"/>
      <c r="D790" s="115"/>
    </row>
    <row r="791" spans="1:4" ht="20.25" customHeight="1" x14ac:dyDescent="0.25">
      <c r="A791" s="105"/>
      <c r="B791" s="114"/>
      <c r="C791" s="109"/>
      <c r="D791" s="115"/>
    </row>
    <row r="792" spans="1:4" ht="20.25" customHeight="1" x14ac:dyDescent="0.25">
      <c r="A792" s="105"/>
      <c r="B792" s="114"/>
      <c r="C792" s="109"/>
      <c r="D792" s="115"/>
    </row>
    <row r="793" spans="1:4" ht="20.25" customHeight="1" x14ac:dyDescent="0.25">
      <c r="A793" s="105"/>
      <c r="B793" s="114"/>
      <c r="C793" s="109"/>
      <c r="D793" s="115"/>
    </row>
    <row r="794" spans="1:4" ht="20.25" customHeight="1" x14ac:dyDescent="0.25">
      <c r="A794" s="105"/>
      <c r="B794" s="114"/>
      <c r="C794" s="109"/>
      <c r="D794" s="115"/>
    </row>
    <row r="795" spans="1:4" ht="20.25" customHeight="1" thickBot="1" x14ac:dyDescent="0.3">
      <c r="A795" s="73"/>
      <c r="B795" s="116"/>
      <c r="C795" s="117"/>
      <c r="D795" s="118"/>
    </row>
    <row r="796" spans="1:4" ht="20.25" customHeight="1" thickBot="1" x14ac:dyDescent="0.3">
      <c r="A796" s="98"/>
      <c r="B796" s="100"/>
      <c r="C796" s="100"/>
      <c r="D796" s="76"/>
    </row>
    <row r="797" spans="1:4" ht="20.25" customHeight="1" x14ac:dyDescent="0.25">
      <c r="A797" s="91"/>
      <c r="B797" s="92"/>
      <c r="C797" s="92"/>
      <c r="D797" s="104"/>
    </row>
    <row r="798" spans="1:4" ht="20.25" customHeight="1" thickBot="1" x14ac:dyDescent="0.3">
      <c r="A798" s="73"/>
      <c r="B798" s="74"/>
      <c r="C798" s="74"/>
      <c r="D798" s="75"/>
    </row>
    <row r="799" spans="1:4" ht="20.25" customHeight="1" thickBot="1" x14ac:dyDescent="0.3">
      <c r="A799" s="98"/>
      <c r="B799" s="76"/>
      <c r="C799" s="98"/>
      <c r="D799" s="76"/>
    </row>
    <row r="800" spans="1:4" ht="20.25" customHeight="1" thickBot="1" x14ac:dyDescent="0.3">
      <c r="A800" s="110"/>
      <c r="B800" s="98"/>
      <c r="C800" s="76"/>
      <c r="D800" s="110"/>
    </row>
    <row r="801" spans="1:22" ht="20.25" customHeight="1" thickBot="1" x14ac:dyDescent="0.3">
      <c r="A801" s="110"/>
      <c r="B801" s="106"/>
      <c r="C801" s="74"/>
      <c r="D801" s="107"/>
      <c r="T801" s="95"/>
      <c r="V801" s="95"/>
    </row>
    <row r="802" spans="1:22" ht="20.25" customHeight="1" thickBot="1" x14ac:dyDescent="0.3">
      <c r="A802" s="98"/>
      <c r="B802" s="76"/>
      <c r="C802" s="98"/>
      <c r="D802" s="76"/>
    </row>
    <row r="803" spans="1:22" ht="20.25" customHeight="1" thickBot="1" x14ac:dyDescent="0.3">
      <c r="A803" s="98"/>
      <c r="B803" s="76"/>
      <c r="C803" s="98"/>
      <c r="D803" s="76"/>
      <c r="U803" s="95"/>
      <c r="V803" s="95"/>
    </row>
    <row r="804" spans="1:22" ht="20.25" customHeight="1" thickBot="1" x14ac:dyDescent="0.3">
      <c r="A804" s="98"/>
      <c r="B804" s="76"/>
      <c r="C804" s="98"/>
      <c r="D804" s="76"/>
    </row>
    <row r="805" spans="1:22" ht="20.25" customHeight="1" thickBot="1" x14ac:dyDescent="0.3">
      <c r="A805" s="105"/>
      <c r="B805" s="64"/>
      <c r="C805" s="64"/>
      <c r="D805" s="72"/>
    </row>
    <row r="806" spans="1:22" ht="20.25" customHeight="1" thickBot="1" x14ac:dyDescent="0.3">
      <c r="A806" s="108"/>
      <c r="B806" s="108"/>
      <c r="C806" s="108"/>
      <c r="D806" s="108"/>
    </row>
    <row r="807" spans="1:22" ht="20.25" customHeight="1" x14ac:dyDescent="0.25">
      <c r="A807" s="105"/>
      <c r="B807" s="111"/>
      <c r="C807" s="112"/>
      <c r="D807" s="113"/>
    </row>
    <row r="808" spans="1:22" ht="20.25" customHeight="1" x14ac:dyDescent="0.25">
      <c r="A808" s="105"/>
      <c r="B808" s="114"/>
      <c r="C808" s="109"/>
      <c r="D808" s="115"/>
    </row>
    <row r="809" spans="1:22" ht="20.25" customHeight="1" x14ac:dyDescent="0.25">
      <c r="A809" s="105"/>
      <c r="B809" s="114"/>
      <c r="C809" s="109"/>
      <c r="D809" s="115"/>
    </row>
    <row r="810" spans="1:22" ht="20.25" customHeight="1" x14ac:dyDescent="0.25">
      <c r="A810" s="105"/>
      <c r="B810" s="114"/>
      <c r="C810" s="109"/>
      <c r="D810" s="115"/>
    </row>
    <row r="811" spans="1:22" ht="20.25" customHeight="1" x14ac:dyDescent="0.25">
      <c r="A811" s="105"/>
      <c r="B811" s="114"/>
      <c r="C811" s="109"/>
      <c r="D811" s="115"/>
    </row>
    <row r="812" spans="1:22" ht="20.25" customHeight="1" x14ac:dyDescent="0.25">
      <c r="A812" s="105"/>
      <c r="B812" s="114"/>
      <c r="C812" s="109"/>
      <c r="D812" s="115"/>
    </row>
    <row r="813" spans="1:22" ht="20.25" customHeight="1" x14ac:dyDescent="0.25">
      <c r="A813" s="105"/>
      <c r="B813" s="114"/>
      <c r="C813" s="109"/>
      <c r="D813" s="115"/>
    </row>
    <row r="814" spans="1:22" ht="20.25" customHeight="1" x14ac:dyDescent="0.25">
      <c r="A814" s="105"/>
      <c r="B814" s="114"/>
      <c r="C814" s="109"/>
      <c r="D814" s="115"/>
    </row>
    <row r="815" spans="1:22" ht="20.25" customHeight="1" thickBot="1" x14ac:dyDescent="0.3">
      <c r="A815" s="73"/>
      <c r="B815" s="116"/>
      <c r="C815" s="117"/>
      <c r="D815" s="118"/>
    </row>
    <row r="816" spans="1:22" ht="20.25" customHeight="1" thickBot="1" x14ac:dyDescent="0.3">
      <c r="A816" s="98"/>
      <c r="B816" s="100"/>
      <c r="C816" s="100"/>
      <c r="D816" s="76"/>
    </row>
    <row r="817" spans="1:22" ht="20.25" customHeight="1" x14ac:dyDescent="0.25">
      <c r="A817" s="91"/>
      <c r="B817" s="92"/>
      <c r="C817" s="92"/>
      <c r="D817" s="104"/>
    </row>
    <row r="818" spans="1:22" ht="20.25" customHeight="1" thickBot="1" x14ac:dyDescent="0.3">
      <c r="A818" s="73"/>
      <c r="B818" s="74"/>
      <c r="C818" s="74"/>
      <c r="D818" s="75"/>
    </row>
    <row r="819" spans="1:22" ht="20.25" customHeight="1" thickBot="1" x14ac:dyDescent="0.3">
      <c r="A819" s="98"/>
      <c r="B819" s="76"/>
      <c r="C819" s="98"/>
      <c r="D819" s="76"/>
    </row>
    <row r="820" spans="1:22" ht="20.25" customHeight="1" thickBot="1" x14ac:dyDescent="0.3">
      <c r="A820" s="110"/>
      <c r="B820" s="98"/>
      <c r="C820" s="76"/>
      <c r="D820" s="110"/>
    </row>
    <row r="821" spans="1:22" ht="20.25" customHeight="1" thickBot="1" x14ac:dyDescent="0.3">
      <c r="A821" s="110"/>
      <c r="B821" s="106"/>
      <c r="C821" s="74"/>
      <c r="D821" s="107"/>
      <c r="T821" s="95"/>
      <c r="V821" s="95"/>
    </row>
    <row r="822" spans="1:22" ht="20.25" customHeight="1" thickBot="1" x14ac:dyDescent="0.3">
      <c r="A822" s="98"/>
      <c r="B822" s="76"/>
      <c r="C822" s="98"/>
      <c r="D822" s="76"/>
    </row>
    <row r="823" spans="1:22" ht="20.25" customHeight="1" thickBot="1" x14ac:dyDescent="0.3">
      <c r="A823" s="98"/>
      <c r="B823" s="76"/>
      <c r="C823" s="98"/>
      <c r="D823" s="76"/>
      <c r="U823" s="95"/>
      <c r="V823" s="95"/>
    </row>
    <row r="824" spans="1:22" ht="20.25" customHeight="1" thickBot="1" x14ac:dyDescent="0.3">
      <c r="A824" s="98"/>
      <c r="B824" s="76"/>
      <c r="C824" s="98"/>
      <c r="D824" s="76"/>
    </row>
    <row r="825" spans="1:22" ht="20.25" customHeight="1" thickBot="1" x14ac:dyDescent="0.3">
      <c r="A825" s="105"/>
      <c r="B825" s="64"/>
      <c r="C825" s="64"/>
      <c r="D825" s="72"/>
    </row>
    <row r="826" spans="1:22" ht="20.25" customHeight="1" thickBot="1" x14ac:dyDescent="0.3">
      <c r="A826" s="108"/>
      <c r="B826" s="108"/>
      <c r="C826" s="108"/>
      <c r="D826" s="108"/>
    </row>
    <row r="827" spans="1:22" ht="20.25" customHeight="1" x14ac:dyDescent="0.25">
      <c r="A827" s="105"/>
      <c r="B827" s="111"/>
      <c r="C827" s="112"/>
      <c r="D827" s="113"/>
    </row>
    <row r="828" spans="1:22" ht="20.25" customHeight="1" x14ac:dyDescent="0.25">
      <c r="A828" s="105"/>
      <c r="B828" s="114"/>
      <c r="C828" s="109"/>
      <c r="D828" s="115"/>
    </row>
    <row r="829" spans="1:22" ht="20.25" customHeight="1" x14ac:dyDescent="0.25">
      <c r="A829" s="105"/>
      <c r="B829" s="114"/>
      <c r="C829" s="109"/>
      <c r="D829" s="115"/>
    </row>
    <row r="830" spans="1:22" ht="20.25" customHeight="1" x14ac:dyDescent="0.25">
      <c r="A830" s="105"/>
      <c r="B830" s="114"/>
      <c r="C830" s="109"/>
      <c r="D830" s="115"/>
    </row>
    <row r="831" spans="1:22" ht="20.25" customHeight="1" x14ac:dyDescent="0.25">
      <c r="A831" s="105"/>
      <c r="B831" s="114"/>
      <c r="C831" s="109"/>
      <c r="D831" s="115"/>
    </row>
    <row r="832" spans="1:22" ht="20.25" customHeight="1" x14ac:dyDescent="0.25">
      <c r="A832" s="105"/>
      <c r="B832" s="114"/>
      <c r="C832" s="109"/>
      <c r="D832" s="115"/>
    </row>
    <row r="833" spans="1:22" ht="20.25" customHeight="1" x14ac:dyDescent="0.25">
      <c r="A833" s="105"/>
      <c r="B833" s="114"/>
      <c r="C833" s="109"/>
      <c r="D833" s="115"/>
    </row>
    <row r="834" spans="1:22" ht="20.25" customHeight="1" x14ac:dyDescent="0.25">
      <c r="A834" s="105"/>
      <c r="B834" s="114"/>
      <c r="C834" s="109"/>
      <c r="D834" s="115"/>
    </row>
    <row r="835" spans="1:22" ht="20.25" customHeight="1" thickBot="1" x14ac:dyDescent="0.3">
      <c r="A835" s="73"/>
      <c r="B835" s="116"/>
      <c r="C835" s="117"/>
      <c r="D835" s="118"/>
    </row>
    <row r="836" spans="1:22" ht="20.25" customHeight="1" thickBot="1" x14ac:dyDescent="0.3">
      <c r="A836" s="98"/>
      <c r="B836" s="100"/>
      <c r="C836" s="100"/>
      <c r="D836" s="76"/>
    </row>
    <row r="837" spans="1:22" ht="20.25" customHeight="1" x14ac:dyDescent="0.25">
      <c r="A837" s="91"/>
      <c r="B837" s="92"/>
      <c r="C837" s="92"/>
      <c r="D837" s="104"/>
    </row>
    <row r="838" spans="1:22" ht="20.25" customHeight="1" thickBot="1" x14ac:dyDescent="0.3">
      <c r="A838" s="73"/>
      <c r="B838" s="74"/>
      <c r="C838" s="74"/>
      <c r="D838" s="75"/>
    </row>
    <row r="839" spans="1:22" ht="20.25" customHeight="1" thickBot="1" x14ac:dyDescent="0.3">
      <c r="A839" s="98"/>
      <c r="B839" s="76"/>
      <c r="C839" s="98"/>
      <c r="D839" s="76"/>
    </row>
    <row r="840" spans="1:22" ht="20.25" customHeight="1" thickBot="1" x14ac:dyDescent="0.3">
      <c r="A840" s="110"/>
      <c r="B840" s="98"/>
      <c r="C840" s="76"/>
      <c r="D840" s="110"/>
    </row>
    <row r="841" spans="1:22" ht="20.25" customHeight="1" thickBot="1" x14ac:dyDescent="0.3">
      <c r="A841" s="110"/>
      <c r="B841" s="106"/>
      <c r="C841" s="74"/>
      <c r="D841" s="107"/>
      <c r="T841" s="95"/>
      <c r="V841" s="95"/>
    </row>
    <row r="842" spans="1:22" ht="20.25" customHeight="1" thickBot="1" x14ac:dyDescent="0.3">
      <c r="A842" s="98"/>
      <c r="B842" s="76"/>
      <c r="C842" s="98"/>
      <c r="D842" s="76"/>
    </row>
    <row r="843" spans="1:22" ht="20.25" customHeight="1" thickBot="1" x14ac:dyDescent="0.3">
      <c r="A843" s="98"/>
      <c r="B843" s="76"/>
      <c r="C843" s="98"/>
      <c r="D843" s="76"/>
      <c r="U843" s="95"/>
      <c r="V843" s="95"/>
    </row>
    <row r="844" spans="1:22" ht="20.25" customHeight="1" thickBot="1" x14ac:dyDescent="0.3">
      <c r="A844" s="98"/>
      <c r="B844" s="76"/>
      <c r="C844" s="98"/>
      <c r="D844" s="76"/>
    </row>
    <row r="845" spans="1:22" ht="20.25" customHeight="1" thickBot="1" x14ac:dyDescent="0.3">
      <c r="A845" s="105"/>
      <c r="B845" s="64"/>
      <c r="C845" s="64"/>
      <c r="D845" s="72"/>
    </row>
    <row r="846" spans="1:22" ht="20.25" customHeight="1" thickBot="1" x14ac:dyDescent="0.3">
      <c r="A846" s="108"/>
      <c r="B846" s="108"/>
      <c r="C846" s="108"/>
      <c r="D846" s="108"/>
    </row>
    <row r="847" spans="1:22" ht="20.25" customHeight="1" x14ac:dyDescent="0.25">
      <c r="A847" s="105"/>
      <c r="B847" s="111"/>
      <c r="C847" s="112"/>
      <c r="D847" s="113"/>
    </row>
    <row r="848" spans="1:22" ht="20.25" customHeight="1" x14ac:dyDescent="0.25">
      <c r="A848" s="105"/>
      <c r="B848" s="114"/>
      <c r="C848" s="109"/>
      <c r="D848" s="115"/>
    </row>
    <row r="849" spans="1:22" ht="20.25" customHeight="1" x14ac:dyDescent="0.25">
      <c r="A849" s="105"/>
      <c r="B849" s="114"/>
      <c r="C849" s="109"/>
      <c r="D849" s="115"/>
    </row>
    <row r="850" spans="1:22" ht="20.25" customHeight="1" x14ac:dyDescent="0.25">
      <c r="A850" s="105"/>
      <c r="B850" s="114"/>
      <c r="C850" s="109"/>
      <c r="D850" s="115"/>
    </row>
    <row r="851" spans="1:22" ht="20.25" customHeight="1" x14ac:dyDescent="0.25">
      <c r="A851" s="105"/>
      <c r="B851" s="114"/>
      <c r="C851" s="109"/>
      <c r="D851" s="115"/>
    </row>
    <row r="852" spans="1:22" ht="20.25" customHeight="1" x14ac:dyDescent="0.25">
      <c r="A852" s="105"/>
      <c r="B852" s="114"/>
      <c r="C852" s="109"/>
      <c r="D852" s="115"/>
    </row>
    <row r="853" spans="1:22" ht="20.25" customHeight="1" x14ac:dyDescent="0.25">
      <c r="A853" s="105"/>
      <c r="B853" s="114"/>
      <c r="C853" s="109"/>
      <c r="D853" s="115"/>
    </row>
    <row r="854" spans="1:22" ht="20.25" customHeight="1" x14ac:dyDescent="0.25">
      <c r="A854" s="105"/>
      <c r="B854" s="114"/>
      <c r="C854" s="109"/>
      <c r="D854" s="115"/>
    </row>
    <row r="855" spans="1:22" ht="20.25" customHeight="1" thickBot="1" x14ac:dyDescent="0.3">
      <c r="A855" s="73"/>
      <c r="B855" s="116"/>
      <c r="C855" s="117"/>
      <c r="D855" s="118"/>
    </row>
    <row r="856" spans="1:22" ht="20.25" customHeight="1" thickBot="1" x14ac:dyDescent="0.3">
      <c r="A856" s="98"/>
      <c r="B856" s="100"/>
      <c r="C856" s="100"/>
      <c r="D856" s="76"/>
    </row>
    <row r="857" spans="1:22" ht="20.25" customHeight="1" x14ac:dyDescent="0.25">
      <c r="A857" s="91"/>
      <c r="B857" s="92"/>
      <c r="C857" s="92"/>
      <c r="D857" s="104"/>
    </row>
    <row r="858" spans="1:22" ht="20.25" customHeight="1" thickBot="1" x14ac:dyDescent="0.3">
      <c r="A858" s="73"/>
      <c r="B858" s="74"/>
      <c r="C858" s="74"/>
      <c r="D858" s="75"/>
    </row>
    <row r="859" spans="1:22" ht="20.25" customHeight="1" thickBot="1" x14ac:dyDescent="0.3">
      <c r="A859" s="98"/>
      <c r="B859" s="76"/>
      <c r="C859" s="98"/>
      <c r="D859" s="76"/>
    </row>
    <row r="860" spans="1:22" ht="20.25" customHeight="1" thickBot="1" x14ac:dyDescent="0.3">
      <c r="A860" s="110"/>
      <c r="B860" s="98"/>
      <c r="C860" s="76"/>
      <c r="D860" s="110"/>
    </row>
    <row r="861" spans="1:22" ht="20.25" customHeight="1" thickBot="1" x14ac:dyDescent="0.3">
      <c r="A861" s="110"/>
      <c r="B861" s="106"/>
      <c r="C861" s="74"/>
      <c r="D861" s="107"/>
      <c r="T861" s="95"/>
      <c r="V861" s="95"/>
    </row>
    <row r="862" spans="1:22" ht="20.25" customHeight="1" thickBot="1" x14ac:dyDescent="0.3">
      <c r="A862" s="98"/>
      <c r="B862" s="76"/>
      <c r="C862" s="98"/>
      <c r="D862" s="76"/>
    </row>
    <row r="863" spans="1:22" ht="20.25" customHeight="1" thickBot="1" x14ac:dyDescent="0.3">
      <c r="A863" s="98"/>
      <c r="B863" s="76"/>
      <c r="C863" s="98"/>
      <c r="D863" s="76"/>
      <c r="U863" s="95"/>
      <c r="V863" s="95"/>
    </row>
    <row r="864" spans="1:22" ht="20.25" customHeight="1" thickBot="1" x14ac:dyDescent="0.3">
      <c r="A864" s="98"/>
      <c r="B864" s="76"/>
      <c r="C864" s="98"/>
      <c r="D864" s="76"/>
    </row>
    <row r="865" spans="1:4" ht="20.25" customHeight="1" thickBot="1" x14ac:dyDescent="0.3">
      <c r="A865" s="105"/>
      <c r="B865" s="64"/>
      <c r="C865" s="64"/>
      <c r="D865" s="72"/>
    </row>
    <row r="866" spans="1:4" ht="20.25" customHeight="1" thickBot="1" x14ac:dyDescent="0.3">
      <c r="A866" s="108"/>
      <c r="B866" s="108"/>
      <c r="C866" s="108"/>
      <c r="D866" s="108"/>
    </row>
    <row r="867" spans="1:4" ht="20.25" customHeight="1" x14ac:dyDescent="0.25">
      <c r="A867" s="105"/>
      <c r="B867" s="111"/>
      <c r="C867" s="112"/>
      <c r="D867" s="113"/>
    </row>
    <row r="868" spans="1:4" ht="20.25" customHeight="1" x14ac:dyDescent="0.25">
      <c r="A868" s="105"/>
      <c r="B868" s="114"/>
      <c r="C868" s="109"/>
      <c r="D868" s="115"/>
    </row>
    <row r="869" spans="1:4" ht="20.25" customHeight="1" x14ac:dyDescent="0.25">
      <c r="A869" s="105"/>
      <c r="B869" s="114"/>
      <c r="C869" s="109"/>
      <c r="D869" s="115"/>
    </row>
    <row r="870" spans="1:4" ht="20.25" customHeight="1" x14ac:dyDescent="0.25">
      <c r="A870" s="105"/>
      <c r="B870" s="114"/>
      <c r="C870" s="109"/>
      <c r="D870" s="115"/>
    </row>
    <row r="871" spans="1:4" ht="20.25" customHeight="1" x14ac:dyDescent="0.25">
      <c r="A871" s="105"/>
      <c r="B871" s="114"/>
      <c r="C871" s="109"/>
      <c r="D871" s="115"/>
    </row>
    <row r="872" spans="1:4" ht="20.25" customHeight="1" x14ac:dyDescent="0.25">
      <c r="A872" s="105"/>
      <c r="B872" s="114"/>
      <c r="C872" s="109"/>
      <c r="D872" s="115"/>
    </row>
    <row r="873" spans="1:4" ht="20.25" customHeight="1" x14ac:dyDescent="0.25">
      <c r="A873" s="105"/>
      <c r="B873" s="114"/>
      <c r="C873" s="109"/>
      <c r="D873" s="115"/>
    </row>
    <row r="874" spans="1:4" ht="20.25" customHeight="1" x14ac:dyDescent="0.25">
      <c r="A874" s="105"/>
      <c r="B874" s="114"/>
      <c r="C874" s="109"/>
      <c r="D874" s="115"/>
    </row>
    <row r="875" spans="1:4" ht="20.25" customHeight="1" thickBot="1" x14ac:dyDescent="0.3">
      <c r="A875" s="73"/>
      <c r="B875" s="116"/>
      <c r="C875" s="117"/>
      <c r="D875" s="118"/>
    </row>
    <row r="876" spans="1:4" ht="20.25" customHeight="1" thickBot="1" x14ac:dyDescent="0.3">
      <c r="A876" s="98"/>
      <c r="B876" s="100"/>
      <c r="C876" s="100"/>
      <c r="D876" s="76"/>
    </row>
    <row r="877" spans="1:4" ht="20.25" customHeight="1" x14ac:dyDescent="0.25">
      <c r="A877" s="91"/>
      <c r="B877" s="92"/>
      <c r="C877" s="92"/>
      <c r="D877" s="104"/>
    </row>
    <row r="878" spans="1:4" ht="20.25" customHeight="1" thickBot="1" x14ac:dyDescent="0.3">
      <c r="A878" s="73"/>
      <c r="B878" s="74"/>
      <c r="C878" s="74"/>
      <c r="D878" s="75"/>
    </row>
    <row r="879" spans="1:4" ht="20.25" customHeight="1" thickBot="1" x14ac:dyDescent="0.3">
      <c r="A879" s="98"/>
      <c r="B879" s="76"/>
      <c r="C879" s="98"/>
      <c r="D879" s="76"/>
    </row>
    <row r="880" spans="1:4" ht="20.25" customHeight="1" thickBot="1" x14ac:dyDescent="0.3">
      <c r="A880" s="110"/>
      <c r="B880" s="98"/>
      <c r="C880" s="76"/>
      <c r="D880" s="110"/>
    </row>
    <row r="881" spans="1:22" ht="20.25" customHeight="1" thickBot="1" x14ac:dyDescent="0.3">
      <c r="A881" s="110"/>
      <c r="B881" s="106"/>
      <c r="C881" s="74"/>
      <c r="D881" s="107"/>
      <c r="T881" s="95"/>
      <c r="V881" s="95"/>
    </row>
    <row r="882" spans="1:22" ht="20.25" customHeight="1" thickBot="1" x14ac:dyDescent="0.3">
      <c r="A882" s="98"/>
      <c r="B882" s="76"/>
      <c r="C882" s="98"/>
      <c r="D882" s="76"/>
    </row>
    <row r="883" spans="1:22" ht="20.25" customHeight="1" thickBot="1" x14ac:dyDescent="0.3">
      <c r="A883" s="98"/>
      <c r="B883" s="76"/>
      <c r="C883" s="98"/>
      <c r="D883" s="76"/>
      <c r="U883" s="95"/>
      <c r="V883" s="95"/>
    </row>
    <row r="884" spans="1:22" ht="20.25" customHeight="1" thickBot="1" x14ac:dyDescent="0.3">
      <c r="A884" s="98"/>
      <c r="B884" s="76"/>
      <c r="C884" s="98"/>
      <c r="D884" s="76"/>
    </row>
    <row r="885" spans="1:22" ht="20.25" customHeight="1" thickBot="1" x14ac:dyDescent="0.3">
      <c r="A885" s="105"/>
      <c r="B885" s="64"/>
      <c r="C885" s="64"/>
      <c r="D885" s="72"/>
    </row>
    <row r="886" spans="1:22" ht="20.25" customHeight="1" thickBot="1" x14ac:dyDescent="0.3">
      <c r="A886" s="108"/>
      <c r="B886" s="108"/>
      <c r="C886" s="108"/>
      <c r="D886" s="108"/>
    </row>
    <row r="887" spans="1:22" ht="20.25" customHeight="1" x14ac:dyDescent="0.25">
      <c r="A887" s="105"/>
      <c r="B887" s="111"/>
      <c r="C887" s="112"/>
      <c r="D887" s="113"/>
    </row>
    <row r="888" spans="1:22" ht="20.25" customHeight="1" x14ac:dyDescent="0.25">
      <c r="A888" s="105"/>
      <c r="B888" s="114"/>
      <c r="C888" s="109"/>
      <c r="D888" s="115"/>
    </row>
    <row r="889" spans="1:22" ht="20.25" customHeight="1" x14ac:dyDescent="0.25">
      <c r="A889" s="105"/>
      <c r="B889" s="114"/>
      <c r="C889" s="109"/>
      <c r="D889" s="115"/>
    </row>
    <row r="890" spans="1:22" ht="20.25" customHeight="1" x14ac:dyDescent="0.25">
      <c r="A890" s="105"/>
      <c r="B890" s="114"/>
      <c r="C890" s="109"/>
      <c r="D890" s="115"/>
    </row>
    <row r="891" spans="1:22" ht="20.25" customHeight="1" x14ac:dyDescent="0.25">
      <c r="A891" s="105"/>
      <c r="B891" s="114"/>
      <c r="C891" s="109"/>
      <c r="D891" s="115"/>
    </row>
    <row r="892" spans="1:22" ht="20.25" customHeight="1" x14ac:dyDescent="0.25">
      <c r="A892" s="105"/>
      <c r="B892" s="114"/>
      <c r="C892" s="109"/>
      <c r="D892" s="115"/>
    </row>
    <row r="893" spans="1:22" ht="20.25" customHeight="1" x14ac:dyDescent="0.25">
      <c r="A893" s="105"/>
      <c r="B893" s="114"/>
      <c r="C893" s="109"/>
      <c r="D893" s="115"/>
    </row>
    <row r="894" spans="1:22" ht="20.25" customHeight="1" x14ac:dyDescent="0.25">
      <c r="A894" s="105"/>
      <c r="B894" s="114"/>
      <c r="C894" s="109"/>
      <c r="D894" s="115"/>
    </row>
    <row r="895" spans="1:22" ht="20.25" customHeight="1" thickBot="1" x14ac:dyDescent="0.3">
      <c r="A895" s="73"/>
      <c r="B895" s="116"/>
      <c r="C895" s="117"/>
      <c r="D895" s="118"/>
    </row>
    <row r="896" spans="1:22" ht="20.25" customHeight="1" thickBot="1" x14ac:dyDescent="0.3">
      <c r="A896" s="98"/>
      <c r="B896" s="100"/>
      <c r="C896" s="100"/>
      <c r="D896" s="76"/>
    </row>
    <row r="897" spans="1:22" ht="20.25" customHeight="1" x14ac:dyDescent="0.25">
      <c r="A897" s="91"/>
      <c r="B897" s="92"/>
      <c r="C897" s="92"/>
      <c r="D897" s="104"/>
    </row>
    <row r="898" spans="1:22" ht="20.25" customHeight="1" thickBot="1" x14ac:dyDescent="0.3">
      <c r="A898" s="73"/>
      <c r="B898" s="74"/>
      <c r="C898" s="74"/>
      <c r="D898" s="75"/>
    </row>
    <row r="899" spans="1:22" ht="20.25" customHeight="1" thickBot="1" x14ac:dyDescent="0.3">
      <c r="A899" s="98"/>
      <c r="B899" s="76"/>
      <c r="C899" s="98"/>
      <c r="D899" s="76"/>
    </row>
    <row r="900" spans="1:22" ht="20.25" customHeight="1" thickBot="1" x14ac:dyDescent="0.3">
      <c r="A900" s="110"/>
      <c r="B900" s="98"/>
      <c r="C900" s="76"/>
      <c r="D900" s="110"/>
    </row>
    <row r="901" spans="1:22" ht="20.25" customHeight="1" thickBot="1" x14ac:dyDescent="0.3">
      <c r="A901" s="110"/>
      <c r="B901" s="106"/>
      <c r="C901" s="74"/>
      <c r="D901" s="107"/>
      <c r="T901" s="95"/>
      <c r="V901" s="95"/>
    </row>
    <row r="902" spans="1:22" ht="20.25" customHeight="1" thickBot="1" x14ac:dyDescent="0.3">
      <c r="A902" s="98"/>
      <c r="B902" s="76"/>
      <c r="C902" s="98"/>
      <c r="D902" s="76"/>
    </row>
    <row r="903" spans="1:22" ht="20.25" customHeight="1" thickBot="1" x14ac:dyDescent="0.3">
      <c r="A903" s="98"/>
      <c r="B903" s="76"/>
      <c r="C903" s="98"/>
      <c r="D903" s="76"/>
      <c r="U903" s="95"/>
      <c r="V903" s="95"/>
    </row>
    <row r="904" spans="1:22" ht="20.25" customHeight="1" thickBot="1" x14ac:dyDescent="0.3">
      <c r="A904" s="98"/>
      <c r="B904" s="76"/>
      <c r="C904" s="98"/>
      <c r="D904" s="76"/>
    </row>
    <row r="905" spans="1:22" ht="20.25" customHeight="1" thickBot="1" x14ac:dyDescent="0.3">
      <c r="A905" s="105"/>
      <c r="B905" s="64"/>
      <c r="C905" s="64"/>
      <c r="D905" s="72"/>
    </row>
    <row r="906" spans="1:22" ht="20.25" customHeight="1" thickBot="1" x14ac:dyDescent="0.3">
      <c r="A906" s="108"/>
      <c r="B906" s="108"/>
      <c r="C906" s="108"/>
      <c r="D906" s="108"/>
    </row>
    <row r="907" spans="1:22" ht="20.25" customHeight="1" x14ac:dyDescent="0.25">
      <c r="A907" s="105"/>
      <c r="B907" s="111"/>
      <c r="C907" s="112"/>
      <c r="D907" s="113"/>
    </row>
    <row r="908" spans="1:22" ht="20.25" customHeight="1" x14ac:dyDescent="0.25">
      <c r="A908" s="105"/>
      <c r="B908" s="114"/>
      <c r="C908" s="109"/>
      <c r="D908" s="115"/>
    </row>
    <row r="909" spans="1:22" ht="20.25" customHeight="1" x14ac:dyDescent="0.25">
      <c r="A909" s="105"/>
      <c r="B909" s="114"/>
      <c r="C909" s="109"/>
      <c r="D909" s="115"/>
    </row>
    <row r="910" spans="1:22" ht="20.25" customHeight="1" x14ac:dyDescent="0.25">
      <c r="A910" s="105"/>
      <c r="B910" s="114"/>
      <c r="C910" s="109"/>
      <c r="D910" s="115"/>
    </row>
    <row r="911" spans="1:22" ht="20.25" customHeight="1" x14ac:dyDescent="0.25">
      <c r="A911" s="105"/>
      <c r="B911" s="114"/>
      <c r="C911" s="109"/>
      <c r="D911" s="115"/>
    </row>
    <row r="912" spans="1:22" ht="20.25" customHeight="1" x14ac:dyDescent="0.25">
      <c r="A912" s="105"/>
      <c r="B912" s="114"/>
      <c r="C912" s="109"/>
      <c r="D912" s="115"/>
    </row>
    <row r="913" spans="1:22" ht="20.25" customHeight="1" x14ac:dyDescent="0.25">
      <c r="A913" s="105"/>
      <c r="B913" s="114"/>
      <c r="C913" s="109"/>
      <c r="D913" s="115"/>
    </row>
    <row r="914" spans="1:22" ht="20.25" customHeight="1" x14ac:dyDescent="0.25">
      <c r="A914" s="105"/>
      <c r="B914" s="114"/>
      <c r="C914" s="109"/>
      <c r="D914" s="115"/>
    </row>
    <row r="915" spans="1:22" ht="20.25" customHeight="1" thickBot="1" x14ac:dyDescent="0.3">
      <c r="A915" s="73"/>
      <c r="B915" s="116"/>
      <c r="C915" s="117"/>
      <c r="D915" s="118"/>
    </row>
    <row r="916" spans="1:22" ht="20.25" customHeight="1" thickBot="1" x14ac:dyDescent="0.3">
      <c r="A916" s="98"/>
      <c r="B916" s="100"/>
      <c r="C916" s="100"/>
      <c r="D916" s="76"/>
    </row>
    <row r="917" spans="1:22" ht="20.25" customHeight="1" x14ac:dyDescent="0.25">
      <c r="A917" s="91"/>
      <c r="B917" s="92"/>
      <c r="C917" s="92"/>
      <c r="D917" s="104"/>
    </row>
    <row r="918" spans="1:22" ht="20.25" customHeight="1" thickBot="1" x14ac:dyDescent="0.3">
      <c r="A918" s="73"/>
      <c r="B918" s="74"/>
      <c r="C918" s="74"/>
      <c r="D918" s="75"/>
    </row>
    <row r="919" spans="1:22" ht="20.25" customHeight="1" thickBot="1" x14ac:dyDescent="0.3">
      <c r="A919" s="98"/>
      <c r="B919" s="76"/>
      <c r="C919" s="98"/>
      <c r="D919" s="76"/>
    </row>
    <row r="920" spans="1:22" ht="20.25" customHeight="1" thickBot="1" x14ac:dyDescent="0.3">
      <c r="A920" s="110"/>
      <c r="B920" s="98"/>
      <c r="C920" s="76"/>
      <c r="D920" s="110"/>
    </row>
    <row r="921" spans="1:22" ht="20.25" customHeight="1" thickBot="1" x14ac:dyDescent="0.3">
      <c r="A921" s="110"/>
      <c r="B921" s="106"/>
      <c r="C921" s="74"/>
      <c r="D921" s="107"/>
      <c r="T921" s="95"/>
      <c r="V921" s="95"/>
    </row>
    <row r="922" spans="1:22" ht="20.25" customHeight="1" thickBot="1" x14ac:dyDescent="0.3">
      <c r="A922" s="98"/>
      <c r="B922" s="76"/>
      <c r="C922" s="98"/>
      <c r="D922" s="76"/>
    </row>
    <row r="923" spans="1:22" ht="20.25" customHeight="1" thickBot="1" x14ac:dyDescent="0.3">
      <c r="A923" s="98"/>
      <c r="B923" s="76"/>
      <c r="C923" s="98"/>
      <c r="D923" s="76"/>
      <c r="U923" s="95"/>
      <c r="V923" s="95"/>
    </row>
    <row r="924" spans="1:22" ht="20.25" customHeight="1" thickBot="1" x14ac:dyDescent="0.3">
      <c r="A924" s="98"/>
      <c r="B924" s="76"/>
      <c r="C924" s="98"/>
      <c r="D924" s="76"/>
    </row>
    <row r="925" spans="1:22" ht="20.25" customHeight="1" thickBot="1" x14ac:dyDescent="0.3">
      <c r="A925" s="105"/>
      <c r="B925" s="64"/>
      <c r="C925" s="64"/>
      <c r="D925" s="72"/>
    </row>
    <row r="926" spans="1:22" ht="20.25" customHeight="1" thickBot="1" x14ac:dyDescent="0.3">
      <c r="A926" s="108"/>
      <c r="B926" s="108"/>
      <c r="C926" s="108"/>
      <c r="D926" s="108"/>
    </row>
    <row r="927" spans="1:22" ht="20.25" customHeight="1" x14ac:dyDescent="0.25">
      <c r="A927" s="105"/>
      <c r="B927" s="111"/>
      <c r="C927" s="112"/>
      <c r="D927" s="113"/>
    </row>
    <row r="928" spans="1:22" ht="20.25" customHeight="1" x14ac:dyDescent="0.25">
      <c r="A928" s="105"/>
      <c r="B928" s="114"/>
      <c r="C928" s="109"/>
      <c r="D928" s="115"/>
    </row>
    <row r="929" spans="1:22" ht="20.25" customHeight="1" x14ac:dyDescent="0.25">
      <c r="A929" s="105"/>
      <c r="B929" s="114"/>
      <c r="C929" s="109"/>
      <c r="D929" s="115"/>
    </row>
    <row r="930" spans="1:22" ht="20.25" customHeight="1" x14ac:dyDescent="0.25">
      <c r="A930" s="105"/>
      <c r="B930" s="114"/>
      <c r="C930" s="109"/>
      <c r="D930" s="115"/>
    </row>
    <row r="931" spans="1:22" ht="20.25" customHeight="1" x14ac:dyDescent="0.25">
      <c r="A931" s="105"/>
      <c r="B931" s="114"/>
      <c r="C931" s="109"/>
      <c r="D931" s="115"/>
    </row>
    <row r="932" spans="1:22" ht="20.25" customHeight="1" x14ac:dyDescent="0.25">
      <c r="A932" s="105"/>
      <c r="B932" s="114"/>
      <c r="C932" s="109"/>
      <c r="D932" s="115"/>
    </row>
    <row r="933" spans="1:22" ht="20.25" customHeight="1" x14ac:dyDescent="0.25">
      <c r="A933" s="105"/>
      <c r="B933" s="114"/>
      <c r="C933" s="109"/>
      <c r="D933" s="115"/>
    </row>
    <row r="934" spans="1:22" ht="20.25" customHeight="1" x14ac:dyDescent="0.25">
      <c r="A934" s="105"/>
      <c r="B934" s="114"/>
      <c r="C934" s="109"/>
      <c r="D934" s="115"/>
    </row>
    <row r="935" spans="1:22" ht="20.25" customHeight="1" thickBot="1" x14ac:dyDescent="0.3">
      <c r="A935" s="73"/>
      <c r="B935" s="116"/>
      <c r="C935" s="117"/>
      <c r="D935" s="118"/>
    </row>
    <row r="936" spans="1:22" ht="20.25" customHeight="1" thickBot="1" x14ac:dyDescent="0.3">
      <c r="A936" s="98"/>
      <c r="B936" s="100"/>
      <c r="C936" s="100"/>
      <c r="D936" s="76"/>
    </row>
    <row r="937" spans="1:22" ht="20.25" customHeight="1" x14ac:dyDescent="0.25">
      <c r="A937" s="91"/>
      <c r="B937" s="92"/>
      <c r="C937" s="92"/>
      <c r="D937" s="104"/>
    </row>
    <row r="938" spans="1:22" ht="20.25" customHeight="1" thickBot="1" x14ac:dyDescent="0.3">
      <c r="A938" s="73"/>
      <c r="B938" s="74"/>
      <c r="C938" s="74"/>
      <c r="D938" s="75"/>
    </row>
    <row r="939" spans="1:22" ht="20.25" customHeight="1" thickBot="1" x14ac:dyDescent="0.3">
      <c r="A939" s="98"/>
      <c r="B939" s="76"/>
      <c r="C939" s="98"/>
      <c r="D939" s="76"/>
    </row>
    <row r="940" spans="1:22" ht="20.25" customHeight="1" thickBot="1" x14ac:dyDescent="0.3">
      <c r="A940" s="110"/>
      <c r="B940" s="98"/>
      <c r="C940" s="76"/>
      <c r="D940" s="110"/>
    </row>
    <row r="941" spans="1:22" ht="20.25" customHeight="1" thickBot="1" x14ac:dyDescent="0.3">
      <c r="A941" s="110"/>
      <c r="B941" s="106"/>
      <c r="C941" s="74"/>
      <c r="D941" s="107"/>
      <c r="T941" s="95"/>
      <c r="V941" s="95"/>
    </row>
    <row r="942" spans="1:22" ht="20.25" customHeight="1" thickBot="1" x14ac:dyDescent="0.3">
      <c r="A942" s="98"/>
      <c r="B942" s="76"/>
      <c r="C942" s="98"/>
      <c r="D942" s="76"/>
    </row>
    <row r="943" spans="1:22" ht="20.25" customHeight="1" thickBot="1" x14ac:dyDescent="0.3">
      <c r="A943" s="98"/>
      <c r="B943" s="76"/>
      <c r="C943" s="98"/>
      <c r="D943" s="76"/>
      <c r="U943" s="95"/>
      <c r="V943" s="95"/>
    </row>
    <row r="944" spans="1:22" ht="20.25" customHeight="1" thickBot="1" x14ac:dyDescent="0.3">
      <c r="A944" s="98"/>
      <c r="B944" s="76"/>
      <c r="C944" s="98"/>
      <c r="D944" s="76"/>
    </row>
    <row r="945" spans="1:4" ht="20.25" customHeight="1" thickBot="1" x14ac:dyDescent="0.3">
      <c r="A945" s="105"/>
      <c r="B945" s="64"/>
      <c r="C945" s="64"/>
      <c r="D945" s="72"/>
    </row>
    <row r="946" spans="1:4" ht="20.25" customHeight="1" thickBot="1" x14ac:dyDescent="0.3">
      <c r="A946" s="108"/>
      <c r="B946" s="108"/>
      <c r="C946" s="108"/>
      <c r="D946" s="108"/>
    </row>
    <row r="947" spans="1:4" ht="20.25" customHeight="1" x14ac:dyDescent="0.25">
      <c r="A947" s="105"/>
      <c r="B947" s="111"/>
      <c r="C947" s="112"/>
      <c r="D947" s="113"/>
    </row>
    <row r="948" spans="1:4" ht="20.25" customHeight="1" x14ac:dyDescent="0.25">
      <c r="A948" s="105"/>
      <c r="B948" s="114"/>
      <c r="C948" s="109"/>
      <c r="D948" s="115"/>
    </row>
    <row r="949" spans="1:4" ht="20.25" customHeight="1" x14ac:dyDescent="0.25">
      <c r="A949" s="105"/>
      <c r="B949" s="114"/>
      <c r="C949" s="109"/>
      <c r="D949" s="115"/>
    </row>
    <row r="950" spans="1:4" ht="20.25" customHeight="1" x14ac:dyDescent="0.25">
      <c r="A950" s="105"/>
      <c r="B950" s="114"/>
      <c r="C950" s="109"/>
      <c r="D950" s="115"/>
    </row>
    <row r="951" spans="1:4" ht="20.25" customHeight="1" x14ac:dyDescent="0.25">
      <c r="A951" s="105"/>
      <c r="B951" s="114"/>
      <c r="C951" s="109"/>
      <c r="D951" s="115"/>
    </row>
    <row r="952" spans="1:4" ht="20.25" customHeight="1" x14ac:dyDescent="0.25">
      <c r="A952" s="105"/>
      <c r="B952" s="114"/>
      <c r="C952" s="109"/>
      <c r="D952" s="115"/>
    </row>
    <row r="953" spans="1:4" ht="20.25" customHeight="1" x14ac:dyDescent="0.25">
      <c r="A953" s="105"/>
      <c r="B953" s="114"/>
      <c r="C953" s="109"/>
      <c r="D953" s="115"/>
    </row>
    <row r="954" spans="1:4" ht="20.25" customHeight="1" x14ac:dyDescent="0.25">
      <c r="A954" s="105"/>
      <c r="B954" s="114"/>
      <c r="C954" s="109"/>
      <c r="D954" s="115"/>
    </row>
    <row r="955" spans="1:4" ht="20.25" customHeight="1" thickBot="1" x14ac:dyDescent="0.3">
      <c r="A955" s="73"/>
      <c r="B955" s="116"/>
      <c r="C955" s="117"/>
      <c r="D955" s="118"/>
    </row>
    <row r="956" spans="1:4" ht="20.25" customHeight="1" thickBot="1" x14ac:dyDescent="0.3">
      <c r="A956" s="98"/>
      <c r="B956" s="100"/>
      <c r="C956" s="100"/>
      <c r="D956" s="76"/>
    </row>
    <row r="957" spans="1:4" ht="20.25" customHeight="1" x14ac:dyDescent="0.25">
      <c r="A957" s="91"/>
      <c r="B957" s="92"/>
      <c r="C957" s="92"/>
      <c r="D957" s="104"/>
    </row>
    <row r="958" spans="1:4" ht="20.25" customHeight="1" thickBot="1" x14ac:dyDescent="0.3">
      <c r="A958" s="73"/>
      <c r="B958" s="74"/>
      <c r="C958" s="74"/>
      <c r="D958" s="75"/>
    </row>
    <row r="959" spans="1:4" ht="20.25" customHeight="1" thickBot="1" x14ac:dyDescent="0.3">
      <c r="A959" s="98"/>
      <c r="B959" s="76"/>
      <c r="C959" s="98"/>
      <c r="D959" s="76"/>
    </row>
    <row r="960" spans="1:4" ht="20.25" customHeight="1" thickBot="1" x14ac:dyDescent="0.3">
      <c r="A960" s="110"/>
      <c r="B960" s="98"/>
      <c r="C960" s="76"/>
      <c r="D960" s="110"/>
    </row>
    <row r="961" spans="1:22" ht="20.25" customHeight="1" thickBot="1" x14ac:dyDescent="0.3">
      <c r="A961" s="110"/>
      <c r="B961" s="106"/>
      <c r="C961" s="74"/>
      <c r="D961" s="107"/>
      <c r="T961" s="95"/>
      <c r="V961" s="95"/>
    </row>
    <row r="962" spans="1:22" ht="20.25" customHeight="1" thickBot="1" x14ac:dyDescent="0.3">
      <c r="A962" s="98"/>
      <c r="B962" s="76"/>
      <c r="C962" s="98"/>
      <c r="D962" s="76"/>
    </row>
    <row r="963" spans="1:22" ht="20.25" customHeight="1" thickBot="1" x14ac:dyDescent="0.3">
      <c r="A963" s="98"/>
      <c r="B963" s="76"/>
      <c r="C963" s="98"/>
      <c r="D963" s="76"/>
      <c r="U963" s="95"/>
      <c r="V963" s="95"/>
    </row>
    <row r="964" spans="1:22" ht="20.25" customHeight="1" thickBot="1" x14ac:dyDescent="0.3">
      <c r="A964" s="98"/>
      <c r="B964" s="76"/>
      <c r="C964" s="98"/>
      <c r="D964" s="76"/>
    </row>
    <row r="965" spans="1:22" ht="20.25" customHeight="1" thickBot="1" x14ac:dyDescent="0.3">
      <c r="A965" s="105"/>
      <c r="B965" s="64"/>
      <c r="C965" s="64"/>
      <c r="D965" s="72"/>
    </row>
    <row r="966" spans="1:22" ht="20.25" customHeight="1" thickBot="1" x14ac:dyDescent="0.3">
      <c r="A966" s="108"/>
      <c r="B966" s="108"/>
      <c r="C966" s="108"/>
      <c r="D966" s="108"/>
    </row>
    <row r="967" spans="1:22" ht="20.25" customHeight="1" x14ac:dyDescent="0.25">
      <c r="A967" s="105"/>
      <c r="B967" s="111"/>
      <c r="C967" s="112"/>
      <c r="D967" s="113"/>
    </row>
    <row r="968" spans="1:22" ht="20.25" customHeight="1" x14ac:dyDescent="0.25">
      <c r="A968" s="105"/>
      <c r="B968" s="114"/>
      <c r="C968" s="109"/>
      <c r="D968" s="115"/>
    </row>
    <row r="969" spans="1:22" ht="20.25" customHeight="1" x14ac:dyDescent="0.25">
      <c r="A969" s="105"/>
      <c r="B969" s="114"/>
      <c r="C969" s="109"/>
      <c r="D969" s="115"/>
    </row>
    <row r="970" spans="1:22" ht="20.25" customHeight="1" x14ac:dyDescent="0.25">
      <c r="A970" s="105"/>
      <c r="B970" s="114"/>
      <c r="C970" s="109"/>
      <c r="D970" s="115"/>
    </row>
    <row r="971" spans="1:22" ht="20.25" customHeight="1" x14ac:dyDescent="0.25">
      <c r="A971" s="105"/>
      <c r="B971" s="114"/>
      <c r="C971" s="109"/>
      <c r="D971" s="115"/>
    </row>
    <row r="972" spans="1:22" ht="20.25" customHeight="1" x14ac:dyDescent="0.25">
      <c r="A972" s="105"/>
      <c r="B972" s="114"/>
      <c r="C972" s="109"/>
      <c r="D972" s="115"/>
    </row>
    <row r="973" spans="1:22" ht="20.25" customHeight="1" x14ac:dyDescent="0.25">
      <c r="A973" s="105"/>
      <c r="B973" s="114"/>
      <c r="C973" s="109"/>
      <c r="D973" s="115"/>
    </row>
    <row r="974" spans="1:22" ht="20.25" customHeight="1" x14ac:dyDescent="0.25">
      <c r="A974" s="105"/>
      <c r="B974" s="114"/>
      <c r="C974" s="109"/>
      <c r="D974" s="115"/>
    </row>
    <row r="975" spans="1:22" ht="20.25" customHeight="1" thickBot="1" x14ac:dyDescent="0.3">
      <c r="A975" s="73"/>
      <c r="B975" s="116"/>
      <c r="C975" s="117"/>
      <c r="D975" s="118"/>
    </row>
    <row r="976" spans="1:22" ht="20.25" customHeight="1" thickBot="1" x14ac:dyDescent="0.3">
      <c r="A976" s="98"/>
      <c r="B976" s="100"/>
      <c r="C976" s="100"/>
      <c r="D976" s="76"/>
    </row>
    <row r="977" spans="1:22" ht="20.25" customHeight="1" x14ac:dyDescent="0.25">
      <c r="A977" s="91"/>
      <c r="B977" s="92"/>
      <c r="C977" s="92"/>
      <c r="D977" s="104"/>
    </row>
    <row r="978" spans="1:22" ht="20.25" customHeight="1" thickBot="1" x14ac:dyDescent="0.3">
      <c r="A978" s="73"/>
      <c r="B978" s="74"/>
      <c r="C978" s="74"/>
      <c r="D978" s="75"/>
    </row>
    <row r="979" spans="1:22" ht="20.25" customHeight="1" thickBot="1" x14ac:dyDescent="0.3">
      <c r="A979" s="98"/>
      <c r="B979" s="76"/>
      <c r="C979" s="98"/>
      <c r="D979" s="76"/>
    </row>
    <row r="980" spans="1:22" ht="20.25" customHeight="1" thickBot="1" x14ac:dyDescent="0.3">
      <c r="A980" s="110"/>
      <c r="B980" s="98"/>
      <c r="C980" s="76"/>
      <c r="D980" s="110"/>
    </row>
    <row r="981" spans="1:22" ht="20.25" customHeight="1" thickBot="1" x14ac:dyDescent="0.3">
      <c r="A981" s="110"/>
      <c r="B981" s="106"/>
      <c r="C981" s="74"/>
      <c r="D981" s="107"/>
      <c r="T981" s="95"/>
      <c r="V981" s="95"/>
    </row>
    <row r="982" spans="1:22" ht="20.25" customHeight="1" thickBot="1" x14ac:dyDescent="0.3">
      <c r="A982" s="98"/>
      <c r="B982" s="76"/>
      <c r="C982" s="98"/>
      <c r="D982" s="76"/>
    </row>
    <row r="983" spans="1:22" ht="20.25" customHeight="1" thickBot="1" x14ac:dyDescent="0.3">
      <c r="A983" s="98"/>
      <c r="B983" s="76"/>
      <c r="C983" s="98"/>
      <c r="D983" s="76"/>
      <c r="U983" s="95"/>
      <c r="V983" s="95"/>
    </row>
    <row r="984" spans="1:22" ht="20.25" customHeight="1" thickBot="1" x14ac:dyDescent="0.3">
      <c r="A984" s="98"/>
      <c r="B984" s="76"/>
      <c r="C984" s="98"/>
      <c r="D984" s="76"/>
    </row>
    <row r="985" spans="1:22" ht="20.25" customHeight="1" thickBot="1" x14ac:dyDescent="0.3">
      <c r="A985" s="105"/>
      <c r="B985" s="64"/>
      <c r="C985" s="64"/>
      <c r="D985" s="72"/>
    </row>
    <row r="986" spans="1:22" ht="20.25" customHeight="1" thickBot="1" x14ac:dyDescent="0.3">
      <c r="A986" s="108"/>
      <c r="B986" s="108"/>
      <c r="C986" s="108"/>
      <c r="D986" s="108"/>
    </row>
    <row r="987" spans="1:22" ht="20.25" customHeight="1" x14ac:dyDescent="0.25">
      <c r="A987" s="105"/>
      <c r="B987" s="111"/>
      <c r="C987" s="112"/>
      <c r="D987" s="113"/>
    </row>
    <row r="988" spans="1:22" ht="20.25" customHeight="1" x14ac:dyDescent="0.25">
      <c r="A988" s="105"/>
      <c r="B988" s="114"/>
      <c r="C988" s="109"/>
      <c r="D988" s="115"/>
    </row>
    <row r="989" spans="1:22" ht="20.25" customHeight="1" x14ac:dyDescent="0.25">
      <c r="A989" s="105"/>
      <c r="B989" s="114"/>
      <c r="C989" s="109"/>
      <c r="D989" s="115"/>
    </row>
    <row r="990" spans="1:22" ht="20.25" customHeight="1" x14ac:dyDescent="0.25">
      <c r="A990" s="105"/>
      <c r="B990" s="114"/>
      <c r="C990" s="109"/>
      <c r="D990" s="115"/>
    </row>
    <row r="991" spans="1:22" ht="20.25" customHeight="1" x14ac:dyDescent="0.25">
      <c r="A991" s="105"/>
      <c r="B991" s="114"/>
      <c r="C991" s="109"/>
      <c r="D991" s="115"/>
    </row>
    <row r="992" spans="1:22" ht="20.25" customHeight="1" x14ac:dyDescent="0.25">
      <c r="A992" s="105"/>
      <c r="B992" s="114"/>
      <c r="C992" s="109"/>
      <c r="D992" s="115"/>
    </row>
    <row r="993" spans="1:22" ht="20.25" customHeight="1" x14ac:dyDescent="0.25">
      <c r="A993" s="105"/>
      <c r="B993" s="114"/>
      <c r="C993" s="109"/>
      <c r="D993" s="115"/>
    </row>
    <row r="994" spans="1:22" ht="20.25" customHeight="1" x14ac:dyDescent="0.25">
      <c r="A994" s="105"/>
      <c r="B994" s="114"/>
      <c r="C994" s="109"/>
      <c r="D994" s="115"/>
    </row>
    <row r="995" spans="1:22" ht="20.25" customHeight="1" thickBot="1" x14ac:dyDescent="0.3">
      <c r="A995" s="73"/>
      <c r="B995" s="116"/>
      <c r="C995" s="117"/>
      <c r="D995" s="118"/>
    </row>
    <row r="996" spans="1:22" ht="20.25" customHeight="1" thickBot="1" x14ac:dyDescent="0.3">
      <c r="A996" s="98"/>
      <c r="B996" s="100"/>
      <c r="C996" s="100"/>
      <c r="D996" s="76"/>
    </row>
    <row r="997" spans="1:22" ht="20.25" customHeight="1" x14ac:dyDescent="0.25">
      <c r="A997" s="91"/>
      <c r="B997" s="92"/>
      <c r="C997" s="92"/>
      <c r="D997" s="104"/>
    </row>
    <row r="998" spans="1:22" ht="20.25" customHeight="1" thickBot="1" x14ac:dyDescent="0.3">
      <c r="A998" s="73"/>
      <c r="B998" s="74"/>
      <c r="C998" s="74"/>
      <c r="D998" s="75"/>
    </row>
    <row r="999" spans="1:22" ht="20.25" customHeight="1" thickBot="1" x14ac:dyDescent="0.3">
      <c r="A999" s="98"/>
      <c r="B999" s="76"/>
      <c r="C999" s="98"/>
      <c r="D999" s="76"/>
    </row>
    <row r="1000" spans="1:22" ht="20.25" customHeight="1" thickBot="1" x14ac:dyDescent="0.3">
      <c r="A1000" s="110"/>
      <c r="B1000" s="98"/>
      <c r="C1000" s="76"/>
      <c r="D1000" s="110"/>
    </row>
    <row r="1001" spans="1:22" ht="20.25" customHeight="1" thickBot="1" x14ac:dyDescent="0.3">
      <c r="A1001" s="110"/>
      <c r="B1001" s="106"/>
      <c r="C1001" s="74"/>
      <c r="D1001" s="107"/>
      <c r="T1001" s="95"/>
      <c r="V1001" s="95"/>
    </row>
    <row r="1002" spans="1:22" ht="20.25" customHeight="1" thickBot="1" x14ac:dyDescent="0.3">
      <c r="A1002" s="98"/>
      <c r="B1002" s="76"/>
      <c r="C1002" s="98"/>
      <c r="D1002" s="76"/>
    </row>
    <row r="1003" spans="1:22" ht="20.25" customHeight="1" thickBot="1" x14ac:dyDescent="0.3">
      <c r="A1003" s="98"/>
      <c r="B1003" s="76"/>
      <c r="C1003" s="98"/>
      <c r="D1003" s="76"/>
      <c r="U1003" s="95"/>
      <c r="V1003" s="95"/>
    </row>
    <row r="1004" spans="1:22" ht="20.25" customHeight="1" thickBot="1" x14ac:dyDescent="0.3">
      <c r="A1004" s="98"/>
      <c r="B1004" s="76"/>
      <c r="C1004" s="98"/>
      <c r="D1004" s="76"/>
    </row>
    <row r="1005" spans="1:22" ht="20.25" customHeight="1" thickBot="1" x14ac:dyDescent="0.3">
      <c r="A1005" s="105"/>
      <c r="B1005" s="64"/>
      <c r="C1005" s="64"/>
      <c r="D1005" s="72"/>
    </row>
    <row r="1006" spans="1:22" ht="20.25" customHeight="1" thickBot="1" x14ac:dyDescent="0.3">
      <c r="A1006" s="108"/>
      <c r="B1006" s="108"/>
      <c r="C1006" s="108"/>
      <c r="D1006" s="108"/>
    </row>
    <row r="1007" spans="1:22" ht="20.25" customHeight="1" x14ac:dyDescent="0.25">
      <c r="A1007" s="105"/>
      <c r="B1007" s="111"/>
      <c r="C1007" s="112"/>
      <c r="D1007" s="113"/>
    </row>
    <row r="1008" spans="1:22" ht="20.25" customHeight="1" x14ac:dyDescent="0.25">
      <c r="A1008" s="105"/>
      <c r="B1008" s="114"/>
      <c r="C1008" s="109"/>
      <c r="D1008" s="115"/>
    </row>
    <row r="1009" spans="1:22" ht="20.25" customHeight="1" x14ac:dyDescent="0.25">
      <c r="A1009" s="105"/>
      <c r="B1009" s="114"/>
      <c r="C1009" s="109"/>
      <c r="D1009" s="115"/>
    </row>
    <row r="1010" spans="1:22" ht="20.25" customHeight="1" x14ac:dyDescent="0.25">
      <c r="A1010" s="105"/>
      <c r="B1010" s="114"/>
      <c r="C1010" s="109"/>
      <c r="D1010" s="115"/>
    </row>
    <row r="1011" spans="1:22" ht="20.25" customHeight="1" x14ac:dyDescent="0.25">
      <c r="A1011" s="105"/>
      <c r="B1011" s="114"/>
      <c r="C1011" s="109"/>
      <c r="D1011" s="115"/>
    </row>
    <row r="1012" spans="1:22" ht="20.25" customHeight="1" x14ac:dyDescent="0.25">
      <c r="A1012" s="105"/>
      <c r="B1012" s="114"/>
      <c r="C1012" s="109"/>
      <c r="D1012" s="115"/>
    </row>
    <row r="1013" spans="1:22" ht="20.25" customHeight="1" x14ac:dyDescent="0.25">
      <c r="A1013" s="105"/>
      <c r="B1013" s="114"/>
      <c r="C1013" s="109"/>
      <c r="D1013" s="115"/>
    </row>
    <row r="1014" spans="1:22" ht="20.25" customHeight="1" x14ac:dyDescent="0.25">
      <c r="A1014" s="105"/>
      <c r="B1014" s="114"/>
      <c r="C1014" s="109"/>
      <c r="D1014" s="115"/>
    </row>
    <row r="1015" spans="1:22" ht="20.25" customHeight="1" thickBot="1" x14ac:dyDescent="0.3">
      <c r="A1015" s="73"/>
      <c r="B1015" s="116"/>
      <c r="C1015" s="117"/>
      <c r="D1015" s="118"/>
    </row>
    <row r="1016" spans="1:22" ht="20.25" customHeight="1" thickBot="1" x14ac:dyDescent="0.3">
      <c r="A1016" s="98"/>
      <c r="B1016" s="100"/>
      <c r="C1016" s="100"/>
      <c r="D1016" s="76"/>
    </row>
    <row r="1017" spans="1:22" ht="20.25" customHeight="1" x14ac:dyDescent="0.25">
      <c r="A1017" s="91"/>
      <c r="B1017" s="92"/>
      <c r="C1017" s="92"/>
      <c r="D1017" s="104"/>
    </row>
    <row r="1018" spans="1:22" ht="20.25" customHeight="1" thickBot="1" x14ac:dyDescent="0.3">
      <c r="A1018" s="73"/>
      <c r="B1018" s="74"/>
      <c r="C1018" s="74"/>
      <c r="D1018" s="75"/>
    </row>
    <row r="1019" spans="1:22" ht="20.25" customHeight="1" thickBot="1" x14ac:dyDescent="0.3">
      <c r="A1019" s="98"/>
      <c r="B1019" s="76"/>
      <c r="C1019" s="98"/>
      <c r="D1019" s="76"/>
    </row>
    <row r="1020" spans="1:22" ht="20.25" customHeight="1" thickBot="1" x14ac:dyDescent="0.3">
      <c r="A1020" s="110"/>
      <c r="B1020" s="98"/>
      <c r="C1020" s="76"/>
      <c r="D1020" s="110"/>
    </row>
    <row r="1021" spans="1:22" ht="20.25" customHeight="1" thickBot="1" x14ac:dyDescent="0.3">
      <c r="A1021" s="110"/>
      <c r="B1021" s="106"/>
      <c r="C1021" s="74"/>
      <c r="D1021" s="107"/>
      <c r="T1021" s="95"/>
      <c r="V1021" s="95"/>
    </row>
    <row r="1022" spans="1:22" ht="20.25" customHeight="1" thickBot="1" x14ac:dyDescent="0.3">
      <c r="A1022" s="98"/>
      <c r="B1022" s="76"/>
      <c r="C1022" s="98"/>
      <c r="D1022" s="76"/>
    </row>
    <row r="1023" spans="1:22" ht="20.25" customHeight="1" thickBot="1" x14ac:dyDescent="0.3">
      <c r="A1023" s="98"/>
      <c r="B1023" s="76"/>
      <c r="C1023" s="98"/>
      <c r="D1023" s="76"/>
      <c r="U1023" s="95"/>
      <c r="V1023" s="95"/>
    </row>
    <row r="1024" spans="1:22" ht="20.25" customHeight="1" thickBot="1" x14ac:dyDescent="0.3">
      <c r="A1024" s="98"/>
      <c r="B1024" s="76"/>
      <c r="C1024" s="98"/>
      <c r="D1024" s="76"/>
    </row>
    <row r="1025" spans="1:4" ht="20.25" customHeight="1" thickBot="1" x14ac:dyDescent="0.3">
      <c r="A1025" s="105"/>
      <c r="B1025" s="64"/>
      <c r="C1025" s="64"/>
      <c r="D1025" s="72"/>
    </row>
    <row r="1026" spans="1:4" ht="20.25" customHeight="1" thickBot="1" x14ac:dyDescent="0.3">
      <c r="A1026" s="108"/>
      <c r="B1026" s="108"/>
      <c r="C1026" s="108"/>
      <c r="D1026" s="108"/>
    </row>
    <row r="1027" spans="1:4" ht="20.25" customHeight="1" x14ac:dyDescent="0.25">
      <c r="A1027" s="105"/>
      <c r="B1027" s="111"/>
      <c r="C1027" s="112"/>
      <c r="D1027" s="113"/>
    </row>
    <row r="1028" spans="1:4" ht="20.25" customHeight="1" x14ac:dyDescent="0.25">
      <c r="A1028" s="105"/>
      <c r="B1028" s="114"/>
      <c r="C1028" s="109"/>
      <c r="D1028" s="115"/>
    </row>
    <row r="1029" spans="1:4" ht="20.25" customHeight="1" x14ac:dyDescent="0.25">
      <c r="A1029" s="105"/>
      <c r="B1029" s="114"/>
      <c r="C1029" s="109"/>
      <c r="D1029" s="115"/>
    </row>
    <row r="1030" spans="1:4" ht="20.25" customHeight="1" x14ac:dyDescent="0.25">
      <c r="A1030" s="105"/>
      <c r="B1030" s="114"/>
      <c r="C1030" s="109"/>
      <c r="D1030" s="115"/>
    </row>
    <row r="1031" spans="1:4" ht="20.25" customHeight="1" x14ac:dyDescent="0.25">
      <c r="A1031" s="105"/>
      <c r="B1031" s="114"/>
      <c r="C1031" s="109"/>
      <c r="D1031" s="115"/>
    </row>
    <row r="1032" spans="1:4" ht="20.25" customHeight="1" x14ac:dyDescent="0.25">
      <c r="A1032" s="105"/>
      <c r="B1032" s="114"/>
      <c r="C1032" s="109"/>
      <c r="D1032" s="115"/>
    </row>
    <row r="1033" spans="1:4" ht="20.25" customHeight="1" x14ac:dyDescent="0.25">
      <c r="A1033" s="105"/>
      <c r="B1033" s="114"/>
      <c r="C1033" s="109"/>
      <c r="D1033" s="115"/>
    </row>
    <row r="1034" spans="1:4" ht="20.25" customHeight="1" x14ac:dyDescent="0.25">
      <c r="A1034" s="105"/>
      <c r="B1034" s="114"/>
      <c r="C1034" s="109"/>
      <c r="D1034" s="115"/>
    </row>
    <row r="1035" spans="1:4" ht="20.25" customHeight="1" thickBot="1" x14ac:dyDescent="0.3">
      <c r="A1035" s="73"/>
      <c r="B1035" s="116"/>
      <c r="C1035" s="117"/>
      <c r="D1035" s="118"/>
    </row>
    <row r="1036" spans="1:4" ht="20.25" customHeight="1" thickBot="1" x14ac:dyDescent="0.3">
      <c r="A1036" s="98"/>
      <c r="B1036" s="100"/>
      <c r="C1036" s="100"/>
      <c r="D1036" s="76"/>
    </row>
    <row r="1037" spans="1:4" ht="20.25" customHeight="1" x14ac:dyDescent="0.25">
      <c r="A1037" s="91"/>
      <c r="B1037" s="92"/>
      <c r="C1037" s="92"/>
      <c r="D1037" s="104"/>
    </row>
    <row r="1038" spans="1:4" ht="20.25" customHeight="1" thickBot="1" x14ac:dyDescent="0.3">
      <c r="A1038" s="73"/>
      <c r="B1038" s="74"/>
      <c r="C1038" s="74"/>
      <c r="D1038" s="75"/>
    </row>
    <row r="1039" spans="1:4" ht="20.25" customHeight="1" thickBot="1" x14ac:dyDescent="0.3">
      <c r="A1039" s="98"/>
      <c r="B1039" s="76"/>
      <c r="C1039" s="98"/>
      <c r="D1039" s="76"/>
    </row>
    <row r="1040" spans="1:4" ht="20.25" customHeight="1" thickBot="1" x14ac:dyDescent="0.3">
      <c r="A1040" s="110"/>
      <c r="B1040" s="98"/>
      <c r="C1040" s="76"/>
      <c r="D1040" s="110"/>
    </row>
    <row r="1041" spans="1:22" ht="20.25" customHeight="1" thickBot="1" x14ac:dyDescent="0.3">
      <c r="A1041" s="110"/>
      <c r="B1041" s="106"/>
      <c r="C1041" s="74"/>
      <c r="D1041" s="107"/>
      <c r="T1041" s="95"/>
      <c r="V1041" s="95"/>
    </row>
    <row r="1042" spans="1:22" ht="20.25" customHeight="1" thickBot="1" x14ac:dyDescent="0.3">
      <c r="A1042" s="98"/>
      <c r="B1042" s="76"/>
      <c r="C1042" s="98"/>
      <c r="D1042" s="76"/>
    </row>
    <row r="1043" spans="1:22" ht="20.25" customHeight="1" thickBot="1" x14ac:dyDescent="0.3">
      <c r="A1043" s="98"/>
      <c r="B1043" s="76"/>
      <c r="C1043" s="98"/>
      <c r="D1043" s="76"/>
      <c r="U1043" s="95"/>
      <c r="V1043" s="95"/>
    </row>
    <row r="1044" spans="1:22" ht="20.25" customHeight="1" thickBot="1" x14ac:dyDescent="0.3">
      <c r="A1044" s="98"/>
      <c r="B1044" s="76"/>
      <c r="C1044" s="98"/>
      <c r="D1044" s="76"/>
    </row>
    <row r="1045" spans="1:22" ht="20.25" customHeight="1" thickBot="1" x14ac:dyDescent="0.3">
      <c r="A1045" s="105"/>
      <c r="B1045" s="64"/>
      <c r="C1045" s="64"/>
      <c r="D1045" s="72"/>
    </row>
    <row r="1046" spans="1:22" ht="20.25" customHeight="1" thickBot="1" x14ac:dyDescent="0.3">
      <c r="A1046" s="108"/>
      <c r="B1046" s="108"/>
      <c r="C1046" s="108"/>
      <c r="D1046" s="108"/>
    </row>
    <row r="1047" spans="1:22" ht="20.25" customHeight="1" x14ac:dyDescent="0.25">
      <c r="A1047" s="105"/>
      <c r="B1047" s="111"/>
      <c r="C1047" s="112"/>
      <c r="D1047" s="113"/>
    </row>
    <row r="1048" spans="1:22" ht="20.25" customHeight="1" x14ac:dyDescent="0.25">
      <c r="A1048" s="105"/>
      <c r="B1048" s="114"/>
      <c r="C1048" s="109"/>
      <c r="D1048" s="115"/>
    </row>
    <row r="1049" spans="1:22" ht="20.25" customHeight="1" x14ac:dyDescent="0.25">
      <c r="A1049" s="105"/>
      <c r="B1049" s="114"/>
      <c r="C1049" s="109"/>
      <c r="D1049" s="115"/>
    </row>
    <row r="1050" spans="1:22" ht="20.25" customHeight="1" x14ac:dyDescent="0.25">
      <c r="A1050" s="105"/>
      <c r="B1050" s="114"/>
      <c r="C1050" s="109"/>
      <c r="D1050" s="115"/>
    </row>
    <row r="1051" spans="1:22" ht="20.25" customHeight="1" x14ac:dyDescent="0.25">
      <c r="A1051" s="105"/>
      <c r="B1051" s="114"/>
      <c r="C1051" s="109"/>
      <c r="D1051" s="115"/>
    </row>
    <row r="1052" spans="1:22" ht="20.25" customHeight="1" x14ac:dyDescent="0.25">
      <c r="A1052" s="105"/>
      <c r="B1052" s="114"/>
      <c r="C1052" s="109"/>
      <c r="D1052" s="115"/>
    </row>
    <row r="1053" spans="1:22" ht="20.25" customHeight="1" x14ac:dyDescent="0.25">
      <c r="A1053" s="105"/>
      <c r="B1053" s="114"/>
      <c r="C1053" s="109"/>
      <c r="D1053" s="115"/>
    </row>
    <row r="1054" spans="1:22" ht="20.25" customHeight="1" x14ac:dyDescent="0.25">
      <c r="A1054" s="105"/>
      <c r="B1054" s="114"/>
      <c r="C1054" s="109"/>
      <c r="D1054" s="115"/>
    </row>
    <row r="1055" spans="1:22" ht="20.25" customHeight="1" thickBot="1" x14ac:dyDescent="0.3">
      <c r="A1055" s="73"/>
      <c r="B1055" s="116"/>
      <c r="C1055" s="117"/>
      <c r="D1055" s="118"/>
    </row>
    <row r="1056" spans="1:22" ht="20.25" customHeight="1" thickBot="1" x14ac:dyDescent="0.3">
      <c r="A1056" s="98"/>
      <c r="B1056" s="100"/>
      <c r="C1056" s="100"/>
      <c r="D1056" s="76"/>
    </row>
    <row r="1057" spans="1:22" ht="20.25" customHeight="1" x14ac:dyDescent="0.25">
      <c r="A1057" s="91"/>
      <c r="B1057" s="92"/>
      <c r="C1057" s="92"/>
      <c r="D1057" s="104"/>
    </row>
    <row r="1058" spans="1:22" ht="20.25" customHeight="1" thickBot="1" x14ac:dyDescent="0.3">
      <c r="A1058" s="73"/>
      <c r="B1058" s="74"/>
      <c r="C1058" s="74"/>
      <c r="D1058" s="75"/>
    </row>
    <row r="1059" spans="1:22" ht="20.25" customHeight="1" thickBot="1" x14ac:dyDescent="0.3">
      <c r="A1059" s="98"/>
      <c r="B1059" s="76"/>
      <c r="C1059" s="98"/>
      <c r="D1059" s="76"/>
    </row>
    <row r="1060" spans="1:22" ht="20.25" customHeight="1" thickBot="1" x14ac:dyDescent="0.3">
      <c r="A1060" s="110"/>
      <c r="B1060" s="98"/>
      <c r="C1060" s="76"/>
      <c r="D1060" s="110"/>
    </row>
    <row r="1061" spans="1:22" ht="20.25" customHeight="1" thickBot="1" x14ac:dyDescent="0.3">
      <c r="A1061" s="110"/>
      <c r="B1061" s="106"/>
      <c r="C1061" s="74"/>
      <c r="D1061" s="107"/>
      <c r="T1061" s="95"/>
      <c r="V1061" s="95"/>
    </row>
    <row r="1062" spans="1:22" ht="20.25" customHeight="1" thickBot="1" x14ac:dyDescent="0.3">
      <c r="A1062" s="98"/>
      <c r="B1062" s="76"/>
      <c r="C1062" s="98"/>
      <c r="D1062" s="76"/>
    </row>
    <row r="1063" spans="1:22" ht="20.25" customHeight="1" thickBot="1" x14ac:dyDescent="0.3">
      <c r="A1063" s="98"/>
      <c r="B1063" s="76"/>
      <c r="C1063" s="98"/>
      <c r="D1063" s="76"/>
      <c r="U1063" s="95"/>
      <c r="V1063" s="95"/>
    </row>
    <row r="1064" spans="1:22" ht="20.25" customHeight="1" thickBot="1" x14ac:dyDescent="0.3">
      <c r="A1064" s="98"/>
      <c r="B1064" s="76"/>
      <c r="C1064" s="98"/>
      <c r="D1064" s="76"/>
    </row>
    <row r="1065" spans="1:22" ht="20.25" customHeight="1" thickBot="1" x14ac:dyDescent="0.3">
      <c r="A1065" s="105"/>
      <c r="B1065" s="64"/>
      <c r="C1065" s="64"/>
      <c r="D1065" s="72"/>
    </row>
    <row r="1066" spans="1:22" ht="20.25" customHeight="1" thickBot="1" x14ac:dyDescent="0.3">
      <c r="A1066" s="108"/>
      <c r="B1066" s="108"/>
      <c r="C1066" s="108"/>
      <c r="D1066" s="108"/>
    </row>
    <row r="1067" spans="1:22" ht="20.25" customHeight="1" x14ac:dyDescent="0.25">
      <c r="A1067" s="105"/>
      <c r="B1067" s="111"/>
      <c r="C1067" s="112"/>
      <c r="D1067" s="113"/>
    </row>
    <row r="1068" spans="1:22" ht="20.25" customHeight="1" x14ac:dyDescent="0.25">
      <c r="A1068" s="105"/>
      <c r="B1068" s="114"/>
      <c r="C1068" s="109"/>
      <c r="D1068" s="115"/>
    </row>
    <row r="1069" spans="1:22" ht="20.25" customHeight="1" x14ac:dyDescent="0.25">
      <c r="A1069" s="105"/>
      <c r="B1069" s="114"/>
      <c r="C1069" s="109"/>
      <c r="D1069" s="115"/>
    </row>
    <row r="1070" spans="1:22" ht="20.25" customHeight="1" x14ac:dyDescent="0.25">
      <c r="A1070" s="105"/>
      <c r="B1070" s="114"/>
      <c r="C1070" s="109"/>
      <c r="D1070" s="115"/>
    </row>
    <row r="1071" spans="1:22" ht="20.25" customHeight="1" x14ac:dyDescent="0.25">
      <c r="A1071" s="105"/>
      <c r="B1071" s="114"/>
      <c r="C1071" s="109"/>
      <c r="D1071" s="115"/>
    </row>
    <row r="1072" spans="1:22" ht="20.25" customHeight="1" x14ac:dyDescent="0.25">
      <c r="A1072" s="105"/>
      <c r="B1072" s="114"/>
      <c r="C1072" s="109"/>
      <c r="D1072" s="115"/>
    </row>
    <row r="1073" spans="1:22" ht="20.25" customHeight="1" x14ac:dyDescent="0.25">
      <c r="A1073" s="105"/>
      <c r="B1073" s="114"/>
      <c r="C1073" s="109"/>
      <c r="D1073" s="115"/>
    </row>
    <row r="1074" spans="1:22" ht="20.25" customHeight="1" x14ac:dyDescent="0.25">
      <c r="A1074" s="105"/>
      <c r="B1074" s="114"/>
      <c r="C1074" s="109"/>
      <c r="D1074" s="115"/>
    </row>
    <row r="1075" spans="1:22" ht="20.25" customHeight="1" thickBot="1" x14ac:dyDescent="0.3">
      <c r="A1075" s="73"/>
      <c r="B1075" s="116"/>
      <c r="C1075" s="117"/>
      <c r="D1075" s="118"/>
    </row>
    <row r="1076" spans="1:22" ht="20.25" customHeight="1" thickBot="1" x14ac:dyDescent="0.3">
      <c r="A1076" s="98"/>
      <c r="B1076" s="100"/>
      <c r="C1076" s="100"/>
      <c r="D1076" s="76"/>
    </row>
    <row r="1077" spans="1:22" ht="20.25" customHeight="1" x14ac:dyDescent="0.25">
      <c r="A1077" s="91"/>
      <c r="B1077" s="92"/>
      <c r="C1077" s="92"/>
      <c r="D1077" s="104"/>
    </row>
    <row r="1078" spans="1:22" ht="20.25" customHeight="1" thickBot="1" x14ac:dyDescent="0.3">
      <c r="A1078" s="73"/>
      <c r="B1078" s="74"/>
      <c r="C1078" s="74"/>
      <c r="D1078" s="75"/>
    </row>
    <row r="1079" spans="1:22" ht="20.25" customHeight="1" thickBot="1" x14ac:dyDescent="0.3">
      <c r="A1079" s="98"/>
      <c r="B1079" s="76"/>
      <c r="C1079" s="98"/>
      <c r="D1079" s="76"/>
    </row>
    <row r="1080" spans="1:22" ht="20.25" customHeight="1" thickBot="1" x14ac:dyDescent="0.3">
      <c r="A1080" s="110"/>
      <c r="B1080" s="98"/>
      <c r="C1080" s="76"/>
      <c r="D1080" s="110"/>
    </row>
    <row r="1081" spans="1:22" ht="20.25" customHeight="1" thickBot="1" x14ac:dyDescent="0.3">
      <c r="A1081" s="110"/>
      <c r="B1081" s="106"/>
      <c r="C1081" s="74"/>
      <c r="D1081" s="107"/>
      <c r="T1081" s="95"/>
      <c r="V1081" s="95"/>
    </row>
    <row r="1082" spans="1:22" ht="20.25" customHeight="1" thickBot="1" x14ac:dyDescent="0.3">
      <c r="A1082" s="98"/>
      <c r="B1082" s="76"/>
      <c r="C1082" s="98"/>
      <c r="D1082" s="76"/>
    </row>
    <row r="1083" spans="1:22" ht="20.25" customHeight="1" thickBot="1" x14ac:dyDescent="0.3">
      <c r="A1083" s="98"/>
      <c r="B1083" s="76"/>
      <c r="C1083" s="98"/>
      <c r="D1083" s="76"/>
      <c r="U1083" s="95"/>
      <c r="V1083" s="95"/>
    </row>
    <row r="1084" spans="1:22" ht="20.25" customHeight="1" thickBot="1" x14ac:dyDescent="0.3">
      <c r="A1084" s="98"/>
      <c r="B1084" s="76"/>
      <c r="C1084" s="98"/>
      <c r="D1084" s="76"/>
    </row>
    <row r="1085" spans="1:22" ht="20.25" customHeight="1" thickBot="1" x14ac:dyDescent="0.3">
      <c r="A1085" s="105"/>
      <c r="B1085" s="64"/>
      <c r="C1085" s="64"/>
      <c r="D1085" s="72"/>
    </row>
    <row r="1086" spans="1:22" ht="20.25" customHeight="1" thickBot="1" x14ac:dyDescent="0.3">
      <c r="A1086" s="108"/>
      <c r="B1086" s="108"/>
      <c r="C1086" s="108"/>
      <c r="D1086" s="108"/>
    </row>
    <row r="1087" spans="1:22" ht="20.25" customHeight="1" x14ac:dyDescent="0.25">
      <c r="A1087" s="105"/>
      <c r="B1087" s="111"/>
      <c r="C1087" s="112"/>
      <c r="D1087" s="113"/>
    </row>
    <row r="1088" spans="1:22" ht="20.25" customHeight="1" x14ac:dyDescent="0.25">
      <c r="A1088" s="105"/>
      <c r="B1088" s="114"/>
      <c r="C1088" s="109"/>
      <c r="D1088" s="115"/>
    </row>
    <row r="1089" spans="1:22" ht="20.25" customHeight="1" x14ac:dyDescent="0.25">
      <c r="A1089" s="105"/>
      <c r="B1089" s="114"/>
      <c r="C1089" s="109"/>
      <c r="D1089" s="115"/>
    </row>
    <row r="1090" spans="1:22" ht="20.25" customHeight="1" x14ac:dyDescent="0.25">
      <c r="A1090" s="105"/>
      <c r="B1090" s="114"/>
      <c r="C1090" s="109"/>
      <c r="D1090" s="115"/>
    </row>
    <row r="1091" spans="1:22" ht="20.25" customHeight="1" x14ac:dyDescent="0.25">
      <c r="A1091" s="105"/>
      <c r="B1091" s="114"/>
      <c r="C1091" s="109"/>
      <c r="D1091" s="115"/>
    </row>
    <row r="1092" spans="1:22" ht="20.25" customHeight="1" x14ac:dyDescent="0.25">
      <c r="A1092" s="105"/>
      <c r="B1092" s="114"/>
      <c r="C1092" s="109"/>
      <c r="D1092" s="115"/>
    </row>
    <row r="1093" spans="1:22" ht="20.25" customHeight="1" x14ac:dyDescent="0.25">
      <c r="A1093" s="105"/>
      <c r="B1093" s="114"/>
      <c r="C1093" s="109"/>
      <c r="D1093" s="115"/>
    </row>
    <row r="1094" spans="1:22" ht="20.25" customHeight="1" x14ac:dyDescent="0.25">
      <c r="A1094" s="105"/>
      <c r="B1094" s="114"/>
      <c r="C1094" s="109"/>
      <c r="D1094" s="115"/>
    </row>
    <row r="1095" spans="1:22" ht="20.25" customHeight="1" thickBot="1" x14ac:dyDescent="0.3">
      <c r="A1095" s="73"/>
      <c r="B1095" s="116"/>
      <c r="C1095" s="117"/>
      <c r="D1095" s="118"/>
    </row>
    <row r="1096" spans="1:22" ht="20.25" customHeight="1" thickBot="1" x14ac:dyDescent="0.3">
      <c r="A1096" s="98"/>
      <c r="B1096" s="100"/>
      <c r="C1096" s="100"/>
      <c r="D1096" s="76"/>
    </row>
    <row r="1097" spans="1:22" ht="20.25" customHeight="1" x14ac:dyDescent="0.25">
      <c r="A1097" s="91"/>
      <c r="B1097" s="92"/>
      <c r="C1097" s="92"/>
      <c r="D1097" s="104"/>
    </row>
    <row r="1098" spans="1:22" ht="20.25" customHeight="1" thickBot="1" x14ac:dyDescent="0.3">
      <c r="A1098" s="73"/>
      <c r="B1098" s="74"/>
      <c r="C1098" s="74"/>
      <c r="D1098" s="75"/>
    </row>
    <row r="1099" spans="1:22" ht="20.25" customHeight="1" thickBot="1" x14ac:dyDescent="0.3">
      <c r="A1099" s="98"/>
      <c r="B1099" s="76"/>
      <c r="C1099" s="98"/>
      <c r="D1099" s="76"/>
    </row>
    <row r="1100" spans="1:22" ht="20.25" customHeight="1" thickBot="1" x14ac:dyDescent="0.3">
      <c r="A1100" s="110"/>
      <c r="B1100" s="98"/>
      <c r="C1100" s="76"/>
      <c r="D1100" s="110"/>
    </row>
    <row r="1101" spans="1:22" ht="20.25" customHeight="1" thickBot="1" x14ac:dyDescent="0.3">
      <c r="A1101" s="110"/>
      <c r="B1101" s="106"/>
      <c r="C1101" s="74"/>
      <c r="D1101" s="107"/>
      <c r="T1101" s="95"/>
      <c r="V1101" s="95"/>
    </row>
    <row r="1102" spans="1:22" ht="20.25" customHeight="1" thickBot="1" x14ac:dyDescent="0.3">
      <c r="A1102" s="98"/>
      <c r="B1102" s="76"/>
      <c r="C1102" s="98"/>
      <c r="D1102" s="76"/>
    </row>
    <row r="1103" spans="1:22" ht="20.25" customHeight="1" thickBot="1" x14ac:dyDescent="0.3">
      <c r="A1103" s="98"/>
      <c r="B1103" s="76"/>
      <c r="C1103" s="98"/>
      <c r="D1103" s="76"/>
      <c r="U1103" s="95"/>
      <c r="V1103" s="95"/>
    </row>
    <row r="1104" spans="1:22" ht="20.25" customHeight="1" thickBot="1" x14ac:dyDescent="0.3">
      <c r="A1104" s="98"/>
      <c r="B1104" s="76"/>
      <c r="C1104" s="98"/>
      <c r="D1104" s="76"/>
    </row>
    <row r="1105" spans="1:4" ht="20.25" customHeight="1" thickBot="1" x14ac:dyDescent="0.3">
      <c r="A1105" s="105"/>
      <c r="B1105" s="64"/>
      <c r="C1105" s="64"/>
      <c r="D1105" s="72"/>
    </row>
    <row r="1106" spans="1:4" ht="20.25" customHeight="1" thickBot="1" x14ac:dyDescent="0.3">
      <c r="A1106" s="108"/>
      <c r="B1106" s="108"/>
      <c r="C1106" s="108"/>
      <c r="D1106" s="108"/>
    </row>
    <row r="1107" spans="1:4" ht="20.25" customHeight="1" x14ac:dyDescent="0.25">
      <c r="A1107" s="105"/>
      <c r="B1107" s="111"/>
      <c r="C1107" s="112"/>
      <c r="D1107" s="113"/>
    </row>
    <row r="1108" spans="1:4" ht="20.25" customHeight="1" x14ac:dyDescent="0.25">
      <c r="A1108" s="105"/>
      <c r="B1108" s="114"/>
      <c r="C1108" s="109"/>
      <c r="D1108" s="115"/>
    </row>
    <row r="1109" spans="1:4" ht="20.25" customHeight="1" x14ac:dyDescent="0.25">
      <c r="A1109" s="105"/>
      <c r="B1109" s="114"/>
      <c r="C1109" s="109"/>
      <c r="D1109" s="115"/>
    </row>
    <row r="1110" spans="1:4" ht="20.25" customHeight="1" x14ac:dyDescent="0.25">
      <c r="A1110" s="105"/>
      <c r="B1110" s="114"/>
      <c r="C1110" s="109"/>
      <c r="D1110" s="115"/>
    </row>
    <row r="1111" spans="1:4" ht="20.25" customHeight="1" x14ac:dyDescent="0.25">
      <c r="A1111" s="105"/>
      <c r="B1111" s="114"/>
      <c r="C1111" s="109"/>
      <c r="D1111" s="115"/>
    </row>
    <row r="1112" spans="1:4" ht="20.25" customHeight="1" x14ac:dyDescent="0.25">
      <c r="A1112" s="105"/>
      <c r="B1112" s="114"/>
      <c r="C1112" s="109"/>
      <c r="D1112" s="115"/>
    </row>
    <row r="1113" spans="1:4" ht="20.25" customHeight="1" x14ac:dyDescent="0.25">
      <c r="A1113" s="105"/>
      <c r="B1113" s="114"/>
      <c r="C1113" s="109"/>
      <c r="D1113" s="115"/>
    </row>
    <row r="1114" spans="1:4" ht="20.25" customHeight="1" x14ac:dyDescent="0.25">
      <c r="A1114" s="105"/>
      <c r="B1114" s="114"/>
      <c r="C1114" s="109"/>
      <c r="D1114" s="115"/>
    </row>
    <row r="1115" spans="1:4" ht="20.25" customHeight="1" thickBot="1" x14ac:dyDescent="0.3">
      <c r="A1115" s="73"/>
      <c r="B1115" s="116"/>
      <c r="C1115" s="117"/>
      <c r="D1115" s="118"/>
    </row>
    <row r="1116" spans="1:4" ht="20.25" customHeight="1" thickBot="1" x14ac:dyDescent="0.3">
      <c r="A1116" s="98"/>
      <c r="B1116" s="100"/>
      <c r="C1116" s="100"/>
      <c r="D1116" s="76"/>
    </row>
    <row r="1117" spans="1:4" ht="20.25" customHeight="1" x14ac:dyDescent="0.25">
      <c r="A1117" s="91"/>
      <c r="B1117" s="92"/>
      <c r="C1117" s="92"/>
      <c r="D1117" s="104"/>
    </row>
    <row r="1118" spans="1:4" ht="20.25" customHeight="1" thickBot="1" x14ac:dyDescent="0.3">
      <c r="A1118" s="73"/>
      <c r="B1118" s="74"/>
      <c r="C1118" s="74"/>
      <c r="D1118" s="75"/>
    </row>
    <row r="1119" spans="1:4" ht="20.25" customHeight="1" thickBot="1" x14ac:dyDescent="0.3">
      <c r="A1119" s="98"/>
      <c r="B1119" s="76"/>
      <c r="C1119" s="98"/>
      <c r="D1119" s="76"/>
    </row>
    <row r="1120" spans="1:4" ht="20.25" customHeight="1" thickBot="1" x14ac:dyDescent="0.3">
      <c r="A1120" s="110"/>
      <c r="B1120" s="98"/>
      <c r="C1120" s="76"/>
      <c r="D1120" s="110"/>
    </row>
    <row r="1121" spans="1:22" ht="20.25" customHeight="1" thickBot="1" x14ac:dyDescent="0.3">
      <c r="A1121" s="110"/>
      <c r="B1121" s="106"/>
      <c r="C1121" s="74"/>
      <c r="D1121" s="107"/>
      <c r="T1121" s="95"/>
      <c r="V1121" s="95"/>
    </row>
    <row r="1122" spans="1:22" ht="20.25" customHeight="1" thickBot="1" x14ac:dyDescent="0.3">
      <c r="A1122" s="98"/>
      <c r="B1122" s="76"/>
      <c r="C1122" s="98"/>
      <c r="D1122" s="76"/>
    </row>
    <row r="1123" spans="1:22" ht="20.25" customHeight="1" thickBot="1" x14ac:dyDescent="0.3">
      <c r="A1123" s="98"/>
      <c r="B1123" s="76"/>
      <c r="C1123" s="98"/>
      <c r="D1123" s="76"/>
      <c r="U1123" s="95"/>
      <c r="V1123" s="95"/>
    </row>
    <row r="1124" spans="1:22" ht="20.25" customHeight="1" thickBot="1" x14ac:dyDescent="0.3">
      <c r="A1124" s="98"/>
      <c r="B1124" s="76"/>
      <c r="C1124" s="98"/>
      <c r="D1124" s="76"/>
    </row>
    <row r="1125" spans="1:22" ht="20.25" customHeight="1" thickBot="1" x14ac:dyDescent="0.3">
      <c r="A1125" s="105"/>
      <c r="B1125" s="64"/>
      <c r="C1125" s="64"/>
      <c r="D1125" s="72"/>
    </row>
    <row r="1126" spans="1:22" ht="20.25" customHeight="1" thickBot="1" x14ac:dyDescent="0.3">
      <c r="A1126" s="108"/>
      <c r="B1126" s="108"/>
      <c r="C1126" s="108"/>
      <c r="D1126" s="108"/>
    </row>
    <row r="1127" spans="1:22" ht="20.25" customHeight="1" x14ac:dyDescent="0.25">
      <c r="A1127" s="105"/>
      <c r="B1127" s="111"/>
      <c r="C1127" s="112"/>
      <c r="D1127" s="113"/>
    </row>
    <row r="1128" spans="1:22" ht="20.25" customHeight="1" x14ac:dyDescent="0.25">
      <c r="A1128" s="105"/>
      <c r="B1128" s="114"/>
      <c r="C1128" s="109"/>
      <c r="D1128" s="115"/>
    </row>
    <row r="1129" spans="1:22" ht="20.25" customHeight="1" x14ac:dyDescent="0.25">
      <c r="A1129" s="105"/>
      <c r="B1129" s="114"/>
      <c r="C1129" s="109"/>
      <c r="D1129" s="115"/>
    </row>
    <row r="1130" spans="1:22" ht="20.25" customHeight="1" x14ac:dyDescent="0.25">
      <c r="A1130" s="105"/>
      <c r="B1130" s="114"/>
      <c r="C1130" s="109"/>
      <c r="D1130" s="115"/>
    </row>
    <row r="1131" spans="1:22" ht="20.25" customHeight="1" x14ac:dyDescent="0.25">
      <c r="A1131" s="105"/>
      <c r="B1131" s="114"/>
      <c r="C1131" s="109"/>
      <c r="D1131" s="115"/>
    </row>
    <row r="1132" spans="1:22" ht="20.25" customHeight="1" x14ac:dyDescent="0.25">
      <c r="A1132" s="105"/>
      <c r="B1132" s="114"/>
      <c r="C1132" s="109"/>
      <c r="D1132" s="115"/>
    </row>
    <row r="1133" spans="1:22" ht="20.25" customHeight="1" x14ac:dyDescent="0.25">
      <c r="A1133" s="105"/>
      <c r="B1133" s="114"/>
      <c r="C1133" s="109"/>
      <c r="D1133" s="115"/>
    </row>
    <row r="1134" spans="1:22" ht="20.25" customHeight="1" x14ac:dyDescent="0.25">
      <c r="A1134" s="105"/>
      <c r="B1134" s="114"/>
      <c r="C1134" s="109"/>
      <c r="D1134" s="115"/>
    </row>
    <row r="1135" spans="1:22" ht="20.25" customHeight="1" thickBot="1" x14ac:dyDescent="0.3">
      <c r="A1135" s="73"/>
      <c r="B1135" s="116"/>
      <c r="C1135" s="117"/>
      <c r="D1135" s="118"/>
    </row>
    <row r="1136" spans="1:22" ht="20.25" customHeight="1" thickBot="1" x14ac:dyDescent="0.3">
      <c r="A1136" s="98"/>
      <c r="B1136" s="100"/>
      <c r="C1136" s="100"/>
      <c r="D1136" s="76"/>
    </row>
    <row r="1137" spans="1:22" ht="20.25" customHeight="1" x14ac:dyDescent="0.25">
      <c r="A1137" s="91"/>
      <c r="B1137" s="92"/>
      <c r="C1137" s="92"/>
      <c r="D1137" s="104"/>
    </row>
    <row r="1138" spans="1:22" ht="20.25" customHeight="1" thickBot="1" x14ac:dyDescent="0.3">
      <c r="A1138" s="73"/>
      <c r="B1138" s="74"/>
      <c r="C1138" s="74"/>
      <c r="D1138" s="75"/>
    </row>
    <row r="1139" spans="1:22" ht="20.25" customHeight="1" thickBot="1" x14ac:dyDescent="0.3">
      <c r="A1139" s="98"/>
      <c r="B1139" s="76"/>
      <c r="C1139" s="98"/>
      <c r="D1139" s="76"/>
    </row>
    <row r="1140" spans="1:22" ht="20.25" customHeight="1" thickBot="1" x14ac:dyDescent="0.3">
      <c r="A1140" s="110"/>
      <c r="B1140" s="98"/>
      <c r="C1140" s="76"/>
      <c r="D1140" s="110"/>
    </row>
    <row r="1141" spans="1:22" ht="20.25" customHeight="1" thickBot="1" x14ac:dyDescent="0.3">
      <c r="A1141" s="110"/>
      <c r="B1141" s="106"/>
      <c r="C1141" s="74"/>
      <c r="D1141" s="107"/>
      <c r="T1141" s="95"/>
      <c r="V1141" s="95"/>
    </row>
    <row r="1142" spans="1:22" ht="20.25" customHeight="1" thickBot="1" x14ac:dyDescent="0.3">
      <c r="A1142" s="98"/>
      <c r="B1142" s="76"/>
      <c r="C1142" s="98"/>
      <c r="D1142" s="76"/>
    </row>
    <row r="1143" spans="1:22" ht="20.25" customHeight="1" thickBot="1" x14ac:dyDescent="0.3">
      <c r="A1143" s="98"/>
      <c r="B1143" s="76"/>
      <c r="C1143" s="98"/>
      <c r="D1143" s="76"/>
      <c r="U1143" s="95"/>
      <c r="V1143" s="95"/>
    </row>
    <row r="1144" spans="1:22" ht="20.25" customHeight="1" thickBot="1" x14ac:dyDescent="0.3">
      <c r="A1144" s="98"/>
      <c r="B1144" s="76"/>
      <c r="C1144" s="98"/>
      <c r="D1144" s="76"/>
    </row>
    <row r="1145" spans="1:22" ht="20.25" customHeight="1" thickBot="1" x14ac:dyDescent="0.3">
      <c r="A1145" s="105"/>
      <c r="B1145" s="64"/>
      <c r="C1145" s="64"/>
      <c r="D1145" s="72"/>
    </row>
    <row r="1146" spans="1:22" ht="20.25" customHeight="1" thickBot="1" x14ac:dyDescent="0.3">
      <c r="A1146" s="108"/>
      <c r="B1146" s="108"/>
      <c r="C1146" s="108"/>
      <c r="D1146" s="108"/>
    </row>
    <row r="1147" spans="1:22" ht="20.25" customHeight="1" x14ac:dyDescent="0.25">
      <c r="A1147" s="105"/>
      <c r="B1147" s="111"/>
      <c r="C1147" s="112"/>
      <c r="D1147" s="113"/>
    </row>
    <row r="1148" spans="1:22" ht="20.25" customHeight="1" x14ac:dyDescent="0.25">
      <c r="A1148" s="105"/>
      <c r="B1148" s="114"/>
      <c r="C1148" s="109"/>
      <c r="D1148" s="115"/>
    </row>
    <row r="1149" spans="1:22" ht="20.25" customHeight="1" x14ac:dyDescent="0.25">
      <c r="A1149" s="105"/>
      <c r="B1149" s="114"/>
      <c r="C1149" s="109"/>
      <c r="D1149" s="115"/>
    </row>
    <row r="1150" spans="1:22" ht="20.25" customHeight="1" x14ac:dyDescent="0.25">
      <c r="A1150" s="105"/>
      <c r="B1150" s="114"/>
      <c r="C1150" s="109"/>
      <c r="D1150" s="115"/>
    </row>
    <row r="1151" spans="1:22" ht="20.25" customHeight="1" x14ac:dyDescent="0.25">
      <c r="A1151" s="105"/>
      <c r="B1151" s="114"/>
      <c r="C1151" s="109"/>
      <c r="D1151" s="115"/>
    </row>
    <row r="1152" spans="1:22" ht="20.25" customHeight="1" x14ac:dyDescent="0.25">
      <c r="A1152" s="105"/>
      <c r="B1152" s="114"/>
      <c r="C1152" s="109"/>
      <c r="D1152" s="115"/>
    </row>
    <row r="1153" spans="1:22" ht="20.25" customHeight="1" x14ac:dyDescent="0.25">
      <c r="A1153" s="105"/>
      <c r="B1153" s="114"/>
      <c r="C1153" s="109"/>
      <c r="D1153" s="115"/>
    </row>
    <row r="1154" spans="1:22" ht="20.25" customHeight="1" x14ac:dyDescent="0.25">
      <c r="A1154" s="105"/>
      <c r="B1154" s="114"/>
      <c r="C1154" s="109"/>
      <c r="D1154" s="115"/>
    </row>
    <row r="1155" spans="1:22" ht="20.25" customHeight="1" thickBot="1" x14ac:dyDescent="0.3">
      <c r="A1155" s="73"/>
      <c r="B1155" s="116"/>
      <c r="C1155" s="117"/>
      <c r="D1155" s="118"/>
    </row>
    <row r="1156" spans="1:22" ht="20.25" customHeight="1" thickBot="1" x14ac:dyDescent="0.3">
      <c r="A1156" s="98"/>
      <c r="B1156" s="100"/>
      <c r="C1156" s="100"/>
      <c r="D1156" s="76"/>
    </row>
    <row r="1157" spans="1:22" ht="20.25" customHeight="1" x14ac:dyDescent="0.25">
      <c r="A1157" s="91"/>
      <c r="B1157" s="92"/>
      <c r="C1157" s="92"/>
      <c r="D1157" s="104"/>
    </row>
    <row r="1158" spans="1:22" ht="20.25" customHeight="1" thickBot="1" x14ac:dyDescent="0.3">
      <c r="A1158" s="73"/>
      <c r="B1158" s="74"/>
      <c r="C1158" s="74"/>
      <c r="D1158" s="75"/>
    </row>
    <row r="1159" spans="1:22" ht="20.25" customHeight="1" thickBot="1" x14ac:dyDescent="0.3">
      <c r="A1159" s="98"/>
      <c r="B1159" s="76"/>
      <c r="C1159" s="98"/>
      <c r="D1159" s="76"/>
    </row>
    <row r="1160" spans="1:22" ht="20.25" customHeight="1" thickBot="1" x14ac:dyDescent="0.3">
      <c r="A1160" s="110"/>
      <c r="B1160" s="98"/>
      <c r="C1160" s="76"/>
      <c r="D1160" s="110"/>
    </row>
    <row r="1161" spans="1:22" ht="20.25" customHeight="1" thickBot="1" x14ac:dyDescent="0.3">
      <c r="A1161" s="110"/>
      <c r="B1161" s="106"/>
      <c r="C1161" s="74"/>
      <c r="D1161" s="107"/>
      <c r="T1161" s="95"/>
      <c r="V1161" s="95"/>
    </row>
    <row r="1162" spans="1:22" ht="20.25" customHeight="1" thickBot="1" x14ac:dyDescent="0.3">
      <c r="A1162" s="98"/>
      <c r="B1162" s="76"/>
      <c r="C1162" s="98"/>
      <c r="D1162" s="76"/>
    </row>
    <row r="1163" spans="1:22" ht="20.25" customHeight="1" thickBot="1" x14ac:dyDescent="0.3">
      <c r="A1163" s="98"/>
      <c r="B1163" s="76"/>
      <c r="C1163" s="98"/>
      <c r="D1163" s="76"/>
      <c r="U1163" s="95"/>
      <c r="V1163" s="95"/>
    </row>
    <row r="1164" spans="1:22" ht="20.25" customHeight="1" thickBot="1" x14ac:dyDescent="0.3">
      <c r="A1164" s="98"/>
      <c r="B1164" s="76"/>
      <c r="C1164" s="98"/>
      <c r="D1164" s="76"/>
    </row>
    <row r="1165" spans="1:22" ht="20.25" customHeight="1" thickBot="1" x14ac:dyDescent="0.3">
      <c r="A1165" s="105"/>
      <c r="B1165" s="64"/>
      <c r="C1165" s="64"/>
      <c r="D1165" s="72"/>
    </row>
    <row r="1166" spans="1:22" ht="20.25" customHeight="1" thickBot="1" x14ac:dyDescent="0.3">
      <c r="A1166" s="108"/>
      <c r="B1166" s="108"/>
      <c r="C1166" s="108"/>
      <c r="D1166" s="108"/>
    </row>
    <row r="1167" spans="1:22" ht="20.25" customHeight="1" x14ac:dyDescent="0.25">
      <c r="A1167" s="105"/>
      <c r="B1167" s="111"/>
      <c r="C1167" s="112"/>
      <c r="D1167" s="113"/>
    </row>
    <row r="1168" spans="1:22" ht="20.25" customHeight="1" x14ac:dyDescent="0.25">
      <c r="A1168" s="105"/>
      <c r="B1168" s="114"/>
      <c r="C1168" s="109"/>
      <c r="D1168" s="115"/>
    </row>
    <row r="1169" spans="1:22" ht="20.25" customHeight="1" x14ac:dyDescent="0.25">
      <c r="A1169" s="105"/>
      <c r="B1169" s="114"/>
      <c r="C1169" s="109"/>
      <c r="D1169" s="115"/>
    </row>
    <row r="1170" spans="1:22" ht="20.25" customHeight="1" x14ac:dyDescent="0.25">
      <c r="A1170" s="105"/>
      <c r="B1170" s="114"/>
      <c r="C1170" s="109"/>
      <c r="D1170" s="115"/>
    </row>
    <row r="1171" spans="1:22" ht="20.25" customHeight="1" x14ac:dyDescent="0.25">
      <c r="A1171" s="105"/>
      <c r="B1171" s="114"/>
      <c r="C1171" s="109"/>
      <c r="D1171" s="115"/>
    </row>
    <row r="1172" spans="1:22" ht="20.25" customHeight="1" x14ac:dyDescent="0.25">
      <c r="A1172" s="105"/>
      <c r="B1172" s="114"/>
      <c r="C1172" s="109"/>
      <c r="D1172" s="115"/>
    </row>
    <row r="1173" spans="1:22" ht="20.25" customHeight="1" x14ac:dyDescent="0.25">
      <c r="A1173" s="105"/>
      <c r="B1173" s="114"/>
      <c r="C1173" s="109"/>
      <c r="D1173" s="115"/>
    </row>
    <row r="1174" spans="1:22" ht="20.25" customHeight="1" x14ac:dyDescent="0.25">
      <c r="A1174" s="105"/>
      <c r="B1174" s="114"/>
      <c r="C1174" s="109"/>
      <c r="D1174" s="115"/>
    </row>
    <row r="1175" spans="1:22" ht="20.25" customHeight="1" thickBot="1" x14ac:dyDescent="0.3">
      <c r="A1175" s="73"/>
      <c r="B1175" s="116"/>
      <c r="C1175" s="117"/>
      <c r="D1175" s="118"/>
    </row>
    <row r="1176" spans="1:22" ht="20.25" customHeight="1" thickBot="1" x14ac:dyDescent="0.3">
      <c r="A1176" s="98"/>
      <c r="B1176" s="100"/>
      <c r="C1176" s="100"/>
      <c r="D1176" s="76"/>
    </row>
    <row r="1177" spans="1:22" ht="20.25" customHeight="1" x14ac:dyDescent="0.25">
      <c r="A1177" s="91"/>
      <c r="B1177" s="92"/>
      <c r="C1177" s="92"/>
      <c r="D1177" s="104"/>
    </row>
    <row r="1178" spans="1:22" ht="20.25" customHeight="1" thickBot="1" x14ac:dyDescent="0.3">
      <c r="A1178" s="73"/>
      <c r="B1178" s="74"/>
      <c r="C1178" s="74"/>
      <c r="D1178" s="75"/>
    </row>
    <row r="1179" spans="1:22" ht="20.25" customHeight="1" thickBot="1" x14ac:dyDescent="0.3">
      <c r="A1179" s="98"/>
      <c r="B1179" s="76"/>
      <c r="C1179" s="98"/>
      <c r="D1179" s="76"/>
    </row>
    <row r="1180" spans="1:22" ht="20.25" customHeight="1" thickBot="1" x14ac:dyDescent="0.3">
      <c r="A1180" s="110"/>
      <c r="B1180" s="98"/>
      <c r="C1180" s="76"/>
      <c r="D1180" s="110"/>
    </row>
    <row r="1181" spans="1:22" ht="20.25" customHeight="1" thickBot="1" x14ac:dyDescent="0.3">
      <c r="A1181" s="110"/>
      <c r="B1181" s="106"/>
      <c r="C1181" s="74"/>
      <c r="D1181" s="107"/>
      <c r="T1181" s="95"/>
      <c r="V1181" s="95"/>
    </row>
    <row r="1182" spans="1:22" ht="20.25" customHeight="1" thickBot="1" x14ac:dyDescent="0.3">
      <c r="A1182" s="98"/>
      <c r="B1182" s="76"/>
      <c r="C1182" s="98"/>
      <c r="D1182" s="76"/>
    </row>
    <row r="1183" spans="1:22" ht="20.25" customHeight="1" thickBot="1" x14ac:dyDescent="0.3">
      <c r="A1183" s="98"/>
      <c r="B1183" s="76"/>
      <c r="C1183" s="98"/>
      <c r="D1183" s="76"/>
      <c r="U1183" s="95"/>
      <c r="V1183" s="95"/>
    </row>
    <row r="1184" spans="1:22" ht="20.25" customHeight="1" thickBot="1" x14ac:dyDescent="0.3">
      <c r="A1184" s="98"/>
      <c r="B1184" s="76"/>
      <c r="C1184" s="98"/>
      <c r="D1184" s="76"/>
    </row>
    <row r="1185" spans="1:4" ht="20.25" customHeight="1" thickBot="1" x14ac:dyDescent="0.3">
      <c r="A1185" s="105"/>
      <c r="B1185" s="64"/>
      <c r="C1185" s="64"/>
      <c r="D1185" s="72"/>
    </row>
    <row r="1186" spans="1:4" ht="20.25" customHeight="1" thickBot="1" x14ac:dyDescent="0.3">
      <c r="A1186" s="108"/>
      <c r="B1186" s="108"/>
      <c r="C1186" s="108"/>
      <c r="D1186" s="108"/>
    </row>
    <row r="1187" spans="1:4" ht="20.25" customHeight="1" x14ac:dyDescent="0.25">
      <c r="A1187" s="105"/>
      <c r="B1187" s="111"/>
      <c r="C1187" s="112"/>
      <c r="D1187" s="113"/>
    </row>
    <row r="1188" spans="1:4" ht="20.25" customHeight="1" x14ac:dyDescent="0.25">
      <c r="A1188" s="105"/>
      <c r="B1188" s="114"/>
      <c r="C1188" s="109"/>
      <c r="D1188" s="115"/>
    </row>
    <row r="1189" spans="1:4" ht="20.25" customHeight="1" x14ac:dyDescent="0.25">
      <c r="A1189" s="105"/>
      <c r="B1189" s="114"/>
      <c r="C1189" s="109"/>
      <c r="D1189" s="115"/>
    </row>
    <row r="1190" spans="1:4" ht="20.25" customHeight="1" x14ac:dyDescent="0.25">
      <c r="A1190" s="105"/>
      <c r="B1190" s="114"/>
      <c r="C1190" s="109"/>
      <c r="D1190" s="115"/>
    </row>
    <row r="1191" spans="1:4" ht="20.25" customHeight="1" x14ac:dyDescent="0.25">
      <c r="A1191" s="105"/>
      <c r="B1191" s="114"/>
      <c r="C1191" s="109"/>
      <c r="D1191" s="115"/>
    </row>
    <row r="1192" spans="1:4" ht="20.25" customHeight="1" x14ac:dyDescent="0.25">
      <c r="A1192" s="105"/>
      <c r="B1192" s="114"/>
      <c r="C1192" s="109"/>
      <c r="D1192" s="115"/>
    </row>
    <row r="1193" spans="1:4" ht="20.25" customHeight="1" x14ac:dyDescent="0.25">
      <c r="A1193" s="105"/>
      <c r="B1193" s="114"/>
      <c r="C1193" s="109"/>
      <c r="D1193" s="115"/>
    </row>
    <row r="1194" spans="1:4" ht="20.25" customHeight="1" x14ac:dyDescent="0.25">
      <c r="A1194" s="105"/>
      <c r="B1194" s="114"/>
      <c r="C1194" s="109"/>
      <c r="D1194" s="115"/>
    </row>
    <row r="1195" spans="1:4" ht="20.25" customHeight="1" thickBot="1" x14ac:dyDescent="0.3">
      <c r="A1195" s="73"/>
      <c r="B1195" s="116"/>
      <c r="C1195" s="117"/>
      <c r="D1195" s="118"/>
    </row>
    <row r="1196" spans="1:4" ht="20.25" customHeight="1" thickBot="1" x14ac:dyDescent="0.3">
      <c r="A1196" s="98"/>
      <c r="B1196" s="100"/>
      <c r="C1196" s="100"/>
      <c r="D1196" s="76"/>
    </row>
    <row r="1197" spans="1:4" ht="20.25" customHeight="1" x14ac:dyDescent="0.25">
      <c r="A1197" s="91"/>
      <c r="B1197" s="92"/>
      <c r="C1197" s="92"/>
      <c r="D1197" s="104"/>
    </row>
    <row r="1198" spans="1:4" ht="20.25" customHeight="1" thickBot="1" x14ac:dyDescent="0.3">
      <c r="A1198" s="73"/>
      <c r="B1198" s="74"/>
      <c r="C1198" s="74"/>
      <c r="D1198" s="75"/>
    </row>
    <row r="1199" spans="1:4" ht="20.25" customHeight="1" thickBot="1" x14ac:dyDescent="0.3">
      <c r="A1199" s="98"/>
      <c r="B1199" s="76"/>
      <c r="C1199" s="98"/>
      <c r="D1199" s="76"/>
    </row>
    <row r="1200" spans="1:4" ht="20.25" customHeight="1" thickBot="1" x14ac:dyDescent="0.3">
      <c r="A1200" s="110"/>
      <c r="B1200" s="98"/>
      <c r="C1200" s="76"/>
      <c r="D1200" s="110"/>
    </row>
    <row r="1201" spans="1:22" ht="20.25" customHeight="1" thickBot="1" x14ac:dyDescent="0.3">
      <c r="A1201" s="110"/>
      <c r="B1201" s="106"/>
      <c r="C1201" s="74"/>
      <c r="D1201" s="107"/>
      <c r="T1201" s="95"/>
      <c r="V1201" s="95"/>
    </row>
    <row r="1202" spans="1:22" ht="20.25" customHeight="1" thickBot="1" x14ac:dyDescent="0.3">
      <c r="A1202" s="98"/>
      <c r="B1202" s="76"/>
      <c r="C1202" s="98"/>
      <c r="D1202" s="76"/>
    </row>
    <row r="1203" spans="1:22" ht="20.25" customHeight="1" thickBot="1" x14ac:dyDescent="0.3">
      <c r="A1203" s="98"/>
      <c r="B1203" s="76"/>
      <c r="C1203" s="98"/>
      <c r="D1203" s="76"/>
      <c r="U1203" s="95"/>
      <c r="V1203" s="95"/>
    </row>
    <row r="1204" spans="1:22" ht="20.25" customHeight="1" thickBot="1" x14ac:dyDescent="0.3">
      <c r="A1204" s="98"/>
      <c r="B1204" s="76"/>
      <c r="C1204" s="98"/>
      <c r="D1204" s="76"/>
    </row>
    <row r="1205" spans="1:22" ht="20.25" customHeight="1" thickBot="1" x14ac:dyDescent="0.3">
      <c r="A1205" s="105"/>
      <c r="B1205" s="64"/>
      <c r="C1205" s="64"/>
      <c r="D1205" s="72"/>
    </row>
    <row r="1206" spans="1:22" ht="20.25" customHeight="1" thickBot="1" x14ac:dyDescent="0.3">
      <c r="A1206" s="108"/>
      <c r="B1206" s="108"/>
      <c r="C1206" s="108"/>
      <c r="D1206" s="108"/>
    </row>
    <row r="1207" spans="1:22" ht="20.25" customHeight="1" x14ac:dyDescent="0.25">
      <c r="A1207" s="105"/>
      <c r="B1207" s="111"/>
      <c r="C1207" s="112"/>
      <c r="D1207" s="113"/>
    </row>
    <row r="1208" spans="1:22" ht="20.25" customHeight="1" x14ac:dyDescent="0.25">
      <c r="A1208" s="105"/>
      <c r="B1208" s="114"/>
      <c r="C1208" s="109"/>
      <c r="D1208" s="115"/>
    </row>
    <row r="1209" spans="1:22" ht="20.25" customHeight="1" x14ac:dyDescent="0.25">
      <c r="A1209" s="105"/>
      <c r="B1209" s="114"/>
      <c r="C1209" s="109"/>
      <c r="D1209" s="115"/>
    </row>
    <row r="1210" spans="1:22" ht="20.25" customHeight="1" x14ac:dyDescent="0.25">
      <c r="A1210" s="105"/>
      <c r="B1210" s="114"/>
      <c r="C1210" s="109"/>
      <c r="D1210" s="115"/>
    </row>
    <row r="1211" spans="1:22" ht="20.25" customHeight="1" x14ac:dyDescent="0.25">
      <c r="A1211" s="105"/>
      <c r="B1211" s="114"/>
      <c r="C1211" s="109"/>
      <c r="D1211" s="115"/>
    </row>
    <row r="1212" spans="1:22" ht="20.25" customHeight="1" x14ac:dyDescent="0.25">
      <c r="A1212" s="105"/>
      <c r="B1212" s="114"/>
      <c r="C1212" s="109"/>
      <c r="D1212" s="115"/>
    </row>
    <row r="1213" spans="1:22" ht="20.25" customHeight="1" x14ac:dyDescent="0.25">
      <c r="A1213" s="105"/>
      <c r="B1213" s="114"/>
      <c r="C1213" s="109"/>
      <c r="D1213" s="115"/>
    </row>
    <row r="1214" spans="1:22" ht="20.25" customHeight="1" x14ac:dyDescent="0.25">
      <c r="A1214" s="105"/>
      <c r="B1214" s="114"/>
      <c r="C1214" s="109"/>
      <c r="D1214" s="115"/>
    </row>
    <row r="1215" spans="1:22" ht="20.25" customHeight="1" thickBot="1" x14ac:dyDescent="0.3">
      <c r="A1215" s="73"/>
      <c r="B1215" s="116"/>
      <c r="C1215" s="117"/>
      <c r="D1215" s="118"/>
    </row>
    <row r="1216" spans="1:22" ht="20.25" customHeight="1" thickBot="1" x14ac:dyDescent="0.3">
      <c r="A1216" s="98"/>
      <c r="B1216" s="100"/>
      <c r="C1216" s="100"/>
      <c r="D1216" s="76"/>
    </row>
    <row r="1217" spans="1:22" ht="20.25" customHeight="1" x14ac:dyDescent="0.25">
      <c r="A1217" s="91"/>
      <c r="B1217" s="92"/>
      <c r="C1217" s="92"/>
      <c r="D1217" s="104"/>
    </row>
    <row r="1218" spans="1:22" ht="20.25" customHeight="1" thickBot="1" x14ac:dyDescent="0.3">
      <c r="A1218" s="73"/>
      <c r="B1218" s="74"/>
      <c r="C1218" s="74"/>
      <c r="D1218" s="75"/>
    </row>
    <row r="1219" spans="1:22" ht="20.25" customHeight="1" thickBot="1" x14ac:dyDescent="0.3">
      <c r="A1219" s="98"/>
      <c r="B1219" s="76"/>
      <c r="C1219" s="98"/>
      <c r="D1219" s="76"/>
    </row>
    <row r="1220" spans="1:22" ht="20.25" customHeight="1" thickBot="1" x14ac:dyDescent="0.3">
      <c r="A1220" s="110"/>
      <c r="B1220" s="98"/>
      <c r="C1220" s="76"/>
      <c r="D1220" s="110"/>
    </row>
    <row r="1221" spans="1:22" ht="20.25" customHeight="1" thickBot="1" x14ac:dyDescent="0.3">
      <c r="A1221" s="110"/>
      <c r="B1221" s="106"/>
      <c r="C1221" s="74"/>
      <c r="D1221" s="107"/>
      <c r="T1221" s="95"/>
      <c r="V1221" s="95"/>
    </row>
    <row r="1222" spans="1:22" ht="20.25" customHeight="1" thickBot="1" x14ac:dyDescent="0.3">
      <c r="A1222" s="98"/>
      <c r="B1222" s="76"/>
      <c r="C1222" s="98"/>
      <c r="D1222" s="76"/>
    </row>
    <row r="1223" spans="1:22" ht="20.25" customHeight="1" thickBot="1" x14ac:dyDescent="0.3">
      <c r="A1223" s="98"/>
      <c r="B1223" s="76"/>
      <c r="C1223" s="98"/>
      <c r="D1223" s="76"/>
      <c r="U1223" s="95"/>
      <c r="V1223" s="95"/>
    </row>
    <row r="1224" spans="1:22" ht="20.25" customHeight="1" thickBot="1" x14ac:dyDescent="0.3">
      <c r="A1224" s="98"/>
      <c r="B1224" s="76"/>
      <c r="C1224" s="98"/>
      <c r="D1224" s="76"/>
    </row>
    <row r="1225" spans="1:22" ht="20.25" customHeight="1" thickBot="1" x14ac:dyDescent="0.3">
      <c r="A1225" s="105"/>
      <c r="B1225" s="64"/>
      <c r="C1225" s="64"/>
      <c r="D1225" s="72"/>
    </row>
    <row r="1226" spans="1:22" ht="20.25" customHeight="1" thickBot="1" x14ac:dyDescent="0.3">
      <c r="A1226" s="108"/>
      <c r="B1226" s="108"/>
      <c r="C1226" s="108"/>
      <c r="D1226" s="108"/>
    </row>
    <row r="1227" spans="1:22" ht="20.25" customHeight="1" x14ac:dyDescent="0.25">
      <c r="A1227" s="105"/>
      <c r="B1227" s="111"/>
      <c r="C1227" s="112"/>
      <c r="D1227" s="113"/>
    </row>
    <row r="1228" spans="1:22" ht="20.25" customHeight="1" x14ac:dyDescent="0.25">
      <c r="A1228" s="105"/>
      <c r="B1228" s="114"/>
      <c r="C1228" s="109"/>
      <c r="D1228" s="115"/>
    </row>
    <row r="1229" spans="1:22" ht="20.25" customHeight="1" x14ac:dyDescent="0.25">
      <c r="A1229" s="105"/>
      <c r="B1229" s="114"/>
      <c r="C1229" s="109"/>
      <c r="D1229" s="115"/>
    </row>
    <row r="1230" spans="1:22" ht="20.25" customHeight="1" x14ac:dyDescent="0.25">
      <c r="A1230" s="105"/>
      <c r="B1230" s="114"/>
      <c r="C1230" s="109"/>
      <c r="D1230" s="115"/>
    </row>
    <row r="1231" spans="1:22" ht="20.25" customHeight="1" x14ac:dyDescent="0.25">
      <c r="A1231" s="105"/>
      <c r="B1231" s="114"/>
      <c r="C1231" s="109"/>
      <c r="D1231" s="115"/>
    </row>
    <row r="1232" spans="1:22" ht="20.25" customHeight="1" x14ac:dyDescent="0.25">
      <c r="A1232" s="105"/>
      <c r="B1232" s="114"/>
      <c r="C1232" s="109"/>
      <c r="D1232" s="115"/>
    </row>
    <row r="1233" spans="1:22" ht="20.25" customHeight="1" x14ac:dyDescent="0.25">
      <c r="A1233" s="105"/>
      <c r="B1233" s="114"/>
      <c r="C1233" s="109"/>
      <c r="D1233" s="115"/>
    </row>
    <row r="1234" spans="1:22" ht="20.25" customHeight="1" x14ac:dyDescent="0.25">
      <c r="A1234" s="105"/>
      <c r="B1234" s="114"/>
      <c r="C1234" s="109"/>
      <c r="D1234" s="115"/>
    </row>
    <row r="1235" spans="1:22" ht="20.25" customHeight="1" thickBot="1" x14ac:dyDescent="0.3">
      <c r="A1235" s="73"/>
      <c r="B1235" s="116"/>
      <c r="C1235" s="117"/>
      <c r="D1235" s="118"/>
    </row>
    <row r="1236" spans="1:22" ht="20.25" customHeight="1" thickBot="1" x14ac:dyDescent="0.3">
      <c r="A1236" s="98"/>
      <c r="B1236" s="100"/>
      <c r="C1236" s="100"/>
      <c r="D1236" s="76"/>
    </row>
    <row r="1237" spans="1:22" ht="20.25" customHeight="1" x14ac:dyDescent="0.25">
      <c r="A1237" s="91"/>
      <c r="B1237" s="92"/>
      <c r="C1237" s="92"/>
      <c r="D1237" s="104"/>
    </row>
    <row r="1238" spans="1:22" ht="20.25" customHeight="1" thickBot="1" x14ac:dyDescent="0.3">
      <c r="A1238" s="73"/>
      <c r="B1238" s="74"/>
      <c r="C1238" s="74"/>
      <c r="D1238" s="75"/>
    </row>
    <row r="1239" spans="1:22" ht="20.25" customHeight="1" thickBot="1" x14ac:dyDescent="0.3">
      <c r="A1239" s="98"/>
      <c r="B1239" s="76"/>
      <c r="C1239" s="98"/>
      <c r="D1239" s="76"/>
    </row>
    <row r="1240" spans="1:22" ht="20.25" customHeight="1" thickBot="1" x14ac:dyDescent="0.3">
      <c r="A1240" s="110"/>
      <c r="B1240" s="98"/>
      <c r="C1240" s="76"/>
      <c r="D1240" s="110"/>
    </row>
    <row r="1241" spans="1:22" ht="20.25" customHeight="1" thickBot="1" x14ac:dyDescent="0.3">
      <c r="A1241" s="110"/>
      <c r="B1241" s="106"/>
      <c r="C1241" s="74"/>
      <c r="D1241" s="107"/>
      <c r="T1241" s="95"/>
      <c r="V1241" s="95"/>
    </row>
    <row r="1242" spans="1:22" ht="20.25" customHeight="1" thickBot="1" x14ac:dyDescent="0.3">
      <c r="A1242" s="98"/>
      <c r="B1242" s="76"/>
      <c r="C1242" s="98"/>
      <c r="D1242" s="76"/>
    </row>
    <row r="1243" spans="1:22" ht="20.25" customHeight="1" thickBot="1" x14ac:dyDescent="0.3">
      <c r="A1243" s="98"/>
      <c r="B1243" s="76"/>
      <c r="C1243" s="98"/>
      <c r="D1243" s="76"/>
      <c r="U1243" s="95"/>
      <c r="V1243" s="95"/>
    </row>
    <row r="1244" spans="1:22" ht="20.25" customHeight="1" thickBot="1" x14ac:dyDescent="0.3">
      <c r="A1244" s="98"/>
      <c r="B1244" s="76"/>
      <c r="C1244" s="98"/>
      <c r="D1244" s="76"/>
    </row>
    <row r="1245" spans="1:22" ht="20.25" customHeight="1" thickBot="1" x14ac:dyDescent="0.3">
      <c r="A1245" s="105"/>
      <c r="B1245" s="64"/>
      <c r="C1245" s="64"/>
      <c r="D1245" s="72"/>
    </row>
    <row r="1246" spans="1:22" ht="20.25" customHeight="1" thickBot="1" x14ac:dyDescent="0.3">
      <c r="A1246" s="108"/>
      <c r="B1246" s="108"/>
      <c r="C1246" s="108"/>
      <c r="D1246" s="108"/>
    </row>
    <row r="1247" spans="1:22" ht="20.25" customHeight="1" x14ac:dyDescent="0.25">
      <c r="A1247" s="105"/>
      <c r="B1247" s="111"/>
      <c r="C1247" s="112"/>
      <c r="D1247" s="113"/>
    </row>
    <row r="1248" spans="1:22" ht="20.25" customHeight="1" x14ac:dyDescent="0.25">
      <c r="A1248" s="105"/>
      <c r="B1248" s="114"/>
      <c r="C1248" s="109"/>
      <c r="D1248" s="115"/>
    </row>
    <row r="1249" spans="1:22" ht="20.25" customHeight="1" x14ac:dyDescent="0.25">
      <c r="A1249" s="105"/>
      <c r="B1249" s="114"/>
      <c r="C1249" s="109"/>
      <c r="D1249" s="115"/>
    </row>
    <row r="1250" spans="1:22" ht="20.25" customHeight="1" x14ac:dyDescent="0.25">
      <c r="A1250" s="105"/>
      <c r="B1250" s="114"/>
      <c r="C1250" s="109"/>
      <c r="D1250" s="115"/>
    </row>
    <row r="1251" spans="1:22" ht="20.25" customHeight="1" x14ac:dyDescent="0.25">
      <c r="A1251" s="105"/>
      <c r="B1251" s="114"/>
      <c r="C1251" s="109"/>
      <c r="D1251" s="115"/>
    </row>
    <row r="1252" spans="1:22" ht="20.25" customHeight="1" x14ac:dyDescent="0.25">
      <c r="A1252" s="105"/>
      <c r="B1252" s="114"/>
      <c r="C1252" s="109"/>
      <c r="D1252" s="115"/>
    </row>
    <row r="1253" spans="1:22" ht="20.25" customHeight="1" x14ac:dyDescent="0.25">
      <c r="A1253" s="105"/>
      <c r="B1253" s="114"/>
      <c r="C1253" s="109"/>
      <c r="D1253" s="115"/>
    </row>
    <row r="1254" spans="1:22" ht="20.25" customHeight="1" x14ac:dyDescent="0.25">
      <c r="A1254" s="105"/>
      <c r="B1254" s="114"/>
      <c r="C1254" s="109"/>
      <c r="D1254" s="115"/>
    </row>
    <row r="1255" spans="1:22" ht="20.25" customHeight="1" thickBot="1" x14ac:dyDescent="0.3">
      <c r="A1255" s="73"/>
      <c r="B1255" s="116"/>
      <c r="C1255" s="117"/>
      <c r="D1255" s="118"/>
    </row>
    <row r="1256" spans="1:22" ht="20.25" customHeight="1" thickBot="1" x14ac:dyDescent="0.3">
      <c r="A1256" s="98"/>
      <c r="B1256" s="100"/>
      <c r="C1256" s="100"/>
      <c r="D1256" s="76"/>
    </row>
    <row r="1257" spans="1:22" ht="20.25" customHeight="1" x14ac:dyDescent="0.25">
      <c r="A1257" s="91"/>
      <c r="B1257" s="92"/>
      <c r="C1257" s="92"/>
      <c r="D1257" s="104"/>
    </row>
    <row r="1258" spans="1:22" ht="20.25" customHeight="1" thickBot="1" x14ac:dyDescent="0.3">
      <c r="A1258" s="73"/>
      <c r="B1258" s="74"/>
      <c r="C1258" s="74"/>
      <c r="D1258" s="75"/>
    </row>
    <row r="1259" spans="1:22" ht="20.25" customHeight="1" thickBot="1" x14ac:dyDescent="0.3">
      <c r="A1259" s="98"/>
      <c r="B1259" s="76"/>
      <c r="C1259" s="98"/>
      <c r="D1259" s="76"/>
    </row>
    <row r="1260" spans="1:22" ht="20.25" customHeight="1" thickBot="1" x14ac:dyDescent="0.3">
      <c r="A1260" s="110"/>
      <c r="B1260" s="98"/>
      <c r="C1260" s="76"/>
      <c r="D1260" s="110"/>
    </row>
    <row r="1261" spans="1:22" ht="20.25" customHeight="1" thickBot="1" x14ac:dyDescent="0.3">
      <c r="A1261" s="110"/>
      <c r="B1261" s="106"/>
      <c r="C1261" s="74"/>
      <c r="D1261" s="107"/>
      <c r="T1261" s="95"/>
      <c r="V1261" s="95"/>
    </row>
    <row r="1262" spans="1:22" ht="20.25" customHeight="1" thickBot="1" x14ac:dyDescent="0.3">
      <c r="A1262" s="98"/>
      <c r="B1262" s="76"/>
      <c r="C1262" s="98"/>
      <c r="D1262" s="76"/>
    </row>
    <row r="1263" spans="1:22" ht="20.25" customHeight="1" thickBot="1" x14ac:dyDescent="0.3">
      <c r="A1263" s="98"/>
      <c r="B1263" s="76"/>
      <c r="C1263" s="98"/>
      <c r="D1263" s="76"/>
      <c r="U1263" s="95"/>
      <c r="V1263" s="95"/>
    </row>
    <row r="1264" spans="1:22" ht="20.25" customHeight="1" thickBot="1" x14ac:dyDescent="0.3">
      <c r="A1264" s="98"/>
      <c r="B1264" s="76"/>
      <c r="C1264" s="98"/>
      <c r="D1264" s="76"/>
    </row>
    <row r="1265" spans="1:4" ht="20.25" customHeight="1" thickBot="1" x14ac:dyDescent="0.3">
      <c r="A1265" s="105"/>
      <c r="B1265" s="64"/>
      <c r="C1265" s="64"/>
      <c r="D1265" s="72"/>
    </row>
    <row r="1266" spans="1:4" ht="20.25" customHeight="1" thickBot="1" x14ac:dyDescent="0.3">
      <c r="A1266" s="108"/>
      <c r="B1266" s="108"/>
      <c r="C1266" s="108"/>
      <c r="D1266" s="108"/>
    </row>
    <row r="1267" spans="1:4" ht="20.25" customHeight="1" x14ac:dyDescent="0.25">
      <c r="A1267" s="105"/>
      <c r="B1267" s="111"/>
      <c r="C1267" s="112"/>
      <c r="D1267" s="113"/>
    </row>
    <row r="1268" spans="1:4" ht="20.25" customHeight="1" x14ac:dyDescent="0.25">
      <c r="A1268" s="105"/>
      <c r="B1268" s="114"/>
      <c r="C1268" s="109"/>
      <c r="D1268" s="115"/>
    </row>
    <row r="1269" spans="1:4" ht="20.25" customHeight="1" x14ac:dyDescent="0.25">
      <c r="A1269" s="105"/>
      <c r="B1269" s="114"/>
      <c r="C1269" s="109"/>
      <c r="D1269" s="115"/>
    </row>
    <row r="1270" spans="1:4" ht="20.25" customHeight="1" x14ac:dyDescent="0.25">
      <c r="A1270" s="105"/>
      <c r="B1270" s="114"/>
      <c r="C1270" s="109"/>
      <c r="D1270" s="115"/>
    </row>
    <row r="1271" spans="1:4" ht="20.25" customHeight="1" x14ac:dyDescent="0.25">
      <c r="A1271" s="105"/>
      <c r="B1271" s="114"/>
      <c r="C1271" s="109"/>
      <c r="D1271" s="115"/>
    </row>
    <row r="1272" spans="1:4" ht="20.25" customHeight="1" x14ac:dyDescent="0.25">
      <c r="A1272" s="105"/>
      <c r="B1272" s="114"/>
      <c r="C1272" s="109"/>
      <c r="D1272" s="115"/>
    </row>
    <row r="1273" spans="1:4" ht="20.25" customHeight="1" x14ac:dyDescent="0.25">
      <c r="A1273" s="105"/>
      <c r="B1273" s="114"/>
      <c r="C1273" s="109"/>
      <c r="D1273" s="115"/>
    </row>
    <row r="1274" spans="1:4" ht="20.25" customHeight="1" x14ac:dyDescent="0.25">
      <c r="A1274" s="105"/>
      <c r="B1274" s="114"/>
      <c r="C1274" s="109"/>
      <c r="D1274" s="115"/>
    </row>
    <row r="1275" spans="1:4" ht="20.25" customHeight="1" thickBot="1" x14ac:dyDescent="0.3">
      <c r="A1275" s="73"/>
      <c r="B1275" s="116"/>
      <c r="C1275" s="117"/>
      <c r="D1275" s="118"/>
    </row>
    <row r="1276" spans="1:4" ht="20.25" customHeight="1" thickBot="1" x14ac:dyDescent="0.3">
      <c r="A1276" s="98"/>
      <c r="B1276" s="100"/>
      <c r="C1276" s="100"/>
      <c r="D1276" s="76"/>
    </row>
    <row r="1277" spans="1:4" ht="20.25" customHeight="1" x14ac:dyDescent="0.25">
      <c r="A1277" s="91"/>
      <c r="B1277" s="92"/>
      <c r="C1277" s="92"/>
      <c r="D1277" s="104"/>
    </row>
    <row r="1278" spans="1:4" ht="20.25" customHeight="1" thickBot="1" x14ac:dyDescent="0.3">
      <c r="A1278" s="73"/>
      <c r="B1278" s="74"/>
      <c r="C1278" s="74"/>
      <c r="D1278" s="75"/>
    </row>
    <row r="1279" spans="1:4" ht="20.25" customHeight="1" thickBot="1" x14ac:dyDescent="0.3">
      <c r="A1279" s="98"/>
      <c r="B1279" s="76"/>
      <c r="C1279" s="98"/>
      <c r="D1279" s="76"/>
    </row>
    <row r="1280" spans="1:4" ht="20.25" customHeight="1" thickBot="1" x14ac:dyDescent="0.3">
      <c r="A1280" s="110"/>
      <c r="B1280" s="98"/>
      <c r="C1280" s="76"/>
      <c r="D1280" s="110"/>
    </row>
    <row r="1281" spans="1:22" ht="20.25" customHeight="1" thickBot="1" x14ac:dyDescent="0.3">
      <c r="A1281" s="110"/>
      <c r="B1281" s="106"/>
      <c r="C1281" s="74"/>
      <c r="D1281" s="107"/>
      <c r="T1281" s="95"/>
      <c r="V1281" s="95"/>
    </row>
    <row r="1282" spans="1:22" ht="20.25" customHeight="1" thickBot="1" x14ac:dyDescent="0.3">
      <c r="A1282" s="98"/>
      <c r="B1282" s="76"/>
      <c r="C1282" s="98"/>
      <c r="D1282" s="76"/>
    </row>
    <row r="1283" spans="1:22" ht="20.25" customHeight="1" thickBot="1" x14ac:dyDescent="0.3">
      <c r="A1283" s="98"/>
      <c r="B1283" s="76"/>
      <c r="C1283" s="98"/>
      <c r="D1283" s="76"/>
      <c r="U1283" s="95"/>
      <c r="V1283" s="95"/>
    </row>
    <row r="1284" spans="1:22" ht="20.25" customHeight="1" thickBot="1" x14ac:dyDescent="0.3">
      <c r="A1284" s="98"/>
      <c r="B1284" s="76"/>
      <c r="C1284" s="98"/>
      <c r="D1284" s="76"/>
    </row>
    <row r="1285" spans="1:22" ht="20.25" customHeight="1" thickBot="1" x14ac:dyDescent="0.3">
      <c r="A1285" s="105"/>
      <c r="B1285" s="64"/>
      <c r="C1285" s="64"/>
      <c r="D1285" s="72"/>
    </row>
    <row r="1286" spans="1:22" ht="20.25" customHeight="1" thickBot="1" x14ac:dyDescent="0.3">
      <c r="A1286" s="108"/>
      <c r="B1286" s="108"/>
      <c r="C1286" s="108"/>
      <c r="D1286" s="108"/>
    </row>
    <row r="1287" spans="1:22" ht="20.25" customHeight="1" x14ac:dyDescent="0.25">
      <c r="A1287" s="105"/>
      <c r="B1287" s="111"/>
      <c r="C1287" s="112"/>
      <c r="D1287" s="113"/>
    </row>
    <row r="1288" spans="1:22" ht="20.25" customHeight="1" x14ac:dyDescent="0.25">
      <c r="A1288" s="105"/>
      <c r="B1288" s="114"/>
      <c r="C1288" s="109"/>
      <c r="D1288" s="115"/>
    </row>
    <row r="1289" spans="1:22" ht="20.25" customHeight="1" x14ac:dyDescent="0.25">
      <c r="A1289" s="105"/>
      <c r="B1289" s="114"/>
      <c r="C1289" s="109"/>
      <c r="D1289" s="115"/>
    </row>
    <row r="1290" spans="1:22" ht="20.25" customHeight="1" x14ac:dyDescent="0.25">
      <c r="A1290" s="105"/>
      <c r="B1290" s="114"/>
      <c r="C1290" s="109"/>
      <c r="D1290" s="115"/>
    </row>
    <row r="1291" spans="1:22" ht="20.25" customHeight="1" x14ac:dyDescent="0.25">
      <c r="A1291" s="105"/>
      <c r="B1291" s="114"/>
      <c r="C1291" s="109"/>
      <c r="D1291" s="115"/>
    </row>
    <row r="1292" spans="1:22" ht="20.25" customHeight="1" x14ac:dyDescent="0.25">
      <c r="A1292" s="105"/>
      <c r="B1292" s="114"/>
      <c r="C1292" s="109"/>
      <c r="D1292" s="115"/>
    </row>
    <row r="1293" spans="1:22" ht="20.25" customHeight="1" x14ac:dyDescent="0.25">
      <c r="A1293" s="105"/>
      <c r="B1293" s="114"/>
      <c r="C1293" s="109"/>
      <c r="D1293" s="115"/>
    </row>
    <row r="1294" spans="1:22" ht="20.25" customHeight="1" x14ac:dyDescent="0.25">
      <c r="A1294" s="105"/>
      <c r="B1294" s="114"/>
      <c r="C1294" s="109"/>
      <c r="D1294" s="115"/>
    </row>
    <row r="1295" spans="1:22" ht="20.25" customHeight="1" thickBot="1" x14ac:dyDescent="0.3">
      <c r="A1295" s="73"/>
      <c r="B1295" s="116"/>
      <c r="C1295" s="117"/>
      <c r="D1295" s="118"/>
    </row>
    <row r="1296" spans="1:22" ht="20.25" customHeight="1" thickBot="1" x14ac:dyDescent="0.3">
      <c r="A1296" s="98"/>
      <c r="B1296" s="100"/>
      <c r="C1296" s="100"/>
      <c r="D1296" s="76"/>
    </row>
    <row r="1297" spans="1:22" ht="20.25" customHeight="1" x14ac:dyDescent="0.25">
      <c r="A1297" s="91"/>
      <c r="B1297" s="92"/>
      <c r="C1297" s="92"/>
      <c r="D1297" s="104"/>
    </row>
    <row r="1298" spans="1:22" ht="20.25" customHeight="1" thickBot="1" x14ac:dyDescent="0.3">
      <c r="A1298" s="73"/>
      <c r="B1298" s="74"/>
      <c r="C1298" s="74"/>
      <c r="D1298" s="75"/>
    </row>
    <row r="1299" spans="1:22" ht="20.25" customHeight="1" thickBot="1" x14ac:dyDescent="0.3">
      <c r="A1299" s="98"/>
      <c r="B1299" s="76"/>
      <c r="C1299" s="98"/>
      <c r="D1299" s="76"/>
    </row>
    <row r="1300" spans="1:22" ht="20.25" customHeight="1" thickBot="1" x14ac:dyDescent="0.3">
      <c r="A1300" s="110"/>
      <c r="B1300" s="98"/>
      <c r="C1300" s="76"/>
      <c r="D1300" s="110"/>
    </row>
    <row r="1301" spans="1:22" ht="20.25" customHeight="1" thickBot="1" x14ac:dyDescent="0.3">
      <c r="A1301" s="110"/>
      <c r="B1301" s="106"/>
      <c r="C1301" s="74"/>
      <c r="D1301" s="107"/>
      <c r="T1301" s="95"/>
      <c r="V1301" s="95"/>
    </row>
    <row r="1302" spans="1:22" ht="20.25" customHeight="1" thickBot="1" x14ac:dyDescent="0.3">
      <c r="A1302" s="98"/>
      <c r="B1302" s="76"/>
      <c r="C1302" s="98"/>
      <c r="D1302" s="76"/>
    </row>
    <row r="1303" spans="1:22" ht="20.25" customHeight="1" thickBot="1" x14ac:dyDescent="0.3">
      <c r="A1303" s="98"/>
      <c r="B1303" s="76"/>
      <c r="C1303" s="98"/>
      <c r="D1303" s="76"/>
      <c r="U1303" s="95"/>
      <c r="V1303" s="95"/>
    </row>
    <row r="1304" spans="1:22" ht="20.25" customHeight="1" thickBot="1" x14ac:dyDescent="0.3">
      <c r="A1304" s="98"/>
      <c r="B1304" s="76"/>
      <c r="C1304" s="98"/>
      <c r="D1304" s="76"/>
    </row>
    <row r="1305" spans="1:22" ht="20.25" customHeight="1" thickBot="1" x14ac:dyDescent="0.3">
      <c r="A1305" s="105"/>
      <c r="B1305" s="64"/>
      <c r="C1305" s="64"/>
      <c r="D1305" s="72"/>
    </row>
    <row r="1306" spans="1:22" ht="20.25" customHeight="1" thickBot="1" x14ac:dyDescent="0.3">
      <c r="A1306" s="108"/>
      <c r="B1306" s="108"/>
      <c r="C1306" s="108"/>
      <c r="D1306" s="108"/>
    </row>
    <row r="1307" spans="1:22" ht="20.25" customHeight="1" x14ac:dyDescent="0.25">
      <c r="A1307" s="105"/>
      <c r="B1307" s="111"/>
      <c r="C1307" s="112"/>
      <c r="D1307" s="113"/>
    </row>
    <row r="1308" spans="1:22" ht="20.25" customHeight="1" x14ac:dyDescent="0.25">
      <c r="A1308" s="105"/>
      <c r="B1308" s="114"/>
      <c r="C1308" s="109"/>
      <c r="D1308" s="115"/>
    </row>
    <row r="1309" spans="1:22" ht="20.25" customHeight="1" x14ac:dyDescent="0.25">
      <c r="A1309" s="105"/>
      <c r="B1309" s="114"/>
      <c r="C1309" s="109"/>
      <c r="D1309" s="115"/>
    </row>
    <row r="1310" spans="1:22" ht="20.25" customHeight="1" x14ac:dyDescent="0.25">
      <c r="A1310" s="105"/>
      <c r="B1310" s="114"/>
      <c r="C1310" s="109"/>
      <c r="D1310" s="115"/>
    </row>
    <row r="1311" spans="1:22" ht="20.25" customHeight="1" x14ac:dyDescent="0.25">
      <c r="A1311" s="105"/>
      <c r="B1311" s="114"/>
      <c r="C1311" s="109"/>
      <c r="D1311" s="115"/>
    </row>
    <row r="1312" spans="1:22" ht="20.25" customHeight="1" x14ac:dyDescent="0.25">
      <c r="A1312" s="105"/>
      <c r="B1312" s="114"/>
      <c r="C1312" s="109"/>
      <c r="D1312" s="115"/>
    </row>
    <row r="1313" spans="1:22" ht="20.25" customHeight="1" x14ac:dyDescent="0.25">
      <c r="A1313" s="105"/>
      <c r="B1313" s="114"/>
      <c r="C1313" s="109"/>
      <c r="D1313" s="115"/>
    </row>
    <row r="1314" spans="1:22" ht="20.25" customHeight="1" x14ac:dyDescent="0.25">
      <c r="A1314" s="105"/>
      <c r="B1314" s="114"/>
      <c r="C1314" s="109"/>
      <c r="D1314" s="115"/>
    </row>
    <row r="1315" spans="1:22" ht="20.25" customHeight="1" thickBot="1" x14ac:dyDescent="0.3">
      <c r="A1315" s="73"/>
      <c r="B1315" s="116"/>
      <c r="C1315" s="117"/>
      <c r="D1315" s="118"/>
    </row>
    <row r="1316" spans="1:22" ht="20.25" customHeight="1" thickBot="1" x14ac:dyDescent="0.3">
      <c r="A1316" s="98"/>
      <c r="B1316" s="100"/>
      <c r="C1316" s="100"/>
      <c r="D1316" s="76"/>
    </row>
    <row r="1317" spans="1:22" ht="20.25" customHeight="1" x14ac:dyDescent="0.25">
      <c r="A1317" s="91"/>
      <c r="B1317" s="92"/>
      <c r="C1317" s="92"/>
      <c r="D1317" s="104"/>
    </row>
    <row r="1318" spans="1:22" ht="20.25" customHeight="1" thickBot="1" x14ac:dyDescent="0.3">
      <c r="A1318" s="73"/>
      <c r="B1318" s="74"/>
      <c r="C1318" s="74"/>
      <c r="D1318" s="75"/>
    </row>
    <row r="1319" spans="1:22" ht="20.25" customHeight="1" thickBot="1" x14ac:dyDescent="0.3">
      <c r="A1319" s="98"/>
      <c r="B1319" s="76"/>
      <c r="C1319" s="98"/>
      <c r="D1319" s="76"/>
    </row>
    <row r="1320" spans="1:22" ht="20.25" customHeight="1" thickBot="1" x14ac:dyDescent="0.3">
      <c r="A1320" s="110"/>
      <c r="B1320" s="98"/>
      <c r="C1320" s="76"/>
      <c r="D1320" s="110"/>
    </row>
    <row r="1321" spans="1:22" ht="20.25" customHeight="1" thickBot="1" x14ac:dyDescent="0.3">
      <c r="A1321" s="110"/>
      <c r="B1321" s="106"/>
      <c r="C1321" s="74"/>
      <c r="D1321" s="107"/>
      <c r="T1321" s="95"/>
      <c r="V1321" s="95"/>
    </row>
    <row r="1322" spans="1:22" ht="20.25" customHeight="1" thickBot="1" x14ac:dyDescent="0.3">
      <c r="A1322" s="98"/>
      <c r="B1322" s="76"/>
      <c r="C1322" s="98"/>
      <c r="D1322" s="76"/>
    </row>
    <row r="1323" spans="1:22" ht="20.25" customHeight="1" thickBot="1" x14ac:dyDescent="0.3">
      <c r="A1323" s="98"/>
      <c r="B1323" s="76"/>
      <c r="C1323" s="98"/>
      <c r="D1323" s="76"/>
      <c r="U1323" s="95"/>
      <c r="V1323" s="95"/>
    </row>
    <row r="1324" spans="1:22" ht="20.25" customHeight="1" thickBot="1" x14ac:dyDescent="0.3">
      <c r="A1324" s="98"/>
      <c r="B1324" s="76"/>
      <c r="C1324" s="98"/>
      <c r="D1324" s="76"/>
    </row>
    <row r="1325" spans="1:22" ht="20.25" customHeight="1" thickBot="1" x14ac:dyDescent="0.3">
      <c r="A1325" s="105"/>
      <c r="B1325" s="64"/>
      <c r="C1325" s="64"/>
      <c r="D1325" s="72"/>
    </row>
    <row r="1326" spans="1:22" ht="20.25" customHeight="1" thickBot="1" x14ac:dyDescent="0.3">
      <c r="A1326" s="108"/>
      <c r="B1326" s="108"/>
      <c r="C1326" s="108"/>
      <c r="D1326" s="108"/>
    </row>
    <row r="1327" spans="1:22" ht="20.25" customHeight="1" x14ac:dyDescent="0.25">
      <c r="A1327" s="105"/>
      <c r="B1327" s="111"/>
      <c r="C1327" s="112"/>
      <c r="D1327" s="113"/>
    </row>
    <row r="1328" spans="1:22" ht="20.25" customHeight="1" x14ac:dyDescent="0.25">
      <c r="A1328" s="105"/>
      <c r="B1328" s="114"/>
      <c r="C1328" s="109"/>
      <c r="D1328" s="115"/>
    </row>
    <row r="1329" spans="1:22" ht="20.25" customHeight="1" x14ac:dyDescent="0.25">
      <c r="A1329" s="105"/>
      <c r="B1329" s="114"/>
      <c r="C1329" s="109"/>
      <c r="D1329" s="115"/>
    </row>
    <row r="1330" spans="1:22" ht="20.25" customHeight="1" x14ac:dyDescent="0.25">
      <c r="A1330" s="105"/>
      <c r="B1330" s="114"/>
      <c r="C1330" s="109"/>
      <c r="D1330" s="115"/>
    </row>
    <row r="1331" spans="1:22" ht="20.25" customHeight="1" x14ac:dyDescent="0.25">
      <c r="A1331" s="105"/>
      <c r="B1331" s="114"/>
      <c r="C1331" s="109"/>
      <c r="D1331" s="115"/>
    </row>
    <row r="1332" spans="1:22" ht="20.25" customHeight="1" x14ac:dyDescent="0.25">
      <c r="A1332" s="105"/>
      <c r="B1332" s="114"/>
      <c r="C1332" s="109"/>
      <c r="D1332" s="115"/>
    </row>
    <row r="1333" spans="1:22" ht="20.25" customHeight="1" x14ac:dyDescent="0.25">
      <c r="A1333" s="105"/>
      <c r="B1333" s="114"/>
      <c r="C1333" s="109"/>
      <c r="D1333" s="115"/>
    </row>
    <row r="1334" spans="1:22" ht="20.25" customHeight="1" x14ac:dyDescent="0.25">
      <c r="A1334" s="105"/>
      <c r="B1334" s="114"/>
      <c r="C1334" s="109"/>
      <c r="D1334" s="115"/>
    </row>
    <row r="1335" spans="1:22" ht="20.25" customHeight="1" thickBot="1" x14ac:dyDescent="0.3">
      <c r="A1335" s="73"/>
      <c r="B1335" s="116"/>
      <c r="C1335" s="117"/>
      <c r="D1335" s="118"/>
    </row>
    <row r="1336" spans="1:22" ht="20.25" customHeight="1" thickBot="1" x14ac:dyDescent="0.3">
      <c r="A1336" s="98"/>
      <c r="B1336" s="100"/>
      <c r="C1336" s="100"/>
      <c r="D1336" s="76"/>
    </row>
    <row r="1337" spans="1:22" ht="20.25" customHeight="1" x14ac:dyDescent="0.25">
      <c r="A1337" s="91"/>
      <c r="B1337" s="92"/>
      <c r="C1337" s="92"/>
      <c r="D1337" s="104"/>
    </row>
    <row r="1338" spans="1:22" ht="20.25" customHeight="1" thickBot="1" x14ac:dyDescent="0.3">
      <c r="A1338" s="73"/>
      <c r="B1338" s="74"/>
      <c r="C1338" s="74"/>
      <c r="D1338" s="75"/>
    </row>
    <row r="1339" spans="1:22" ht="20.25" customHeight="1" thickBot="1" x14ac:dyDescent="0.3">
      <c r="A1339" s="98"/>
      <c r="B1339" s="76"/>
      <c r="C1339" s="98"/>
      <c r="D1339" s="76"/>
    </row>
    <row r="1340" spans="1:22" ht="20.25" customHeight="1" thickBot="1" x14ac:dyDescent="0.3">
      <c r="A1340" s="110"/>
      <c r="B1340" s="98"/>
      <c r="C1340" s="76"/>
      <c r="D1340" s="110"/>
    </row>
    <row r="1341" spans="1:22" ht="20.25" customHeight="1" thickBot="1" x14ac:dyDescent="0.3">
      <c r="A1341" s="110"/>
      <c r="B1341" s="106"/>
      <c r="C1341" s="74"/>
      <c r="D1341" s="107"/>
      <c r="T1341" s="95"/>
      <c r="V1341" s="95"/>
    </row>
    <row r="1342" spans="1:22" ht="20.25" customHeight="1" thickBot="1" x14ac:dyDescent="0.3">
      <c r="A1342" s="98"/>
      <c r="B1342" s="76"/>
      <c r="C1342" s="98"/>
      <c r="D1342" s="76"/>
    </row>
    <row r="1343" spans="1:22" ht="20.25" customHeight="1" thickBot="1" x14ac:dyDescent="0.3">
      <c r="A1343" s="98"/>
      <c r="B1343" s="76"/>
      <c r="C1343" s="98"/>
      <c r="D1343" s="76"/>
      <c r="U1343" s="95"/>
      <c r="V1343" s="95"/>
    </row>
    <row r="1344" spans="1:22" ht="20.25" customHeight="1" thickBot="1" x14ac:dyDescent="0.3">
      <c r="A1344" s="98"/>
      <c r="B1344" s="76"/>
      <c r="C1344" s="98"/>
      <c r="D1344" s="76"/>
    </row>
    <row r="1345" spans="1:4" ht="20.25" customHeight="1" thickBot="1" x14ac:dyDescent="0.3">
      <c r="A1345" s="105"/>
      <c r="B1345" s="64"/>
      <c r="C1345" s="64"/>
      <c r="D1345" s="72"/>
    </row>
    <row r="1346" spans="1:4" ht="20.25" customHeight="1" thickBot="1" x14ac:dyDescent="0.3">
      <c r="A1346" s="108"/>
      <c r="B1346" s="108"/>
      <c r="C1346" s="108"/>
      <c r="D1346" s="108"/>
    </row>
    <row r="1347" spans="1:4" ht="20.25" customHeight="1" x14ac:dyDescent="0.25">
      <c r="A1347" s="105"/>
      <c r="B1347" s="111"/>
      <c r="C1347" s="112"/>
      <c r="D1347" s="113"/>
    </row>
    <row r="1348" spans="1:4" ht="20.25" customHeight="1" x14ac:dyDescent="0.25">
      <c r="A1348" s="105"/>
      <c r="B1348" s="114"/>
      <c r="C1348" s="109"/>
      <c r="D1348" s="115"/>
    </row>
    <row r="1349" spans="1:4" ht="20.25" customHeight="1" x14ac:dyDescent="0.25">
      <c r="A1349" s="105"/>
      <c r="B1349" s="114"/>
      <c r="C1349" s="109"/>
      <c r="D1349" s="115"/>
    </row>
    <row r="1350" spans="1:4" ht="20.25" customHeight="1" x14ac:dyDescent="0.25">
      <c r="A1350" s="105"/>
      <c r="B1350" s="114"/>
      <c r="C1350" s="109"/>
      <c r="D1350" s="115"/>
    </row>
    <row r="1351" spans="1:4" ht="20.25" customHeight="1" x14ac:dyDescent="0.25">
      <c r="A1351" s="105"/>
      <c r="B1351" s="114"/>
      <c r="C1351" s="109"/>
      <c r="D1351" s="115"/>
    </row>
    <row r="1352" spans="1:4" ht="20.25" customHeight="1" x14ac:dyDescent="0.25">
      <c r="A1352" s="105"/>
      <c r="B1352" s="114"/>
      <c r="C1352" s="109"/>
      <c r="D1352" s="115"/>
    </row>
    <row r="1353" spans="1:4" ht="20.25" customHeight="1" x14ac:dyDescent="0.25">
      <c r="A1353" s="105"/>
      <c r="B1353" s="114"/>
      <c r="C1353" s="109"/>
      <c r="D1353" s="115"/>
    </row>
    <row r="1354" spans="1:4" ht="20.25" customHeight="1" x14ac:dyDescent="0.25">
      <c r="A1354" s="105"/>
      <c r="B1354" s="114"/>
      <c r="C1354" s="109"/>
      <c r="D1354" s="115"/>
    </row>
    <row r="1355" spans="1:4" ht="20.25" customHeight="1" thickBot="1" x14ac:dyDescent="0.3">
      <c r="A1355" s="73"/>
      <c r="B1355" s="116"/>
      <c r="C1355" s="117"/>
      <c r="D1355" s="118"/>
    </row>
    <row r="1356" spans="1:4" ht="20.25" customHeight="1" thickBot="1" x14ac:dyDescent="0.3">
      <c r="A1356" s="98"/>
      <c r="B1356" s="100"/>
      <c r="C1356" s="100"/>
      <c r="D1356" s="76"/>
    </row>
    <row r="1357" spans="1:4" ht="20.25" customHeight="1" x14ac:dyDescent="0.25">
      <c r="A1357" s="91"/>
      <c r="B1357" s="92"/>
      <c r="C1357" s="92"/>
      <c r="D1357" s="104"/>
    </row>
    <row r="1358" spans="1:4" ht="20.25" customHeight="1" thickBot="1" x14ac:dyDescent="0.3">
      <c r="A1358" s="73"/>
      <c r="B1358" s="74"/>
      <c r="C1358" s="74"/>
      <c r="D1358" s="75"/>
    </row>
    <row r="1359" spans="1:4" ht="20.25" customHeight="1" thickBot="1" x14ac:dyDescent="0.3">
      <c r="A1359" s="98"/>
      <c r="B1359" s="76"/>
      <c r="C1359" s="98"/>
      <c r="D1359" s="76"/>
    </row>
    <row r="1360" spans="1:4" ht="20.25" customHeight="1" thickBot="1" x14ac:dyDescent="0.3">
      <c r="A1360" s="110"/>
      <c r="B1360" s="98"/>
      <c r="C1360" s="76"/>
      <c r="D1360" s="110"/>
    </row>
    <row r="1361" spans="1:22" ht="20.25" customHeight="1" thickBot="1" x14ac:dyDescent="0.3">
      <c r="A1361" s="110"/>
      <c r="B1361" s="106"/>
      <c r="C1361" s="74"/>
      <c r="D1361" s="107"/>
      <c r="T1361" s="95"/>
      <c r="V1361" s="95"/>
    </row>
    <row r="1362" spans="1:22" ht="20.25" customHeight="1" thickBot="1" x14ac:dyDescent="0.3">
      <c r="A1362" s="98"/>
      <c r="B1362" s="76"/>
      <c r="C1362" s="98"/>
      <c r="D1362" s="76"/>
    </row>
    <row r="1363" spans="1:22" ht="20.25" customHeight="1" thickBot="1" x14ac:dyDescent="0.3">
      <c r="A1363" s="98"/>
      <c r="B1363" s="76"/>
      <c r="C1363" s="98"/>
      <c r="D1363" s="76"/>
      <c r="U1363" s="95"/>
      <c r="V1363" s="95"/>
    </row>
    <row r="1364" spans="1:22" ht="20.25" customHeight="1" thickBot="1" x14ac:dyDescent="0.3">
      <c r="A1364" s="98"/>
      <c r="B1364" s="76"/>
      <c r="C1364" s="98"/>
      <c r="D1364" s="76"/>
    </row>
    <row r="1365" spans="1:22" ht="20.25" customHeight="1" thickBot="1" x14ac:dyDescent="0.3">
      <c r="A1365" s="105"/>
      <c r="B1365" s="64"/>
      <c r="C1365" s="64"/>
      <c r="D1365" s="72"/>
    </row>
    <row r="1366" spans="1:22" ht="20.25" customHeight="1" thickBot="1" x14ac:dyDescent="0.3">
      <c r="A1366" s="108"/>
      <c r="B1366" s="108"/>
      <c r="C1366" s="108"/>
      <c r="D1366" s="108"/>
    </row>
    <row r="1367" spans="1:22" ht="20.25" customHeight="1" x14ac:dyDescent="0.25">
      <c r="A1367" s="105"/>
      <c r="B1367" s="111"/>
      <c r="C1367" s="112"/>
      <c r="D1367" s="113"/>
    </row>
    <row r="1368" spans="1:22" ht="20.25" customHeight="1" x14ac:dyDescent="0.25">
      <c r="A1368" s="105"/>
      <c r="B1368" s="114"/>
      <c r="C1368" s="109"/>
      <c r="D1368" s="115"/>
    </row>
    <row r="1369" spans="1:22" ht="20.25" customHeight="1" x14ac:dyDescent="0.25">
      <c r="A1369" s="105"/>
      <c r="B1369" s="114"/>
      <c r="C1369" s="109"/>
      <c r="D1369" s="115"/>
    </row>
    <row r="1370" spans="1:22" ht="20.25" customHeight="1" x14ac:dyDescent="0.25">
      <c r="A1370" s="105"/>
      <c r="B1370" s="114"/>
      <c r="C1370" s="109"/>
      <c r="D1370" s="115"/>
    </row>
    <row r="1371" spans="1:22" ht="20.25" customHeight="1" x14ac:dyDescent="0.25">
      <c r="A1371" s="105"/>
      <c r="B1371" s="114"/>
      <c r="C1371" s="109"/>
      <c r="D1371" s="115"/>
    </row>
    <row r="1372" spans="1:22" ht="20.25" customHeight="1" x14ac:dyDescent="0.25">
      <c r="A1372" s="105"/>
      <c r="B1372" s="114"/>
      <c r="C1372" s="109"/>
      <c r="D1372" s="115"/>
    </row>
    <row r="1373" spans="1:22" ht="20.25" customHeight="1" x14ac:dyDescent="0.25">
      <c r="A1373" s="105"/>
      <c r="B1373" s="114"/>
      <c r="C1373" s="109"/>
      <c r="D1373" s="115"/>
    </row>
    <row r="1374" spans="1:22" ht="20.25" customHeight="1" x14ac:dyDescent="0.25">
      <c r="A1374" s="105"/>
      <c r="B1374" s="114"/>
      <c r="C1374" s="109"/>
      <c r="D1374" s="115"/>
    </row>
    <row r="1375" spans="1:22" ht="20.25" customHeight="1" thickBot="1" x14ac:dyDescent="0.3">
      <c r="A1375" s="73"/>
      <c r="B1375" s="116"/>
      <c r="C1375" s="117"/>
      <c r="D1375" s="118"/>
    </row>
    <row r="1376" spans="1:22" ht="20.25" customHeight="1" thickBot="1" x14ac:dyDescent="0.3">
      <c r="A1376" s="98"/>
      <c r="B1376" s="100"/>
      <c r="C1376" s="100"/>
      <c r="D1376" s="76"/>
    </row>
    <row r="1377" spans="1:22" ht="20.25" customHeight="1" x14ac:dyDescent="0.25">
      <c r="A1377" s="91"/>
      <c r="B1377" s="92"/>
      <c r="C1377" s="92"/>
      <c r="D1377" s="104"/>
    </row>
    <row r="1378" spans="1:22" ht="20.25" customHeight="1" thickBot="1" x14ac:dyDescent="0.3">
      <c r="A1378" s="73"/>
      <c r="B1378" s="74"/>
      <c r="C1378" s="74"/>
      <c r="D1378" s="75"/>
    </row>
    <row r="1379" spans="1:22" ht="20.25" customHeight="1" thickBot="1" x14ac:dyDescent="0.3">
      <c r="A1379" s="98"/>
      <c r="B1379" s="76"/>
      <c r="C1379" s="98"/>
      <c r="D1379" s="76"/>
    </row>
    <row r="1380" spans="1:22" ht="20.25" customHeight="1" thickBot="1" x14ac:dyDescent="0.3">
      <c r="A1380" s="110"/>
      <c r="B1380" s="98"/>
      <c r="C1380" s="76"/>
      <c r="D1380" s="110"/>
    </row>
    <row r="1381" spans="1:22" ht="20.25" customHeight="1" thickBot="1" x14ac:dyDescent="0.3">
      <c r="A1381" s="110"/>
      <c r="B1381" s="106"/>
      <c r="C1381" s="74"/>
      <c r="D1381" s="107"/>
      <c r="T1381" s="95"/>
      <c r="V1381" s="95"/>
    </row>
    <row r="1382" spans="1:22" ht="20.25" customHeight="1" thickBot="1" x14ac:dyDescent="0.3">
      <c r="A1382" s="98"/>
      <c r="B1382" s="76"/>
      <c r="C1382" s="98"/>
      <c r="D1382" s="76"/>
    </row>
    <row r="1383" spans="1:22" ht="20.25" customHeight="1" thickBot="1" x14ac:dyDescent="0.3">
      <c r="A1383" s="98"/>
      <c r="B1383" s="76"/>
      <c r="C1383" s="98"/>
      <c r="D1383" s="76"/>
      <c r="U1383" s="95"/>
      <c r="V1383" s="95"/>
    </row>
    <row r="1384" spans="1:22" ht="20.25" customHeight="1" thickBot="1" x14ac:dyDescent="0.3">
      <c r="A1384" s="98"/>
      <c r="B1384" s="76"/>
      <c r="C1384" s="98"/>
      <c r="D1384" s="76"/>
    </row>
    <row r="1385" spans="1:22" ht="20.25" customHeight="1" thickBot="1" x14ac:dyDescent="0.3">
      <c r="A1385" s="105"/>
      <c r="B1385" s="64"/>
      <c r="C1385" s="64"/>
      <c r="D1385" s="72"/>
    </row>
    <row r="1386" spans="1:22" ht="20.25" customHeight="1" thickBot="1" x14ac:dyDescent="0.3">
      <c r="A1386" s="108"/>
      <c r="B1386" s="108"/>
      <c r="C1386" s="108"/>
      <c r="D1386" s="108"/>
    </row>
    <row r="1387" spans="1:22" ht="20.25" customHeight="1" x14ac:dyDescent="0.25">
      <c r="A1387" s="105"/>
      <c r="B1387" s="111"/>
      <c r="C1387" s="112"/>
      <c r="D1387" s="113"/>
    </row>
    <row r="1388" spans="1:22" ht="20.25" customHeight="1" x14ac:dyDescent="0.25">
      <c r="A1388" s="105"/>
      <c r="B1388" s="114"/>
      <c r="C1388" s="109"/>
      <c r="D1388" s="115"/>
    </row>
    <row r="1389" spans="1:22" ht="20.25" customHeight="1" x14ac:dyDescent="0.25">
      <c r="A1389" s="105"/>
      <c r="B1389" s="114"/>
      <c r="C1389" s="109"/>
      <c r="D1389" s="115"/>
    </row>
    <row r="1390" spans="1:22" ht="20.25" customHeight="1" x14ac:dyDescent="0.25">
      <c r="A1390" s="105"/>
      <c r="B1390" s="114"/>
      <c r="C1390" s="109"/>
      <c r="D1390" s="115"/>
    </row>
    <row r="1391" spans="1:22" ht="20.25" customHeight="1" x14ac:dyDescent="0.25">
      <c r="A1391" s="105"/>
      <c r="B1391" s="114"/>
      <c r="C1391" s="109"/>
      <c r="D1391" s="115"/>
    </row>
    <row r="1392" spans="1:22" ht="20.25" customHeight="1" x14ac:dyDescent="0.25">
      <c r="A1392" s="105"/>
      <c r="B1392" s="114"/>
      <c r="C1392" s="109"/>
      <c r="D1392" s="115"/>
    </row>
    <row r="1393" spans="1:22" ht="20.25" customHeight="1" x14ac:dyDescent="0.25">
      <c r="A1393" s="105"/>
      <c r="B1393" s="114"/>
      <c r="C1393" s="109"/>
      <c r="D1393" s="115"/>
    </row>
    <row r="1394" spans="1:22" ht="20.25" customHeight="1" x14ac:dyDescent="0.25">
      <c r="A1394" s="105"/>
      <c r="B1394" s="114"/>
      <c r="C1394" s="109"/>
      <c r="D1394" s="115"/>
    </row>
    <row r="1395" spans="1:22" ht="20.25" customHeight="1" thickBot="1" x14ac:dyDescent="0.3">
      <c r="A1395" s="73"/>
      <c r="B1395" s="116"/>
      <c r="C1395" s="117"/>
      <c r="D1395" s="118"/>
    </row>
    <row r="1396" spans="1:22" ht="20.25" customHeight="1" thickBot="1" x14ac:dyDescent="0.3">
      <c r="A1396" s="98"/>
      <c r="B1396" s="100"/>
      <c r="C1396" s="100"/>
      <c r="D1396" s="76"/>
    </row>
    <row r="1397" spans="1:22" ht="20.25" customHeight="1" x14ac:dyDescent="0.25">
      <c r="A1397" s="91"/>
      <c r="B1397" s="92"/>
      <c r="C1397" s="92"/>
      <c r="D1397" s="104"/>
    </row>
    <row r="1398" spans="1:22" ht="20.25" customHeight="1" thickBot="1" x14ac:dyDescent="0.3">
      <c r="A1398" s="73"/>
      <c r="B1398" s="74"/>
      <c r="C1398" s="74"/>
      <c r="D1398" s="75"/>
    </row>
    <row r="1399" spans="1:22" ht="20.25" customHeight="1" thickBot="1" x14ac:dyDescent="0.3">
      <c r="A1399" s="98"/>
      <c r="B1399" s="76"/>
      <c r="C1399" s="98"/>
      <c r="D1399" s="76"/>
    </row>
    <row r="1400" spans="1:22" ht="20.25" customHeight="1" thickBot="1" x14ac:dyDescent="0.3">
      <c r="A1400" s="110"/>
      <c r="B1400" s="98"/>
      <c r="C1400" s="76"/>
      <c r="D1400" s="110"/>
    </row>
    <row r="1401" spans="1:22" ht="20.25" customHeight="1" thickBot="1" x14ac:dyDescent="0.3">
      <c r="A1401" s="110"/>
      <c r="B1401" s="106"/>
      <c r="C1401" s="74"/>
      <c r="D1401" s="107"/>
      <c r="T1401" s="95"/>
      <c r="V1401" s="95"/>
    </row>
    <row r="1402" spans="1:22" ht="20.25" customHeight="1" thickBot="1" x14ac:dyDescent="0.3">
      <c r="A1402" s="98"/>
      <c r="B1402" s="76"/>
      <c r="C1402" s="98"/>
      <c r="D1402" s="76"/>
    </row>
    <row r="1403" spans="1:22" ht="20.25" customHeight="1" thickBot="1" x14ac:dyDescent="0.3">
      <c r="A1403" s="98"/>
      <c r="B1403" s="76"/>
      <c r="C1403" s="98"/>
      <c r="D1403" s="76"/>
      <c r="U1403" s="95"/>
      <c r="V1403" s="95"/>
    </row>
    <row r="1404" spans="1:22" ht="20.25" customHeight="1" thickBot="1" x14ac:dyDescent="0.3">
      <c r="A1404" s="98"/>
      <c r="B1404" s="76"/>
      <c r="C1404" s="98"/>
      <c r="D1404" s="76"/>
    </row>
    <row r="1405" spans="1:22" ht="20.25" customHeight="1" thickBot="1" x14ac:dyDescent="0.3">
      <c r="A1405" s="105"/>
      <c r="B1405" s="64"/>
      <c r="C1405" s="64"/>
      <c r="D1405" s="72"/>
    </row>
    <row r="1406" spans="1:22" ht="20.25" customHeight="1" thickBot="1" x14ac:dyDescent="0.3">
      <c r="A1406" s="108"/>
      <c r="B1406" s="108"/>
      <c r="C1406" s="108"/>
      <c r="D1406" s="108"/>
    </row>
    <row r="1407" spans="1:22" ht="20.25" customHeight="1" x14ac:dyDescent="0.25">
      <c r="A1407" s="105"/>
      <c r="B1407" s="111"/>
      <c r="C1407" s="112"/>
      <c r="D1407" s="113"/>
    </row>
    <row r="1408" spans="1:22" ht="20.25" customHeight="1" x14ac:dyDescent="0.25">
      <c r="A1408" s="105"/>
      <c r="B1408" s="114"/>
      <c r="C1408" s="109"/>
      <c r="D1408" s="115"/>
    </row>
    <row r="1409" spans="1:22" ht="20.25" customHeight="1" x14ac:dyDescent="0.25">
      <c r="A1409" s="105"/>
      <c r="B1409" s="114"/>
      <c r="C1409" s="109"/>
      <c r="D1409" s="115"/>
    </row>
    <row r="1410" spans="1:22" ht="20.25" customHeight="1" x14ac:dyDescent="0.25">
      <c r="A1410" s="105"/>
      <c r="B1410" s="114"/>
      <c r="C1410" s="109"/>
      <c r="D1410" s="115"/>
    </row>
    <row r="1411" spans="1:22" ht="20.25" customHeight="1" x14ac:dyDescent="0.25">
      <c r="A1411" s="105"/>
      <c r="B1411" s="114"/>
      <c r="C1411" s="109"/>
      <c r="D1411" s="115"/>
    </row>
    <row r="1412" spans="1:22" ht="20.25" customHeight="1" x14ac:dyDescent="0.25">
      <c r="A1412" s="105"/>
      <c r="B1412" s="114"/>
      <c r="C1412" s="109"/>
      <c r="D1412" s="115"/>
    </row>
    <row r="1413" spans="1:22" ht="20.25" customHeight="1" x14ac:dyDescent="0.25">
      <c r="A1413" s="105"/>
      <c r="B1413" s="114"/>
      <c r="C1413" s="109"/>
      <c r="D1413" s="115"/>
    </row>
    <row r="1414" spans="1:22" ht="20.25" customHeight="1" x14ac:dyDescent="0.25">
      <c r="A1414" s="105"/>
      <c r="B1414" s="114"/>
      <c r="C1414" s="109"/>
      <c r="D1414" s="115"/>
    </row>
    <row r="1415" spans="1:22" ht="20.25" customHeight="1" thickBot="1" x14ac:dyDescent="0.3">
      <c r="A1415" s="73"/>
      <c r="B1415" s="116"/>
      <c r="C1415" s="117"/>
      <c r="D1415" s="118"/>
    </row>
    <row r="1416" spans="1:22" ht="20.25" customHeight="1" thickBot="1" x14ac:dyDescent="0.3">
      <c r="A1416" s="98"/>
      <c r="B1416" s="100"/>
      <c r="C1416" s="100"/>
      <c r="D1416" s="76"/>
    </row>
    <row r="1417" spans="1:22" ht="20.25" customHeight="1" x14ac:dyDescent="0.25">
      <c r="A1417" s="91"/>
      <c r="B1417" s="92"/>
      <c r="C1417" s="92"/>
      <c r="D1417" s="104"/>
    </row>
    <row r="1418" spans="1:22" ht="20.25" customHeight="1" thickBot="1" x14ac:dyDescent="0.3">
      <c r="A1418" s="73"/>
      <c r="B1418" s="74"/>
      <c r="C1418" s="74"/>
      <c r="D1418" s="75"/>
    </row>
    <row r="1419" spans="1:22" ht="20.25" customHeight="1" thickBot="1" x14ac:dyDescent="0.3">
      <c r="A1419" s="98"/>
      <c r="B1419" s="76"/>
      <c r="C1419" s="98"/>
      <c r="D1419" s="76"/>
    </row>
    <row r="1420" spans="1:22" ht="20.25" customHeight="1" thickBot="1" x14ac:dyDescent="0.3">
      <c r="A1420" s="110"/>
      <c r="B1420" s="98"/>
      <c r="C1420" s="76"/>
      <c r="D1420" s="110"/>
    </row>
    <row r="1421" spans="1:22" ht="20.25" customHeight="1" thickBot="1" x14ac:dyDescent="0.3">
      <c r="A1421" s="110"/>
      <c r="B1421" s="106"/>
      <c r="C1421" s="74"/>
      <c r="D1421" s="107"/>
      <c r="T1421" s="95"/>
      <c r="V1421" s="95"/>
    </row>
    <row r="1422" spans="1:22" ht="20.25" customHeight="1" thickBot="1" x14ac:dyDescent="0.3">
      <c r="A1422" s="98"/>
      <c r="B1422" s="76"/>
      <c r="C1422" s="98"/>
      <c r="D1422" s="76"/>
    </row>
    <row r="1423" spans="1:22" ht="20.25" customHeight="1" thickBot="1" x14ac:dyDescent="0.3">
      <c r="A1423" s="98"/>
      <c r="B1423" s="76"/>
      <c r="C1423" s="98"/>
      <c r="D1423" s="76"/>
      <c r="U1423" s="95"/>
      <c r="V1423" s="95"/>
    </row>
    <row r="1424" spans="1:22" ht="20.25" customHeight="1" thickBot="1" x14ac:dyDescent="0.3">
      <c r="A1424" s="98"/>
      <c r="B1424" s="76"/>
      <c r="C1424" s="98"/>
      <c r="D1424" s="76"/>
    </row>
    <row r="1425" spans="1:4" ht="20.25" customHeight="1" thickBot="1" x14ac:dyDescent="0.3">
      <c r="A1425" s="105"/>
      <c r="B1425" s="64"/>
      <c r="C1425" s="64"/>
      <c r="D1425" s="72"/>
    </row>
    <row r="1426" spans="1:4" ht="20.25" customHeight="1" thickBot="1" x14ac:dyDescent="0.3">
      <c r="A1426" s="108"/>
      <c r="B1426" s="108"/>
      <c r="C1426" s="108"/>
      <c r="D1426" s="108"/>
    </row>
    <row r="1427" spans="1:4" ht="20.25" customHeight="1" x14ac:dyDescent="0.25">
      <c r="A1427" s="105"/>
      <c r="B1427" s="111"/>
      <c r="C1427" s="112"/>
      <c r="D1427" s="113"/>
    </row>
    <row r="1428" spans="1:4" ht="20.25" customHeight="1" x14ac:dyDescent="0.25">
      <c r="A1428" s="105"/>
      <c r="B1428" s="114"/>
      <c r="C1428" s="109"/>
      <c r="D1428" s="115"/>
    </row>
    <row r="1429" spans="1:4" ht="20.25" customHeight="1" x14ac:dyDescent="0.25">
      <c r="A1429" s="105"/>
      <c r="B1429" s="114"/>
      <c r="C1429" s="109"/>
      <c r="D1429" s="115"/>
    </row>
    <row r="1430" spans="1:4" ht="20.25" customHeight="1" x14ac:dyDescent="0.25">
      <c r="A1430" s="105"/>
      <c r="B1430" s="114"/>
      <c r="C1430" s="109"/>
      <c r="D1430" s="115"/>
    </row>
    <row r="1431" spans="1:4" ht="20.25" customHeight="1" x14ac:dyDescent="0.25">
      <c r="A1431" s="105"/>
      <c r="B1431" s="114"/>
      <c r="C1431" s="109"/>
      <c r="D1431" s="115"/>
    </row>
    <row r="1432" spans="1:4" ht="20.25" customHeight="1" x14ac:dyDescent="0.25">
      <c r="A1432" s="105"/>
      <c r="B1432" s="114"/>
      <c r="C1432" s="109"/>
      <c r="D1432" s="115"/>
    </row>
    <row r="1433" spans="1:4" ht="20.25" customHeight="1" x14ac:dyDescent="0.25">
      <c r="A1433" s="105"/>
      <c r="B1433" s="114"/>
      <c r="C1433" s="109"/>
      <c r="D1433" s="115"/>
    </row>
    <row r="1434" spans="1:4" ht="20.25" customHeight="1" x14ac:dyDescent="0.25">
      <c r="A1434" s="105"/>
      <c r="B1434" s="114"/>
      <c r="C1434" s="109"/>
      <c r="D1434" s="115"/>
    </row>
    <row r="1435" spans="1:4" ht="20.25" customHeight="1" thickBot="1" x14ac:dyDescent="0.3">
      <c r="A1435" s="73"/>
      <c r="B1435" s="116"/>
      <c r="C1435" s="117"/>
      <c r="D1435" s="118"/>
    </row>
    <row r="1436" spans="1:4" ht="20.25" customHeight="1" thickBot="1" x14ac:dyDescent="0.3">
      <c r="A1436" s="98"/>
      <c r="B1436" s="100"/>
      <c r="C1436" s="100"/>
      <c r="D1436" s="76"/>
    </row>
    <row r="1437" spans="1:4" ht="20.25" customHeight="1" x14ac:dyDescent="0.25">
      <c r="A1437" s="91"/>
      <c r="B1437" s="92"/>
      <c r="C1437" s="92"/>
      <c r="D1437" s="104"/>
    </row>
    <row r="1438" spans="1:4" ht="20.25" customHeight="1" thickBot="1" x14ac:dyDescent="0.3">
      <c r="A1438" s="73"/>
      <c r="B1438" s="74"/>
      <c r="C1438" s="74"/>
      <c r="D1438" s="75"/>
    </row>
    <row r="1439" spans="1:4" ht="20.25" customHeight="1" thickBot="1" x14ac:dyDescent="0.3">
      <c r="A1439" s="98"/>
      <c r="B1439" s="76"/>
      <c r="C1439" s="98"/>
      <c r="D1439" s="76"/>
    </row>
    <row r="1440" spans="1:4" ht="20.25" customHeight="1" thickBot="1" x14ac:dyDescent="0.3">
      <c r="A1440" s="110"/>
      <c r="B1440" s="98"/>
      <c r="C1440" s="76"/>
      <c r="D1440" s="110"/>
    </row>
    <row r="1441" spans="1:22" ht="20.25" customHeight="1" thickBot="1" x14ac:dyDescent="0.3">
      <c r="A1441" s="110"/>
      <c r="B1441" s="106"/>
      <c r="C1441" s="74"/>
      <c r="D1441" s="107"/>
      <c r="T1441" s="95"/>
      <c r="V1441" s="95"/>
    </row>
    <row r="1442" spans="1:22" ht="20.25" customHeight="1" thickBot="1" x14ac:dyDescent="0.3">
      <c r="A1442" s="98"/>
      <c r="B1442" s="76"/>
      <c r="C1442" s="98"/>
      <c r="D1442" s="76"/>
    </row>
    <row r="1443" spans="1:22" ht="20.25" customHeight="1" thickBot="1" x14ac:dyDescent="0.3">
      <c r="A1443" s="98"/>
      <c r="B1443" s="76"/>
      <c r="C1443" s="98"/>
      <c r="D1443" s="76"/>
      <c r="U1443" s="95"/>
      <c r="V1443" s="95"/>
    </row>
    <row r="1444" spans="1:22" ht="20.25" customHeight="1" thickBot="1" x14ac:dyDescent="0.3">
      <c r="A1444" s="98"/>
      <c r="B1444" s="76"/>
      <c r="C1444" s="98"/>
      <c r="D1444" s="76"/>
    </row>
    <row r="1445" spans="1:22" ht="20.25" customHeight="1" thickBot="1" x14ac:dyDescent="0.3">
      <c r="A1445" s="105"/>
      <c r="B1445" s="64"/>
      <c r="C1445" s="64"/>
      <c r="D1445" s="72"/>
    </row>
    <row r="1446" spans="1:22" ht="20.25" customHeight="1" thickBot="1" x14ac:dyDescent="0.3">
      <c r="A1446" s="108"/>
      <c r="B1446" s="108"/>
      <c r="C1446" s="108"/>
      <c r="D1446" s="108"/>
    </row>
    <row r="1447" spans="1:22" ht="20.25" customHeight="1" x14ac:dyDescent="0.25">
      <c r="A1447" s="105"/>
      <c r="B1447" s="111"/>
      <c r="C1447" s="112"/>
      <c r="D1447" s="113"/>
    </row>
    <row r="1448" spans="1:22" ht="20.25" customHeight="1" x14ac:dyDescent="0.25">
      <c r="A1448" s="105"/>
      <c r="B1448" s="114"/>
      <c r="C1448" s="109"/>
      <c r="D1448" s="115"/>
    </row>
    <row r="1449" spans="1:22" ht="20.25" customHeight="1" x14ac:dyDescent="0.25">
      <c r="A1449" s="105"/>
      <c r="B1449" s="114"/>
      <c r="C1449" s="109"/>
      <c r="D1449" s="115"/>
    </row>
    <row r="1450" spans="1:22" ht="20.25" customHeight="1" x14ac:dyDescent="0.25">
      <c r="A1450" s="105"/>
      <c r="B1450" s="114"/>
      <c r="C1450" s="109"/>
      <c r="D1450" s="115"/>
    </row>
    <row r="1451" spans="1:22" ht="20.25" customHeight="1" x14ac:dyDescent="0.25">
      <c r="A1451" s="105"/>
      <c r="B1451" s="114"/>
      <c r="C1451" s="109"/>
      <c r="D1451" s="115"/>
    </row>
    <row r="1452" spans="1:22" ht="20.25" customHeight="1" x14ac:dyDescent="0.25">
      <c r="A1452" s="105"/>
      <c r="B1452" s="114"/>
      <c r="C1452" s="109"/>
      <c r="D1452" s="115"/>
    </row>
    <row r="1453" spans="1:22" ht="20.25" customHeight="1" x14ac:dyDescent="0.25">
      <c r="A1453" s="105"/>
      <c r="B1453" s="114"/>
      <c r="C1453" s="109"/>
      <c r="D1453" s="115"/>
    </row>
    <row r="1454" spans="1:22" ht="20.25" customHeight="1" x14ac:dyDescent="0.25">
      <c r="A1454" s="105"/>
      <c r="B1454" s="114"/>
      <c r="C1454" s="109"/>
      <c r="D1454" s="115"/>
    </row>
    <row r="1455" spans="1:22" ht="20.25" customHeight="1" thickBot="1" x14ac:dyDescent="0.3">
      <c r="A1455" s="73"/>
      <c r="B1455" s="116"/>
      <c r="C1455" s="117"/>
      <c r="D1455" s="118"/>
    </row>
    <row r="1456" spans="1:22" ht="20.25" customHeight="1" thickBot="1" x14ac:dyDescent="0.3">
      <c r="A1456" s="98"/>
      <c r="B1456" s="100"/>
      <c r="C1456" s="100"/>
      <c r="D1456" s="76"/>
    </row>
    <row r="1457" spans="1:22" ht="20.25" customHeight="1" x14ac:dyDescent="0.25">
      <c r="A1457" s="91"/>
      <c r="B1457" s="92"/>
      <c r="C1457" s="92"/>
      <c r="D1457" s="104"/>
    </row>
    <row r="1458" spans="1:22" ht="20.25" customHeight="1" thickBot="1" x14ac:dyDescent="0.3">
      <c r="A1458" s="73"/>
      <c r="B1458" s="74"/>
      <c r="C1458" s="74"/>
      <c r="D1458" s="75"/>
    </row>
    <row r="1459" spans="1:22" ht="20.25" customHeight="1" thickBot="1" x14ac:dyDescent="0.3">
      <c r="A1459" s="98"/>
      <c r="B1459" s="76"/>
      <c r="C1459" s="98"/>
      <c r="D1459" s="76"/>
    </row>
    <row r="1460" spans="1:22" ht="20.25" customHeight="1" thickBot="1" x14ac:dyDescent="0.3">
      <c r="A1460" s="110"/>
      <c r="B1460" s="98"/>
      <c r="C1460" s="76"/>
      <c r="D1460" s="110"/>
    </row>
    <row r="1461" spans="1:22" ht="20.25" customHeight="1" thickBot="1" x14ac:dyDescent="0.3">
      <c r="A1461" s="110"/>
      <c r="B1461" s="106"/>
      <c r="C1461" s="74"/>
      <c r="D1461" s="107"/>
      <c r="T1461" s="95"/>
      <c r="V1461" s="95"/>
    </row>
    <row r="1462" spans="1:22" ht="20.25" customHeight="1" thickBot="1" x14ac:dyDescent="0.3">
      <c r="A1462" s="98"/>
      <c r="B1462" s="76"/>
      <c r="C1462" s="98"/>
      <c r="D1462" s="76"/>
    </row>
    <row r="1463" spans="1:22" ht="20.25" customHeight="1" thickBot="1" x14ac:dyDescent="0.3">
      <c r="A1463" s="98"/>
      <c r="B1463" s="76"/>
      <c r="C1463" s="98"/>
      <c r="D1463" s="76"/>
      <c r="U1463" s="95"/>
      <c r="V1463" s="95"/>
    </row>
    <row r="1464" spans="1:22" ht="20.25" customHeight="1" thickBot="1" x14ac:dyDescent="0.3">
      <c r="A1464" s="98"/>
      <c r="B1464" s="76"/>
      <c r="C1464" s="98"/>
      <c r="D1464" s="76"/>
    </row>
    <row r="1465" spans="1:22" ht="20.25" customHeight="1" thickBot="1" x14ac:dyDescent="0.3">
      <c r="A1465" s="105"/>
      <c r="B1465" s="64"/>
      <c r="C1465" s="64"/>
      <c r="D1465" s="72"/>
    </row>
    <row r="1466" spans="1:22" ht="20.25" customHeight="1" thickBot="1" x14ac:dyDescent="0.3">
      <c r="A1466" s="108"/>
      <c r="B1466" s="108"/>
      <c r="C1466" s="108"/>
      <c r="D1466" s="108"/>
    </row>
    <row r="1467" spans="1:22" ht="20.25" customHeight="1" x14ac:dyDescent="0.25">
      <c r="A1467" s="105"/>
      <c r="B1467" s="111"/>
      <c r="C1467" s="112"/>
      <c r="D1467" s="113"/>
    </row>
    <row r="1468" spans="1:22" ht="20.25" customHeight="1" x14ac:dyDescent="0.25">
      <c r="A1468" s="105"/>
      <c r="B1468" s="114"/>
      <c r="C1468" s="109"/>
      <c r="D1468" s="115"/>
    </row>
    <row r="1469" spans="1:22" ht="20.25" customHeight="1" x14ac:dyDescent="0.25">
      <c r="A1469" s="105"/>
      <c r="B1469" s="114"/>
      <c r="C1469" s="109"/>
      <c r="D1469" s="115"/>
    </row>
    <row r="1470" spans="1:22" ht="20.25" customHeight="1" x14ac:dyDescent="0.25">
      <c r="A1470" s="105"/>
      <c r="B1470" s="114"/>
      <c r="C1470" s="109"/>
      <c r="D1470" s="115"/>
    </row>
    <row r="1471" spans="1:22" ht="20.25" customHeight="1" x14ac:dyDescent="0.25">
      <c r="A1471" s="105"/>
      <c r="B1471" s="114"/>
      <c r="C1471" s="109"/>
      <c r="D1471" s="115"/>
    </row>
    <row r="1472" spans="1:22" ht="20.25" customHeight="1" x14ac:dyDescent="0.25">
      <c r="A1472" s="105"/>
      <c r="B1472" s="114"/>
      <c r="C1472" s="109"/>
      <c r="D1472" s="115"/>
    </row>
    <row r="1473" spans="1:22" ht="20.25" customHeight="1" x14ac:dyDescent="0.25">
      <c r="A1473" s="105"/>
      <c r="B1473" s="114"/>
      <c r="C1473" s="109"/>
      <c r="D1473" s="115"/>
    </row>
    <row r="1474" spans="1:22" ht="20.25" customHeight="1" x14ac:dyDescent="0.25">
      <c r="A1474" s="105"/>
      <c r="B1474" s="114"/>
      <c r="C1474" s="109"/>
      <c r="D1474" s="115"/>
    </row>
    <row r="1475" spans="1:22" ht="20.25" customHeight="1" thickBot="1" x14ac:dyDescent="0.3">
      <c r="A1475" s="73"/>
      <c r="B1475" s="116"/>
      <c r="C1475" s="117"/>
      <c r="D1475" s="118"/>
    </row>
    <row r="1476" spans="1:22" ht="20.25" customHeight="1" thickBot="1" x14ac:dyDescent="0.3">
      <c r="A1476" s="98"/>
      <c r="B1476" s="100"/>
      <c r="C1476" s="100"/>
      <c r="D1476" s="76"/>
    </row>
    <row r="1477" spans="1:22" ht="20.25" customHeight="1" x14ac:dyDescent="0.25">
      <c r="A1477" s="91"/>
      <c r="B1477" s="92"/>
      <c r="C1477" s="92"/>
      <c r="D1477" s="104"/>
    </row>
    <row r="1478" spans="1:22" ht="20.25" customHeight="1" thickBot="1" x14ac:dyDescent="0.3">
      <c r="A1478" s="73"/>
      <c r="B1478" s="74"/>
      <c r="C1478" s="74"/>
      <c r="D1478" s="75"/>
    </row>
    <row r="1479" spans="1:22" ht="20.25" customHeight="1" thickBot="1" x14ac:dyDescent="0.3">
      <c r="A1479" s="98"/>
      <c r="B1479" s="76"/>
      <c r="C1479" s="98"/>
      <c r="D1479" s="76"/>
    </row>
    <row r="1480" spans="1:22" ht="20.25" customHeight="1" thickBot="1" x14ac:dyDescent="0.3">
      <c r="A1480" s="110"/>
      <c r="B1480" s="98"/>
      <c r="C1480" s="76"/>
      <c r="D1480" s="110"/>
    </row>
    <row r="1481" spans="1:22" ht="20.25" customHeight="1" thickBot="1" x14ac:dyDescent="0.3">
      <c r="A1481" s="110"/>
      <c r="B1481" s="106"/>
      <c r="C1481" s="74"/>
      <c r="D1481" s="107"/>
      <c r="T1481" s="95"/>
      <c r="V1481" s="95"/>
    </row>
    <row r="1482" spans="1:22" ht="20.25" customHeight="1" thickBot="1" x14ac:dyDescent="0.3">
      <c r="A1482" s="98"/>
      <c r="B1482" s="76"/>
      <c r="C1482" s="98"/>
      <c r="D1482" s="76"/>
    </row>
    <row r="1483" spans="1:22" ht="20.25" customHeight="1" thickBot="1" x14ac:dyDescent="0.3">
      <c r="A1483" s="98"/>
      <c r="B1483" s="76"/>
      <c r="C1483" s="98"/>
      <c r="D1483" s="76"/>
      <c r="U1483" s="95"/>
      <c r="V1483" s="95"/>
    </row>
    <row r="1484" spans="1:22" ht="20.25" customHeight="1" thickBot="1" x14ac:dyDescent="0.3">
      <c r="A1484" s="98"/>
      <c r="B1484" s="76"/>
      <c r="C1484" s="98"/>
      <c r="D1484" s="76"/>
    </row>
    <row r="1485" spans="1:22" ht="20.25" customHeight="1" thickBot="1" x14ac:dyDescent="0.3">
      <c r="A1485" s="105"/>
      <c r="B1485" s="64"/>
      <c r="C1485" s="64"/>
      <c r="D1485" s="72"/>
    </row>
    <row r="1486" spans="1:22" ht="20.25" customHeight="1" thickBot="1" x14ac:dyDescent="0.3">
      <c r="A1486" s="108"/>
      <c r="B1486" s="108"/>
      <c r="C1486" s="108"/>
      <c r="D1486" s="108"/>
    </row>
    <row r="1487" spans="1:22" ht="20.25" customHeight="1" x14ac:dyDescent="0.25">
      <c r="A1487" s="105"/>
      <c r="B1487" s="111"/>
      <c r="C1487" s="112"/>
      <c r="D1487" s="113"/>
    </row>
    <row r="1488" spans="1:22" ht="20.25" customHeight="1" x14ac:dyDescent="0.25">
      <c r="A1488" s="105"/>
      <c r="B1488" s="114"/>
      <c r="C1488" s="109"/>
      <c r="D1488" s="115"/>
    </row>
    <row r="1489" spans="1:22" ht="20.25" customHeight="1" x14ac:dyDescent="0.25">
      <c r="A1489" s="105"/>
      <c r="B1489" s="114"/>
      <c r="C1489" s="109"/>
      <c r="D1489" s="115"/>
    </row>
    <row r="1490" spans="1:22" ht="20.25" customHeight="1" x14ac:dyDescent="0.25">
      <c r="A1490" s="105"/>
      <c r="B1490" s="114"/>
      <c r="C1490" s="109"/>
      <c r="D1490" s="115"/>
    </row>
    <row r="1491" spans="1:22" ht="20.25" customHeight="1" x14ac:dyDescent="0.25">
      <c r="A1491" s="105"/>
      <c r="B1491" s="114"/>
      <c r="C1491" s="109"/>
      <c r="D1491" s="115"/>
    </row>
    <row r="1492" spans="1:22" ht="20.25" customHeight="1" x14ac:dyDescent="0.25">
      <c r="A1492" s="105"/>
      <c r="B1492" s="114"/>
      <c r="C1492" s="109"/>
      <c r="D1492" s="115"/>
    </row>
    <row r="1493" spans="1:22" ht="20.25" customHeight="1" x14ac:dyDescent="0.25">
      <c r="A1493" s="105"/>
      <c r="B1493" s="114"/>
      <c r="C1493" s="109"/>
      <c r="D1493" s="115"/>
    </row>
    <row r="1494" spans="1:22" ht="20.25" customHeight="1" x14ac:dyDescent="0.25">
      <c r="A1494" s="105"/>
      <c r="B1494" s="114"/>
      <c r="C1494" s="109"/>
      <c r="D1494" s="115"/>
    </row>
    <row r="1495" spans="1:22" ht="20.25" customHeight="1" thickBot="1" x14ac:dyDescent="0.3">
      <c r="A1495" s="73"/>
      <c r="B1495" s="116"/>
      <c r="C1495" s="117"/>
      <c r="D1495" s="118"/>
    </row>
    <row r="1496" spans="1:22" ht="20.25" customHeight="1" thickBot="1" x14ac:dyDescent="0.3">
      <c r="A1496" s="98"/>
      <c r="B1496" s="100"/>
      <c r="C1496" s="100"/>
      <c r="D1496" s="76"/>
    </row>
    <row r="1497" spans="1:22" ht="20.25" customHeight="1" x14ac:dyDescent="0.25">
      <c r="A1497" s="91"/>
      <c r="B1497" s="92"/>
      <c r="C1497" s="92"/>
      <c r="D1497" s="104"/>
    </row>
    <row r="1498" spans="1:22" ht="20.25" customHeight="1" thickBot="1" x14ac:dyDescent="0.3">
      <c r="A1498" s="73"/>
      <c r="B1498" s="74"/>
      <c r="C1498" s="74"/>
      <c r="D1498" s="75"/>
    </row>
    <row r="1499" spans="1:22" ht="20.25" customHeight="1" thickBot="1" x14ac:dyDescent="0.3">
      <c r="A1499" s="98"/>
      <c r="B1499" s="76"/>
      <c r="C1499" s="98"/>
      <c r="D1499" s="76"/>
    </row>
    <row r="1500" spans="1:22" ht="20.25" customHeight="1" thickBot="1" x14ac:dyDescent="0.3">
      <c r="A1500" s="110"/>
      <c r="B1500" s="98"/>
      <c r="C1500" s="76"/>
      <c r="D1500" s="110"/>
    </row>
    <row r="1501" spans="1:22" ht="20.25" customHeight="1" thickBot="1" x14ac:dyDescent="0.3">
      <c r="A1501" s="110"/>
      <c r="B1501" s="106"/>
      <c r="C1501" s="74"/>
      <c r="D1501" s="107"/>
      <c r="T1501" s="95"/>
      <c r="V1501" s="95"/>
    </row>
    <row r="1502" spans="1:22" ht="20.25" customHeight="1" thickBot="1" x14ac:dyDescent="0.3">
      <c r="A1502" s="98"/>
      <c r="B1502" s="76"/>
      <c r="C1502" s="98"/>
      <c r="D1502" s="76"/>
    </row>
    <row r="1503" spans="1:22" ht="20.25" customHeight="1" thickBot="1" x14ac:dyDescent="0.3">
      <c r="A1503" s="98"/>
      <c r="B1503" s="76"/>
      <c r="C1503" s="98"/>
      <c r="D1503" s="76"/>
      <c r="U1503" s="95"/>
      <c r="V1503" s="95"/>
    </row>
    <row r="1504" spans="1:22" ht="20.25" customHeight="1" thickBot="1" x14ac:dyDescent="0.3">
      <c r="A1504" s="98"/>
      <c r="B1504" s="76"/>
      <c r="C1504" s="98"/>
      <c r="D1504" s="76"/>
    </row>
    <row r="1505" spans="1:4" ht="20.25" customHeight="1" thickBot="1" x14ac:dyDescent="0.3">
      <c r="A1505" s="105"/>
      <c r="B1505" s="64"/>
      <c r="C1505" s="64"/>
      <c r="D1505" s="72"/>
    </row>
    <row r="1506" spans="1:4" ht="20.25" customHeight="1" thickBot="1" x14ac:dyDescent="0.3">
      <c r="A1506" s="108"/>
      <c r="B1506" s="108"/>
      <c r="C1506" s="108"/>
      <c r="D1506" s="108"/>
    </row>
    <row r="1507" spans="1:4" ht="20.25" customHeight="1" x14ac:dyDescent="0.25">
      <c r="A1507" s="105"/>
      <c r="B1507" s="111"/>
      <c r="C1507" s="112"/>
      <c r="D1507" s="113"/>
    </row>
    <row r="1508" spans="1:4" ht="20.25" customHeight="1" x14ac:dyDescent="0.25">
      <c r="A1508" s="105"/>
      <c r="B1508" s="114"/>
      <c r="C1508" s="109"/>
      <c r="D1508" s="115"/>
    </row>
    <row r="1509" spans="1:4" ht="20.25" customHeight="1" x14ac:dyDescent="0.25">
      <c r="A1509" s="105"/>
      <c r="B1509" s="114"/>
      <c r="C1509" s="109"/>
      <c r="D1509" s="115"/>
    </row>
    <row r="1510" spans="1:4" ht="20.25" customHeight="1" x14ac:dyDescent="0.25">
      <c r="A1510" s="105"/>
      <c r="B1510" s="114"/>
      <c r="C1510" s="109"/>
      <c r="D1510" s="115"/>
    </row>
    <row r="1511" spans="1:4" ht="20.25" customHeight="1" x14ac:dyDescent="0.25">
      <c r="A1511" s="105"/>
      <c r="B1511" s="114"/>
      <c r="C1511" s="109"/>
      <c r="D1511" s="115"/>
    </row>
    <row r="1512" spans="1:4" ht="20.25" customHeight="1" x14ac:dyDescent="0.25">
      <c r="A1512" s="105"/>
      <c r="B1512" s="114"/>
      <c r="C1512" s="109"/>
      <c r="D1512" s="115"/>
    </row>
    <row r="1513" spans="1:4" ht="20.25" customHeight="1" x14ac:dyDescent="0.25">
      <c r="A1513" s="105"/>
      <c r="B1513" s="114"/>
      <c r="C1513" s="109"/>
      <c r="D1513" s="115"/>
    </row>
    <row r="1514" spans="1:4" ht="20.25" customHeight="1" x14ac:dyDescent="0.25">
      <c r="A1514" s="105"/>
      <c r="B1514" s="114"/>
      <c r="C1514" s="109"/>
      <c r="D1514" s="115"/>
    </row>
    <row r="1515" spans="1:4" ht="20.25" customHeight="1" thickBot="1" x14ac:dyDescent="0.3">
      <c r="A1515" s="73"/>
      <c r="B1515" s="116"/>
      <c r="C1515" s="117"/>
      <c r="D1515" s="118"/>
    </row>
    <row r="1516" spans="1:4" ht="20.25" customHeight="1" thickBot="1" x14ac:dyDescent="0.3">
      <c r="A1516" s="98"/>
      <c r="B1516" s="100"/>
      <c r="C1516" s="100"/>
      <c r="D1516" s="76"/>
    </row>
    <row r="1517" spans="1:4" ht="20.25" customHeight="1" x14ac:dyDescent="0.25">
      <c r="A1517" s="91"/>
      <c r="B1517" s="92"/>
      <c r="C1517" s="92"/>
      <c r="D1517" s="104"/>
    </row>
    <row r="1518" spans="1:4" ht="20.25" customHeight="1" thickBot="1" x14ac:dyDescent="0.3">
      <c r="A1518" s="73"/>
      <c r="B1518" s="74"/>
      <c r="C1518" s="74"/>
      <c r="D1518" s="75"/>
    </row>
    <row r="1519" spans="1:4" ht="20.25" customHeight="1" thickBot="1" x14ac:dyDescent="0.3">
      <c r="A1519" s="98"/>
      <c r="B1519" s="76"/>
      <c r="C1519" s="98"/>
      <c r="D1519" s="76"/>
    </row>
    <row r="1520" spans="1:4" ht="20.25" customHeight="1" thickBot="1" x14ac:dyDescent="0.3">
      <c r="A1520" s="110"/>
      <c r="B1520" s="98"/>
      <c r="C1520" s="76"/>
      <c r="D1520" s="110"/>
    </row>
    <row r="1521" spans="1:22" ht="20.25" customHeight="1" thickBot="1" x14ac:dyDescent="0.3">
      <c r="A1521" s="110"/>
      <c r="B1521" s="106"/>
      <c r="C1521" s="74"/>
      <c r="D1521" s="107"/>
      <c r="T1521" s="95"/>
      <c r="V1521" s="95"/>
    </row>
    <row r="1522" spans="1:22" ht="20.25" customHeight="1" thickBot="1" x14ac:dyDescent="0.3">
      <c r="A1522" s="98"/>
      <c r="B1522" s="76"/>
      <c r="C1522" s="98"/>
      <c r="D1522" s="76"/>
    </row>
    <row r="1523" spans="1:22" ht="20.25" customHeight="1" thickBot="1" x14ac:dyDescent="0.3">
      <c r="A1523" s="98"/>
      <c r="B1523" s="76"/>
      <c r="C1523" s="98"/>
      <c r="D1523" s="76"/>
      <c r="U1523" s="95"/>
      <c r="V1523" s="95"/>
    </row>
    <row r="1524" spans="1:22" ht="20.25" customHeight="1" thickBot="1" x14ac:dyDescent="0.3">
      <c r="A1524" s="98"/>
      <c r="B1524" s="76"/>
      <c r="C1524" s="98"/>
      <c r="D1524" s="76"/>
    </row>
    <row r="1525" spans="1:22" ht="20.25" customHeight="1" thickBot="1" x14ac:dyDescent="0.3">
      <c r="A1525" s="105"/>
      <c r="B1525" s="64"/>
      <c r="C1525" s="64"/>
      <c r="D1525" s="72"/>
    </row>
    <row r="1526" spans="1:22" ht="20.25" customHeight="1" thickBot="1" x14ac:dyDescent="0.3">
      <c r="A1526" s="108"/>
      <c r="B1526" s="108"/>
      <c r="C1526" s="108"/>
      <c r="D1526" s="108"/>
    </row>
    <row r="1527" spans="1:22" ht="20.25" customHeight="1" x14ac:dyDescent="0.25">
      <c r="A1527" s="105"/>
      <c r="B1527" s="111"/>
      <c r="C1527" s="112"/>
      <c r="D1527" s="113"/>
    </row>
    <row r="1528" spans="1:22" ht="20.25" customHeight="1" x14ac:dyDescent="0.25">
      <c r="A1528" s="105"/>
      <c r="B1528" s="114"/>
      <c r="C1528" s="109"/>
      <c r="D1528" s="115"/>
    </row>
    <row r="1529" spans="1:22" ht="20.25" customHeight="1" x14ac:dyDescent="0.25">
      <c r="A1529" s="105"/>
      <c r="B1529" s="114"/>
      <c r="C1529" s="109"/>
      <c r="D1529" s="115"/>
    </row>
    <row r="1530" spans="1:22" ht="20.25" customHeight="1" x14ac:dyDescent="0.25">
      <c r="A1530" s="105"/>
      <c r="B1530" s="114"/>
      <c r="C1530" s="109"/>
      <c r="D1530" s="115"/>
    </row>
    <row r="1531" spans="1:22" ht="20.25" customHeight="1" x14ac:dyDescent="0.25">
      <c r="A1531" s="105"/>
      <c r="B1531" s="114"/>
      <c r="C1531" s="109"/>
      <c r="D1531" s="115"/>
    </row>
    <row r="1532" spans="1:22" ht="20.25" customHeight="1" x14ac:dyDescent="0.25">
      <c r="A1532" s="105"/>
      <c r="B1532" s="114"/>
      <c r="C1532" s="109"/>
      <c r="D1532" s="115"/>
    </row>
    <row r="1533" spans="1:22" ht="20.25" customHeight="1" x14ac:dyDescent="0.25">
      <c r="A1533" s="105"/>
      <c r="B1533" s="114"/>
      <c r="C1533" s="109"/>
      <c r="D1533" s="115"/>
    </row>
    <row r="1534" spans="1:22" ht="20.25" customHeight="1" x14ac:dyDescent="0.25">
      <c r="A1534" s="105"/>
      <c r="B1534" s="114"/>
      <c r="C1534" s="109"/>
      <c r="D1534" s="115"/>
    </row>
    <row r="1535" spans="1:22" ht="20.25" customHeight="1" thickBot="1" x14ac:dyDescent="0.3">
      <c r="A1535" s="73"/>
      <c r="B1535" s="116"/>
      <c r="C1535" s="117"/>
      <c r="D1535" s="118"/>
    </row>
    <row r="1536" spans="1:22" ht="20.25" customHeight="1" thickBot="1" x14ac:dyDescent="0.3">
      <c r="A1536" s="98"/>
      <c r="B1536" s="100"/>
      <c r="C1536" s="100"/>
      <c r="D1536" s="76"/>
    </row>
    <row r="1537" spans="1:22" ht="20.25" customHeight="1" x14ac:dyDescent="0.25">
      <c r="A1537" s="91"/>
      <c r="B1537" s="92"/>
      <c r="C1537" s="92"/>
      <c r="D1537" s="104"/>
    </row>
    <row r="1538" spans="1:22" ht="20.25" customHeight="1" thickBot="1" x14ac:dyDescent="0.3">
      <c r="A1538" s="73"/>
      <c r="B1538" s="74"/>
      <c r="C1538" s="74"/>
      <c r="D1538" s="75"/>
    </row>
    <row r="1539" spans="1:22" ht="20.25" customHeight="1" thickBot="1" x14ac:dyDescent="0.3">
      <c r="A1539" s="98"/>
      <c r="B1539" s="76"/>
      <c r="C1539" s="98"/>
      <c r="D1539" s="76"/>
    </row>
    <row r="1540" spans="1:22" ht="20.25" customHeight="1" thickBot="1" x14ac:dyDescent="0.3">
      <c r="A1540" s="110"/>
      <c r="B1540" s="98"/>
      <c r="C1540" s="76"/>
      <c r="D1540" s="110"/>
    </row>
    <row r="1541" spans="1:22" ht="20.25" customHeight="1" thickBot="1" x14ac:dyDescent="0.3">
      <c r="A1541" s="110"/>
      <c r="B1541" s="106"/>
      <c r="C1541" s="74"/>
      <c r="D1541" s="107"/>
      <c r="T1541" s="95"/>
      <c r="V1541" s="95"/>
    </row>
    <row r="1542" spans="1:22" ht="20.25" customHeight="1" thickBot="1" x14ac:dyDescent="0.3">
      <c r="A1542" s="98"/>
      <c r="B1542" s="76"/>
      <c r="C1542" s="98"/>
      <c r="D1542" s="76"/>
    </row>
    <row r="1543" spans="1:22" ht="20.25" customHeight="1" thickBot="1" x14ac:dyDescent="0.3">
      <c r="A1543" s="98"/>
      <c r="B1543" s="76"/>
      <c r="C1543" s="98"/>
      <c r="D1543" s="76"/>
      <c r="U1543" s="95"/>
      <c r="V1543" s="95"/>
    </row>
    <row r="1544" spans="1:22" ht="20.25" customHeight="1" thickBot="1" x14ac:dyDescent="0.3">
      <c r="A1544" s="98"/>
      <c r="B1544" s="76"/>
      <c r="C1544" s="98"/>
      <c r="D1544" s="76"/>
    </row>
    <row r="1545" spans="1:22" ht="20.25" customHeight="1" thickBot="1" x14ac:dyDescent="0.3">
      <c r="A1545" s="105"/>
      <c r="B1545" s="64"/>
      <c r="C1545" s="64"/>
      <c r="D1545" s="72"/>
    </row>
    <row r="1546" spans="1:22" ht="20.25" customHeight="1" thickBot="1" x14ac:dyDescent="0.3">
      <c r="A1546" s="108"/>
      <c r="B1546" s="108"/>
      <c r="C1546" s="108"/>
      <c r="D1546" s="108"/>
    </row>
    <row r="1547" spans="1:22" ht="20.25" customHeight="1" x14ac:dyDescent="0.25">
      <c r="A1547" s="105"/>
      <c r="B1547" s="111"/>
      <c r="C1547" s="112"/>
      <c r="D1547" s="113"/>
    </row>
    <row r="1548" spans="1:22" ht="20.25" customHeight="1" x14ac:dyDescent="0.25">
      <c r="A1548" s="105"/>
      <c r="B1548" s="114"/>
      <c r="C1548" s="109"/>
      <c r="D1548" s="115"/>
    </row>
    <row r="1549" spans="1:22" ht="20.25" customHeight="1" x14ac:dyDescent="0.25">
      <c r="A1549" s="105"/>
      <c r="B1549" s="114"/>
      <c r="C1549" s="109"/>
      <c r="D1549" s="115"/>
    </row>
    <row r="1550" spans="1:22" ht="20.25" customHeight="1" x14ac:dyDescent="0.25">
      <c r="A1550" s="105"/>
      <c r="B1550" s="114"/>
      <c r="C1550" s="109"/>
      <c r="D1550" s="115"/>
    </row>
    <row r="1551" spans="1:22" ht="20.25" customHeight="1" x14ac:dyDescent="0.25">
      <c r="A1551" s="105"/>
      <c r="B1551" s="114"/>
      <c r="C1551" s="109"/>
      <c r="D1551" s="115"/>
    </row>
    <row r="1552" spans="1:22" ht="20.25" customHeight="1" x14ac:dyDescent="0.25">
      <c r="A1552" s="105"/>
      <c r="B1552" s="114"/>
      <c r="C1552" s="109"/>
      <c r="D1552" s="115"/>
    </row>
    <row r="1553" spans="1:22" ht="20.25" customHeight="1" x14ac:dyDescent="0.25">
      <c r="A1553" s="105"/>
      <c r="B1553" s="114"/>
      <c r="C1553" s="109"/>
      <c r="D1553" s="115"/>
    </row>
    <row r="1554" spans="1:22" ht="20.25" customHeight="1" x14ac:dyDescent="0.25">
      <c r="A1554" s="105"/>
      <c r="B1554" s="114"/>
      <c r="C1554" s="109"/>
      <c r="D1554" s="115"/>
    </row>
    <row r="1555" spans="1:22" ht="20.25" customHeight="1" thickBot="1" x14ac:dyDescent="0.3">
      <c r="A1555" s="73"/>
      <c r="B1555" s="116"/>
      <c r="C1555" s="117"/>
      <c r="D1555" s="118"/>
    </row>
    <row r="1556" spans="1:22" ht="20.25" customHeight="1" thickBot="1" x14ac:dyDescent="0.3">
      <c r="A1556" s="98"/>
      <c r="B1556" s="100"/>
      <c r="C1556" s="100"/>
      <c r="D1556" s="76"/>
    </row>
    <row r="1557" spans="1:22" ht="20.25" customHeight="1" x14ac:dyDescent="0.25">
      <c r="A1557" s="91"/>
      <c r="B1557" s="92"/>
      <c r="C1557" s="92"/>
      <c r="D1557" s="104"/>
    </row>
    <row r="1558" spans="1:22" ht="20.25" customHeight="1" thickBot="1" x14ac:dyDescent="0.3">
      <c r="A1558" s="73"/>
      <c r="B1558" s="74"/>
      <c r="C1558" s="74"/>
      <c r="D1558" s="75"/>
    </row>
    <row r="1559" spans="1:22" ht="20.25" customHeight="1" thickBot="1" x14ac:dyDescent="0.3">
      <c r="A1559" s="98"/>
      <c r="B1559" s="76"/>
      <c r="C1559" s="98"/>
      <c r="D1559" s="76"/>
    </row>
    <row r="1560" spans="1:22" ht="20.25" customHeight="1" thickBot="1" x14ac:dyDescent="0.3">
      <c r="A1560" s="110"/>
      <c r="B1560" s="98"/>
      <c r="C1560" s="76"/>
      <c r="D1560" s="110"/>
    </row>
    <row r="1561" spans="1:22" ht="20.25" customHeight="1" thickBot="1" x14ac:dyDescent="0.3">
      <c r="A1561" s="110"/>
      <c r="B1561" s="106"/>
      <c r="C1561" s="74"/>
      <c r="D1561" s="107"/>
      <c r="T1561" s="95"/>
      <c r="V1561" s="95"/>
    </row>
    <row r="1562" spans="1:22" ht="20.25" customHeight="1" thickBot="1" x14ac:dyDescent="0.3">
      <c r="A1562" s="98"/>
      <c r="B1562" s="76"/>
      <c r="C1562" s="98"/>
      <c r="D1562" s="76"/>
    </row>
    <row r="1563" spans="1:22" ht="20.25" customHeight="1" thickBot="1" x14ac:dyDescent="0.3">
      <c r="A1563" s="98"/>
      <c r="B1563" s="76"/>
      <c r="C1563" s="98"/>
      <c r="D1563" s="76"/>
      <c r="U1563" s="95"/>
      <c r="V1563" s="95"/>
    </row>
    <row r="1564" spans="1:22" ht="20.25" customHeight="1" thickBot="1" x14ac:dyDescent="0.3">
      <c r="A1564" s="98"/>
      <c r="B1564" s="76"/>
      <c r="C1564" s="98"/>
      <c r="D1564" s="76"/>
    </row>
    <row r="1565" spans="1:22" ht="20.25" customHeight="1" thickBot="1" x14ac:dyDescent="0.3">
      <c r="A1565" s="105"/>
      <c r="B1565" s="64"/>
      <c r="C1565" s="64"/>
      <c r="D1565" s="72"/>
    </row>
    <row r="1566" spans="1:22" ht="20.25" customHeight="1" thickBot="1" x14ac:dyDescent="0.3">
      <c r="A1566" s="108"/>
      <c r="B1566" s="108"/>
      <c r="C1566" s="108"/>
      <c r="D1566" s="108"/>
    </row>
    <row r="1567" spans="1:22" ht="20.25" customHeight="1" x14ac:dyDescent="0.25">
      <c r="A1567" s="105"/>
      <c r="B1567" s="111"/>
      <c r="C1567" s="112"/>
      <c r="D1567" s="113"/>
    </row>
    <row r="1568" spans="1:22" ht="20.25" customHeight="1" x14ac:dyDescent="0.25">
      <c r="A1568" s="105"/>
      <c r="B1568" s="114"/>
      <c r="C1568" s="109"/>
      <c r="D1568" s="115"/>
    </row>
    <row r="1569" spans="1:22" ht="20.25" customHeight="1" x14ac:dyDescent="0.25">
      <c r="A1569" s="105"/>
      <c r="B1569" s="114"/>
      <c r="C1569" s="109"/>
      <c r="D1569" s="115"/>
    </row>
    <row r="1570" spans="1:22" ht="20.25" customHeight="1" x14ac:dyDescent="0.25">
      <c r="A1570" s="105"/>
      <c r="B1570" s="114"/>
      <c r="C1570" s="109"/>
      <c r="D1570" s="115"/>
    </row>
    <row r="1571" spans="1:22" ht="20.25" customHeight="1" x14ac:dyDescent="0.25">
      <c r="A1571" s="105"/>
      <c r="B1571" s="114"/>
      <c r="C1571" s="109"/>
      <c r="D1571" s="115"/>
    </row>
    <row r="1572" spans="1:22" ht="20.25" customHeight="1" x14ac:dyDescent="0.25">
      <c r="A1572" s="105"/>
      <c r="B1572" s="114"/>
      <c r="C1572" s="109"/>
      <c r="D1572" s="115"/>
    </row>
    <row r="1573" spans="1:22" ht="20.25" customHeight="1" x14ac:dyDescent="0.25">
      <c r="A1573" s="105"/>
      <c r="B1573" s="114"/>
      <c r="C1573" s="109"/>
      <c r="D1573" s="115"/>
    </row>
    <row r="1574" spans="1:22" ht="20.25" customHeight="1" x14ac:dyDescent="0.25">
      <c r="A1574" s="105"/>
      <c r="B1574" s="114"/>
      <c r="C1574" s="109"/>
      <c r="D1574" s="115"/>
    </row>
    <row r="1575" spans="1:22" ht="20.25" customHeight="1" thickBot="1" x14ac:dyDescent="0.3">
      <c r="A1575" s="73"/>
      <c r="B1575" s="116"/>
      <c r="C1575" s="117"/>
      <c r="D1575" s="118"/>
    </row>
    <row r="1576" spans="1:22" ht="20.25" customHeight="1" thickBot="1" x14ac:dyDescent="0.3">
      <c r="A1576" s="98"/>
      <c r="B1576" s="100"/>
      <c r="C1576" s="100"/>
      <c r="D1576" s="76"/>
    </row>
    <row r="1577" spans="1:22" ht="20.25" customHeight="1" x14ac:dyDescent="0.25">
      <c r="A1577" s="91"/>
      <c r="B1577" s="92"/>
      <c r="C1577" s="92"/>
      <c r="D1577" s="104"/>
    </row>
    <row r="1578" spans="1:22" ht="20.25" customHeight="1" thickBot="1" x14ac:dyDescent="0.3">
      <c r="A1578" s="73"/>
      <c r="B1578" s="74"/>
      <c r="C1578" s="74"/>
      <c r="D1578" s="75"/>
    </row>
    <row r="1579" spans="1:22" ht="20.25" customHeight="1" thickBot="1" x14ac:dyDescent="0.3">
      <c r="A1579" s="98"/>
      <c r="B1579" s="76"/>
      <c r="C1579" s="98"/>
      <c r="D1579" s="76"/>
    </row>
    <row r="1580" spans="1:22" ht="20.25" customHeight="1" thickBot="1" x14ac:dyDescent="0.3">
      <c r="A1580" s="110"/>
      <c r="B1580" s="98"/>
      <c r="C1580" s="76"/>
      <c r="D1580" s="110"/>
    </row>
    <row r="1581" spans="1:22" ht="20.25" customHeight="1" thickBot="1" x14ac:dyDescent="0.3">
      <c r="A1581" s="110"/>
      <c r="B1581" s="106"/>
      <c r="C1581" s="74"/>
      <c r="D1581" s="107"/>
      <c r="T1581" s="95"/>
      <c r="V1581" s="95"/>
    </row>
    <row r="1582" spans="1:22" ht="20.25" customHeight="1" thickBot="1" x14ac:dyDescent="0.3">
      <c r="A1582" s="98"/>
      <c r="B1582" s="76"/>
      <c r="C1582" s="98"/>
      <c r="D1582" s="76"/>
    </row>
    <row r="1583" spans="1:22" ht="20.25" customHeight="1" thickBot="1" x14ac:dyDescent="0.3">
      <c r="A1583" s="98"/>
      <c r="B1583" s="76"/>
      <c r="C1583" s="98"/>
      <c r="D1583" s="76"/>
      <c r="U1583" s="95"/>
      <c r="V1583" s="95"/>
    </row>
    <row r="1584" spans="1:22" ht="20.25" customHeight="1" thickBot="1" x14ac:dyDescent="0.3">
      <c r="A1584" s="98"/>
      <c r="B1584" s="76"/>
      <c r="C1584" s="98"/>
      <c r="D1584" s="76"/>
    </row>
    <row r="1585" spans="1:4" ht="20.25" customHeight="1" thickBot="1" x14ac:dyDescent="0.3">
      <c r="A1585" s="105"/>
      <c r="B1585" s="64"/>
      <c r="C1585" s="64"/>
      <c r="D1585" s="72"/>
    </row>
    <row r="1586" spans="1:4" ht="20.25" customHeight="1" thickBot="1" x14ac:dyDescent="0.3">
      <c r="A1586" s="108"/>
      <c r="B1586" s="108"/>
      <c r="C1586" s="108"/>
      <c r="D1586" s="108"/>
    </row>
    <row r="1587" spans="1:4" ht="20.25" customHeight="1" x14ac:dyDescent="0.25">
      <c r="A1587" s="105"/>
      <c r="B1587" s="111"/>
      <c r="C1587" s="112"/>
      <c r="D1587" s="113"/>
    </row>
    <row r="1588" spans="1:4" ht="20.25" customHeight="1" x14ac:dyDescent="0.25">
      <c r="A1588" s="105"/>
      <c r="B1588" s="114"/>
      <c r="C1588" s="109"/>
      <c r="D1588" s="115"/>
    </row>
    <row r="1589" spans="1:4" ht="20.25" customHeight="1" x14ac:dyDescent="0.25">
      <c r="A1589" s="105"/>
      <c r="B1589" s="114"/>
      <c r="C1589" s="109"/>
      <c r="D1589" s="115"/>
    </row>
    <row r="1590" spans="1:4" ht="20.25" customHeight="1" x14ac:dyDescent="0.25">
      <c r="A1590" s="105"/>
      <c r="B1590" s="114"/>
      <c r="C1590" s="109"/>
      <c r="D1590" s="115"/>
    </row>
    <row r="1591" spans="1:4" ht="20.25" customHeight="1" x14ac:dyDescent="0.25">
      <c r="A1591" s="105"/>
      <c r="B1591" s="114"/>
      <c r="C1591" s="109"/>
      <c r="D1591" s="115"/>
    </row>
    <row r="1592" spans="1:4" ht="20.25" customHeight="1" x14ac:dyDescent="0.25">
      <c r="A1592" s="105"/>
      <c r="B1592" s="114"/>
      <c r="C1592" s="109"/>
      <c r="D1592" s="115"/>
    </row>
    <row r="1593" spans="1:4" ht="20.25" customHeight="1" x14ac:dyDescent="0.25">
      <c r="A1593" s="105"/>
      <c r="B1593" s="114"/>
      <c r="C1593" s="109"/>
      <c r="D1593" s="115"/>
    </row>
    <row r="1594" spans="1:4" ht="20.25" customHeight="1" x14ac:dyDescent="0.25">
      <c r="A1594" s="105"/>
      <c r="B1594" s="114"/>
      <c r="C1594" s="109"/>
      <c r="D1594" s="115"/>
    </row>
    <row r="1595" spans="1:4" ht="20.25" customHeight="1" thickBot="1" x14ac:dyDescent="0.3">
      <c r="A1595" s="73"/>
      <c r="B1595" s="116"/>
      <c r="C1595" s="117"/>
      <c r="D1595" s="118"/>
    </row>
    <row r="1596" spans="1:4" ht="20.25" customHeight="1" thickBot="1" x14ac:dyDescent="0.3">
      <c r="A1596" s="98"/>
      <c r="B1596" s="100"/>
      <c r="C1596" s="100"/>
      <c r="D1596" s="76"/>
    </row>
    <row r="1597" spans="1:4" ht="20.25" customHeight="1" x14ac:dyDescent="0.25">
      <c r="A1597" s="91"/>
      <c r="B1597" s="92"/>
      <c r="C1597" s="92"/>
      <c r="D1597" s="104"/>
    </row>
    <row r="1598" spans="1:4" ht="20.25" customHeight="1" thickBot="1" x14ac:dyDescent="0.3">
      <c r="A1598" s="73"/>
      <c r="B1598" s="74"/>
      <c r="C1598" s="74"/>
      <c r="D1598" s="75"/>
    </row>
    <row r="1599" spans="1:4" ht="20.25" customHeight="1" thickBot="1" x14ac:dyDescent="0.3">
      <c r="A1599" s="98"/>
      <c r="B1599" s="76"/>
      <c r="C1599" s="98"/>
      <c r="D1599" s="76"/>
    </row>
    <row r="1600" spans="1:4" ht="20.25" customHeight="1" thickBot="1" x14ac:dyDescent="0.3">
      <c r="A1600" s="110"/>
      <c r="B1600" s="98"/>
      <c r="C1600" s="76"/>
      <c r="D1600" s="110"/>
    </row>
    <row r="1601" spans="1:22" ht="20.25" customHeight="1" thickBot="1" x14ac:dyDescent="0.3">
      <c r="A1601" s="110"/>
      <c r="B1601" s="106"/>
      <c r="C1601" s="74"/>
      <c r="D1601" s="107"/>
      <c r="T1601" s="95"/>
      <c r="V1601" s="95"/>
    </row>
    <row r="1602" spans="1:22" ht="20.25" customHeight="1" thickBot="1" x14ac:dyDescent="0.3">
      <c r="A1602" s="98"/>
      <c r="B1602" s="76"/>
      <c r="C1602" s="98"/>
      <c r="D1602" s="76"/>
    </row>
    <row r="1603" spans="1:22" ht="20.25" customHeight="1" thickBot="1" x14ac:dyDescent="0.3">
      <c r="A1603" s="98"/>
      <c r="B1603" s="76"/>
      <c r="C1603" s="98"/>
      <c r="D1603" s="76"/>
      <c r="U1603" s="95"/>
      <c r="V1603" s="95"/>
    </row>
    <row r="1604" spans="1:22" ht="20.25" customHeight="1" thickBot="1" x14ac:dyDescent="0.3">
      <c r="A1604" s="98"/>
      <c r="B1604" s="76"/>
      <c r="C1604" s="98"/>
      <c r="D1604" s="76"/>
    </row>
    <row r="1605" spans="1:22" ht="20.25" customHeight="1" thickBot="1" x14ac:dyDescent="0.3">
      <c r="A1605" s="105"/>
      <c r="B1605" s="64"/>
      <c r="C1605" s="64"/>
      <c r="D1605" s="72"/>
    </row>
    <row r="1606" spans="1:22" ht="20.25" customHeight="1" thickBot="1" x14ac:dyDescent="0.3">
      <c r="A1606" s="108"/>
      <c r="B1606" s="108"/>
      <c r="C1606" s="108"/>
      <c r="D1606" s="108"/>
    </row>
    <row r="1607" spans="1:22" ht="20.25" customHeight="1" x14ac:dyDescent="0.25">
      <c r="A1607" s="105"/>
      <c r="B1607" s="111"/>
      <c r="C1607" s="112"/>
      <c r="D1607" s="113"/>
    </row>
    <row r="1608" spans="1:22" ht="20.25" customHeight="1" x14ac:dyDescent="0.25">
      <c r="A1608" s="105"/>
      <c r="B1608" s="114"/>
      <c r="C1608" s="109"/>
      <c r="D1608" s="115"/>
    </row>
    <row r="1609" spans="1:22" ht="20.25" customHeight="1" x14ac:dyDescent="0.25">
      <c r="A1609" s="105"/>
      <c r="B1609" s="114"/>
      <c r="C1609" s="109"/>
      <c r="D1609" s="115"/>
    </row>
    <row r="1610" spans="1:22" ht="20.25" customHeight="1" x14ac:dyDescent="0.25">
      <c r="A1610" s="105"/>
      <c r="B1610" s="114"/>
      <c r="C1610" s="109"/>
      <c r="D1610" s="115"/>
    </row>
    <row r="1611" spans="1:22" ht="20.25" customHeight="1" x14ac:dyDescent="0.25">
      <c r="A1611" s="105"/>
      <c r="B1611" s="114"/>
      <c r="C1611" s="109"/>
      <c r="D1611" s="115"/>
    </row>
    <row r="1612" spans="1:22" ht="20.25" customHeight="1" x14ac:dyDescent="0.25">
      <c r="A1612" s="105"/>
      <c r="B1612" s="114"/>
      <c r="C1612" s="109"/>
      <c r="D1612" s="115"/>
    </row>
    <row r="1613" spans="1:22" ht="20.25" customHeight="1" x14ac:dyDescent="0.25">
      <c r="A1613" s="105"/>
      <c r="B1613" s="114"/>
      <c r="C1613" s="109"/>
      <c r="D1613" s="115"/>
    </row>
    <row r="1614" spans="1:22" ht="20.25" customHeight="1" x14ac:dyDescent="0.25">
      <c r="A1614" s="105"/>
      <c r="B1614" s="114"/>
      <c r="C1614" s="109"/>
      <c r="D1614" s="115"/>
    </row>
    <row r="1615" spans="1:22" ht="20.25" customHeight="1" thickBot="1" x14ac:dyDescent="0.3">
      <c r="A1615" s="73"/>
      <c r="B1615" s="116"/>
      <c r="C1615" s="117"/>
      <c r="D1615" s="118"/>
    </row>
    <row r="1616" spans="1:22" ht="20.25" customHeight="1" thickBot="1" x14ac:dyDescent="0.3">
      <c r="A1616" s="98"/>
      <c r="B1616" s="100"/>
      <c r="C1616" s="100"/>
      <c r="D1616" s="76"/>
    </row>
    <row r="1617" spans="1:22" ht="20.25" customHeight="1" x14ac:dyDescent="0.25">
      <c r="A1617" s="91"/>
      <c r="B1617" s="92"/>
      <c r="C1617" s="92"/>
      <c r="D1617" s="104"/>
    </row>
    <row r="1618" spans="1:22" ht="20.25" customHeight="1" thickBot="1" x14ac:dyDescent="0.3">
      <c r="A1618" s="73"/>
      <c r="B1618" s="74"/>
      <c r="C1618" s="74"/>
      <c r="D1618" s="75"/>
    </row>
    <row r="1619" spans="1:22" ht="20.25" customHeight="1" thickBot="1" x14ac:dyDescent="0.3">
      <c r="A1619" s="98"/>
      <c r="B1619" s="76"/>
      <c r="C1619" s="98"/>
      <c r="D1619" s="76"/>
    </row>
    <row r="1620" spans="1:22" ht="20.25" customHeight="1" thickBot="1" x14ac:dyDescent="0.3">
      <c r="A1620" s="110"/>
      <c r="B1620" s="98"/>
      <c r="C1620" s="76"/>
      <c r="D1620" s="110"/>
    </row>
    <row r="1621" spans="1:22" ht="20.25" customHeight="1" thickBot="1" x14ac:dyDescent="0.3">
      <c r="A1621" s="110"/>
      <c r="B1621" s="106"/>
      <c r="C1621" s="74"/>
      <c r="D1621" s="107"/>
      <c r="T1621" s="95"/>
      <c r="V1621" s="95"/>
    </row>
    <row r="1622" spans="1:22" ht="20.25" customHeight="1" thickBot="1" x14ac:dyDescent="0.3">
      <c r="A1622" s="98"/>
      <c r="B1622" s="76"/>
      <c r="C1622" s="98"/>
      <c r="D1622" s="76"/>
    </row>
    <row r="1623" spans="1:22" ht="20.25" customHeight="1" thickBot="1" x14ac:dyDescent="0.3">
      <c r="A1623" s="98"/>
      <c r="B1623" s="76"/>
      <c r="C1623" s="98"/>
      <c r="D1623" s="76"/>
      <c r="U1623" s="95"/>
      <c r="V1623" s="95"/>
    </row>
    <row r="1624" spans="1:22" ht="20.25" customHeight="1" thickBot="1" x14ac:dyDescent="0.3">
      <c r="A1624" s="98"/>
      <c r="B1624" s="76"/>
      <c r="C1624" s="98"/>
      <c r="D1624" s="76"/>
    </row>
    <row r="1625" spans="1:22" ht="20.25" customHeight="1" thickBot="1" x14ac:dyDescent="0.3">
      <c r="A1625" s="105"/>
      <c r="B1625" s="64"/>
      <c r="C1625" s="64"/>
      <c r="D1625" s="72"/>
    </row>
    <row r="1626" spans="1:22" ht="20.25" customHeight="1" thickBot="1" x14ac:dyDescent="0.3">
      <c r="A1626" s="108"/>
      <c r="B1626" s="108"/>
      <c r="C1626" s="108"/>
      <c r="D1626" s="108"/>
    </row>
    <row r="1627" spans="1:22" ht="20.25" customHeight="1" x14ac:dyDescent="0.25">
      <c r="A1627" s="105"/>
      <c r="B1627" s="111"/>
      <c r="C1627" s="112"/>
      <c r="D1627" s="113"/>
    </row>
    <row r="1628" spans="1:22" ht="20.25" customHeight="1" x14ac:dyDescent="0.25">
      <c r="A1628" s="105"/>
      <c r="B1628" s="114"/>
      <c r="C1628" s="109"/>
      <c r="D1628" s="115"/>
    </row>
    <row r="1629" spans="1:22" ht="20.25" customHeight="1" x14ac:dyDescent="0.25">
      <c r="A1629" s="105"/>
      <c r="B1629" s="114"/>
      <c r="C1629" s="109"/>
      <c r="D1629" s="115"/>
    </row>
    <row r="1630" spans="1:22" ht="20.25" customHeight="1" x14ac:dyDescent="0.25">
      <c r="A1630" s="105"/>
      <c r="B1630" s="114"/>
      <c r="C1630" s="109"/>
      <c r="D1630" s="115"/>
    </row>
    <row r="1631" spans="1:22" ht="20.25" customHeight="1" x14ac:dyDescent="0.25">
      <c r="A1631" s="105"/>
      <c r="B1631" s="114"/>
      <c r="C1631" s="109"/>
      <c r="D1631" s="115"/>
    </row>
    <row r="1632" spans="1:22" ht="20.25" customHeight="1" x14ac:dyDescent="0.25">
      <c r="A1632" s="105"/>
      <c r="B1632" s="114"/>
      <c r="C1632" s="109"/>
      <c r="D1632" s="115"/>
    </row>
    <row r="1633" spans="1:22" ht="20.25" customHeight="1" x14ac:dyDescent="0.25">
      <c r="A1633" s="105"/>
      <c r="B1633" s="114"/>
      <c r="C1633" s="109"/>
      <c r="D1633" s="115"/>
    </row>
    <row r="1634" spans="1:22" ht="20.25" customHeight="1" x14ac:dyDescent="0.25">
      <c r="A1634" s="105"/>
      <c r="B1634" s="114"/>
      <c r="C1634" s="109"/>
      <c r="D1634" s="115"/>
    </row>
    <row r="1635" spans="1:22" ht="20.25" customHeight="1" thickBot="1" x14ac:dyDescent="0.3">
      <c r="A1635" s="73"/>
      <c r="B1635" s="116"/>
      <c r="C1635" s="117"/>
      <c r="D1635" s="118"/>
    </row>
    <row r="1636" spans="1:22" ht="20.25" customHeight="1" thickBot="1" x14ac:dyDescent="0.3">
      <c r="A1636" s="98"/>
      <c r="B1636" s="100"/>
      <c r="C1636" s="100"/>
      <c r="D1636" s="76"/>
    </row>
    <row r="1637" spans="1:22" ht="20.25" customHeight="1" x14ac:dyDescent="0.25">
      <c r="A1637" s="91"/>
      <c r="B1637" s="92"/>
      <c r="C1637" s="92"/>
      <c r="D1637" s="104"/>
    </row>
    <row r="1638" spans="1:22" ht="20.25" customHeight="1" thickBot="1" x14ac:dyDescent="0.3">
      <c r="A1638" s="73"/>
      <c r="B1638" s="74"/>
      <c r="C1638" s="74"/>
      <c r="D1638" s="75"/>
    </row>
    <row r="1639" spans="1:22" ht="20.25" customHeight="1" thickBot="1" x14ac:dyDescent="0.3">
      <c r="A1639" s="98"/>
      <c r="B1639" s="76"/>
      <c r="C1639" s="98"/>
      <c r="D1639" s="76"/>
    </row>
    <row r="1640" spans="1:22" ht="20.25" customHeight="1" thickBot="1" x14ac:dyDescent="0.3">
      <c r="A1640" s="110"/>
      <c r="B1640" s="98"/>
      <c r="C1640" s="76"/>
      <c r="D1640" s="110"/>
    </row>
    <row r="1641" spans="1:22" ht="20.25" customHeight="1" thickBot="1" x14ac:dyDescent="0.3">
      <c r="A1641" s="110"/>
      <c r="B1641" s="106"/>
      <c r="C1641" s="74"/>
      <c r="D1641" s="107"/>
      <c r="T1641" s="95"/>
      <c r="V1641" s="95"/>
    </row>
    <row r="1642" spans="1:22" ht="20.25" customHeight="1" thickBot="1" x14ac:dyDescent="0.3">
      <c r="A1642" s="98"/>
      <c r="B1642" s="76"/>
      <c r="C1642" s="98"/>
      <c r="D1642" s="76"/>
    </row>
    <row r="1643" spans="1:22" ht="20.25" customHeight="1" thickBot="1" x14ac:dyDescent="0.3">
      <c r="A1643" s="98"/>
      <c r="B1643" s="76"/>
      <c r="C1643" s="98"/>
      <c r="D1643" s="76"/>
      <c r="U1643" s="95"/>
      <c r="V1643" s="95"/>
    </row>
    <row r="1644" spans="1:22" ht="20.25" customHeight="1" thickBot="1" x14ac:dyDescent="0.3">
      <c r="A1644" s="98"/>
      <c r="B1644" s="76"/>
      <c r="C1644" s="98"/>
      <c r="D1644" s="76"/>
    </row>
    <row r="1645" spans="1:22" ht="20.25" customHeight="1" thickBot="1" x14ac:dyDescent="0.3">
      <c r="A1645" s="105"/>
      <c r="B1645" s="64"/>
      <c r="C1645" s="64"/>
      <c r="D1645" s="72"/>
    </row>
    <row r="1646" spans="1:22" ht="20.25" customHeight="1" thickBot="1" x14ac:dyDescent="0.3">
      <c r="A1646" s="108"/>
      <c r="B1646" s="108"/>
      <c r="C1646" s="108"/>
      <c r="D1646" s="108"/>
    </row>
    <row r="1647" spans="1:22" ht="20.25" customHeight="1" x14ac:dyDescent="0.25">
      <c r="A1647" s="105"/>
      <c r="B1647" s="111"/>
      <c r="C1647" s="112"/>
      <c r="D1647" s="113"/>
    </row>
    <row r="1648" spans="1:22" ht="20.25" customHeight="1" x14ac:dyDescent="0.25">
      <c r="A1648" s="105"/>
      <c r="B1648" s="114"/>
      <c r="C1648" s="109"/>
      <c r="D1648" s="115"/>
    </row>
    <row r="1649" spans="1:22" ht="20.25" customHeight="1" x14ac:dyDescent="0.25">
      <c r="A1649" s="105"/>
      <c r="B1649" s="114"/>
      <c r="C1649" s="109"/>
      <c r="D1649" s="115"/>
    </row>
    <row r="1650" spans="1:22" ht="20.25" customHeight="1" x14ac:dyDescent="0.25">
      <c r="A1650" s="105"/>
      <c r="B1650" s="114"/>
      <c r="C1650" s="109"/>
      <c r="D1650" s="115"/>
    </row>
    <row r="1651" spans="1:22" ht="20.25" customHeight="1" x14ac:dyDescent="0.25">
      <c r="A1651" s="105"/>
      <c r="B1651" s="114"/>
      <c r="C1651" s="109"/>
      <c r="D1651" s="115"/>
    </row>
    <row r="1652" spans="1:22" ht="20.25" customHeight="1" x14ac:dyDescent="0.25">
      <c r="A1652" s="105"/>
      <c r="B1652" s="114"/>
      <c r="C1652" s="109"/>
      <c r="D1652" s="115"/>
    </row>
    <row r="1653" spans="1:22" ht="20.25" customHeight="1" x14ac:dyDescent="0.25">
      <c r="A1653" s="105"/>
      <c r="B1653" s="114"/>
      <c r="C1653" s="109"/>
      <c r="D1653" s="115"/>
    </row>
    <row r="1654" spans="1:22" ht="20.25" customHeight="1" x14ac:dyDescent="0.25">
      <c r="A1654" s="105"/>
      <c r="B1654" s="114"/>
      <c r="C1654" s="109"/>
      <c r="D1654" s="115"/>
    </row>
    <row r="1655" spans="1:22" ht="20.25" customHeight="1" thickBot="1" x14ac:dyDescent="0.3">
      <c r="A1655" s="73"/>
      <c r="B1655" s="116"/>
      <c r="C1655" s="117"/>
      <c r="D1655" s="118"/>
    </row>
    <row r="1656" spans="1:22" ht="20.25" customHeight="1" thickBot="1" x14ac:dyDescent="0.3">
      <c r="A1656" s="98"/>
      <c r="B1656" s="100"/>
      <c r="C1656" s="100"/>
      <c r="D1656" s="76"/>
    </row>
    <row r="1657" spans="1:22" ht="20.25" customHeight="1" x14ac:dyDescent="0.25">
      <c r="A1657" s="91"/>
      <c r="B1657" s="92"/>
      <c r="C1657" s="92"/>
      <c r="D1657" s="104"/>
    </row>
    <row r="1658" spans="1:22" ht="20.25" customHeight="1" thickBot="1" x14ac:dyDescent="0.3">
      <c r="A1658" s="73"/>
      <c r="B1658" s="74"/>
      <c r="C1658" s="74"/>
      <c r="D1658" s="75"/>
    </row>
    <row r="1659" spans="1:22" ht="20.25" customHeight="1" thickBot="1" x14ac:dyDescent="0.3">
      <c r="A1659" s="98"/>
      <c r="B1659" s="76"/>
      <c r="C1659" s="98"/>
      <c r="D1659" s="76"/>
    </row>
    <row r="1660" spans="1:22" ht="20.25" customHeight="1" thickBot="1" x14ac:dyDescent="0.3">
      <c r="A1660" s="110"/>
      <c r="B1660" s="98"/>
      <c r="C1660" s="76"/>
      <c r="D1660" s="110"/>
    </row>
    <row r="1661" spans="1:22" ht="20.25" customHeight="1" thickBot="1" x14ac:dyDescent="0.3">
      <c r="A1661" s="110"/>
      <c r="B1661" s="106"/>
      <c r="C1661" s="74"/>
      <c r="D1661" s="107"/>
      <c r="T1661" s="95"/>
      <c r="V1661" s="95"/>
    </row>
    <row r="1662" spans="1:22" ht="20.25" customHeight="1" thickBot="1" x14ac:dyDescent="0.3">
      <c r="A1662" s="98"/>
      <c r="B1662" s="76"/>
      <c r="C1662" s="98"/>
      <c r="D1662" s="76"/>
    </row>
    <row r="1663" spans="1:22" ht="20.25" customHeight="1" thickBot="1" x14ac:dyDescent="0.3">
      <c r="A1663" s="98"/>
      <c r="B1663" s="76"/>
      <c r="C1663" s="98"/>
      <c r="D1663" s="76"/>
      <c r="U1663" s="95"/>
      <c r="V1663" s="95"/>
    </row>
    <row r="1664" spans="1:22" ht="20.25" customHeight="1" thickBot="1" x14ac:dyDescent="0.3">
      <c r="A1664" s="98"/>
      <c r="B1664" s="76"/>
      <c r="C1664" s="98"/>
      <c r="D1664" s="76"/>
    </row>
    <row r="1665" spans="1:4" ht="20.25" customHeight="1" thickBot="1" x14ac:dyDescent="0.3">
      <c r="A1665" s="105"/>
      <c r="B1665" s="64"/>
      <c r="C1665" s="64"/>
      <c r="D1665" s="72"/>
    </row>
    <row r="1666" spans="1:4" ht="20.25" customHeight="1" thickBot="1" x14ac:dyDescent="0.3">
      <c r="A1666" s="108"/>
      <c r="B1666" s="108"/>
      <c r="C1666" s="108"/>
      <c r="D1666" s="108"/>
    </row>
    <row r="1667" spans="1:4" ht="20.25" customHeight="1" x14ac:dyDescent="0.25">
      <c r="A1667" s="105"/>
      <c r="B1667" s="111"/>
      <c r="C1667" s="112"/>
      <c r="D1667" s="113"/>
    </row>
    <row r="1668" spans="1:4" ht="20.25" customHeight="1" x14ac:dyDescent="0.25">
      <c r="A1668" s="105"/>
      <c r="B1668" s="114"/>
      <c r="C1668" s="109"/>
      <c r="D1668" s="115"/>
    </row>
    <row r="1669" spans="1:4" ht="20.25" customHeight="1" x14ac:dyDescent="0.25">
      <c r="A1669" s="105"/>
      <c r="B1669" s="114"/>
      <c r="C1669" s="109"/>
      <c r="D1669" s="115"/>
    </row>
    <row r="1670" spans="1:4" ht="20.25" customHeight="1" x14ac:dyDescent="0.25">
      <c r="A1670" s="105"/>
      <c r="B1670" s="114"/>
      <c r="C1670" s="109"/>
      <c r="D1670" s="115"/>
    </row>
    <row r="1671" spans="1:4" ht="20.25" customHeight="1" x14ac:dyDescent="0.25">
      <c r="A1671" s="105"/>
      <c r="B1671" s="114"/>
      <c r="C1671" s="109"/>
      <c r="D1671" s="115"/>
    </row>
    <row r="1672" spans="1:4" ht="20.25" customHeight="1" x14ac:dyDescent="0.25">
      <c r="A1672" s="105"/>
      <c r="B1672" s="114"/>
      <c r="C1672" s="109"/>
      <c r="D1672" s="115"/>
    </row>
    <row r="1673" spans="1:4" ht="20.25" customHeight="1" x14ac:dyDescent="0.25">
      <c r="A1673" s="105"/>
      <c r="B1673" s="114"/>
      <c r="C1673" s="109"/>
      <c r="D1673" s="115"/>
    </row>
    <row r="1674" spans="1:4" ht="20.25" customHeight="1" x14ac:dyDescent="0.25">
      <c r="A1674" s="105"/>
      <c r="B1674" s="114"/>
      <c r="C1674" s="109"/>
      <c r="D1674" s="115"/>
    </row>
    <row r="1675" spans="1:4" ht="20.25" customHeight="1" thickBot="1" x14ac:dyDescent="0.3">
      <c r="A1675" s="73"/>
      <c r="B1675" s="116"/>
      <c r="C1675" s="117"/>
      <c r="D1675" s="118"/>
    </row>
    <row r="1676" spans="1:4" ht="20.25" customHeight="1" thickBot="1" x14ac:dyDescent="0.3">
      <c r="A1676" s="98"/>
      <c r="B1676" s="100"/>
      <c r="C1676" s="100"/>
      <c r="D1676" s="76"/>
    </row>
    <row r="1677" spans="1:4" ht="20.25" customHeight="1" x14ac:dyDescent="0.25">
      <c r="A1677" s="91"/>
      <c r="B1677" s="92"/>
      <c r="C1677" s="92"/>
      <c r="D1677" s="104"/>
    </row>
    <row r="1678" spans="1:4" ht="20.25" customHeight="1" thickBot="1" x14ac:dyDescent="0.3">
      <c r="A1678" s="73"/>
      <c r="B1678" s="74"/>
      <c r="C1678" s="74"/>
      <c r="D1678" s="75"/>
    </row>
    <row r="1679" spans="1:4" ht="20.25" customHeight="1" thickBot="1" x14ac:dyDescent="0.3">
      <c r="A1679" s="98"/>
      <c r="B1679" s="76"/>
      <c r="C1679" s="98"/>
      <c r="D1679" s="76"/>
    </row>
    <row r="1680" spans="1:4" ht="20.25" customHeight="1" thickBot="1" x14ac:dyDescent="0.3">
      <c r="A1680" s="110"/>
      <c r="B1680" s="98"/>
      <c r="C1680" s="76"/>
      <c r="D1680" s="110"/>
    </row>
    <row r="1681" spans="1:22" ht="20.25" customHeight="1" thickBot="1" x14ac:dyDescent="0.3">
      <c r="A1681" s="110"/>
      <c r="B1681" s="106"/>
      <c r="C1681" s="74"/>
      <c r="D1681" s="107"/>
      <c r="T1681" s="95"/>
      <c r="V1681" s="95"/>
    </row>
    <row r="1682" spans="1:22" ht="20.25" customHeight="1" thickBot="1" x14ac:dyDescent="0.3">
      <c r="A1682" s="98"/>
      <c r="B1682" s="76"/>
      <c r="C1682" s="98"/>
      <c r="D1682" s="76"/>
    </row>
    <row r="1683" spans="1:22" ht="20.25" customHeight="1" thickBot="1" x14ac:dyDescent="0.3">
      <c r="A1683" s="98"/>
      <c r="B1683" s="76"/>
      <c r="C1683" s="98"/>
      <c r="D1683" s="76"/>
      <c r="U1683" s="95"/>
      <c r="V1683" s="95"/>
    </row>
    <row r="1684" spans="1:22" ht="20.25" customHeight="1" thickBot="1" x14ac:dyDescent="0.3">
      <c r="A1684" s="98"/>
      <c r="B1684" s="76"/>
      <c r="C1684" s="98"/>
      <c r="D1684" s="76"/>
    </row>
    <row r="1685" spans="1:22" ht="20.25" customHeight="1" thickBot="1" x14ac:dyDescent="0.3">
      <c r="A1685" s="105"/>
      <c r="B1685" s="64"/>
      <c r="C1685" s="64"/>
      <c r="D1685" s="72"/>
    </row>
    <row r="1686" spans="1:22" ht="20.25" customHeight="1" thickBot="1" x14ac:dyDescent="0.3">
      <c r="A1686" s="108"/>
      <c r="B1686" s="108"/>
      <c r="C1686" s="108"/>
      <c r="D1686" s="108"/>
    </row>
    <row r="1687" spans="1:22" ht="20.25" customHeight="1" x14ac:dyDescent="0.25">
      <c r="A1687" s="105"/>
      <c r="B1687" s="111"/>
      <c r="C1687" s="112"/>
      <c r="D1687" s="113"/>
    </row>
    <row r="1688" spans="1:22" ht="20.25" customHeight="1" x14ac:dyDescent="0.25">
      <c r="A1688" s="105"/>
      <c r="B1688" s="114"/>
      <c r="C1688" s="109"/>
      <c r="D1688" s="115"/>
    </row>
    <row r="1689" spans="1:22" ht="20.25" customHeight="1" x14ac:dyDescent="0.25">
      <c r="A1689" s="105"/>
      <c r="B1689" s="114"/>
      <c r="C1689" s="109"/>
      <c r="D1689" s="115"/>
    </row>
    <row r="1690" spans="1:22" ht="20.25" customHeight="1" x14ac:dyDescent="0.25">
      <c r="A1690" s="105"/>
      <c r="B1690" s="114"/>
      <c r="C1690" s="109"/>
      <c r="D1690" s="115"/>
    </row>
    <row r="1691" spans="1:22" ht="20.25" customHeight="1" x14ac:dyDescent="0.25">
      <c r="A1691" s="105"/>
      <c r="B1691" s="114"/>
      <c r="C1691" s="109"/>
      <c r="D1691" s="115"/>
    </row>
    <row r="1692" spans="1:22" ht="20.25" customHeight="1" x14ac:dyDescent="0.25">
      <c r="A1692" s="105"/>
      <c r="B1692" s="114"/>
      <c r="C1692" s="109"/>
      <c r="D1692" s="115"/>
    </row>
    <row r="1693" spans="1:22" ht="20.25" customHeight="1" x14ac:dyDescent="0.25">
      <c r="A1693" s="105"/>
      <c r="B1693" s="114"/>
      <c r="C1693" s="109"/>
      <c r="D1693" s="115"/>
    </row>
    <row r="1694" spans="1:22" ht="20.25" customHeight="1" x14ac:dyDescent="0.25">
      <c r="A1694" s="105"/>
      <c r="B1694" s="114"/>
      <c r="C1694" s="109"/>
      <c r="D1694" s="115"/>
    </row>
    <row r="1695" spans="1:22" ht="20.25" customHeight="1" thickBot="1" x14ac:dyDescent="0.3">
      <c r="A1695" s="73"/>
      <c r="B1695" s="116"/>
      <c r="C1695" s="117"/>
      <c r="D1695" s="118"/>
    </row>
    <row r="1696" spans="1:22" ht="20.25" customHeight="1" thickBot="1" x14ac:dyDescent="0.3">
      <c r="A1696" s="98"/>
      <c r="B1696" s="100"/>
      <c r="C1696" s="100"/>
      <c r="D1696" s="76"/>
    </row>
    <row r="1697" spans="1:22" ht="20.25" customHeight="1" x14ac:dyDescent="0.25">
      <c r="A1697" s="91"/>
      <c r="B1697" s="92"/>
      <c r="C1697" s="92"/>
      <c r="D1697" s="104"/>
    </row>
    <row r="1698" spans="1:22" ht="20.25" customHeight="1" thickBot="1" x14ac:dyDescent="0.3">
      <c r="A1698" s="73"/>
      <c r="B1698" s="74"/>
      <c r="C1698" s="74"/>
      <c r="D1698" s="75"/>
    </row>
    <row r="1699" spans="1:22" ht="20.25" customHeight="1" thickBot="1" x14ac:dyDescent="0.3">
      <c r="A1699" s="98"/>
      <c r="B1699" s="76"/>
      <c r="C1699" s="98"/>
      <c r="D1699" s="76"/>
    </row>
    <row r="1700" spans="1:22" ht="20.25" customHeight="1" thickBot="1" x14ac:dyDescent="0.3">
      <c r="A1700" s="110"/>
      <c r="B1700" s="98"/>
      <c r="C1700" s="76"/>
      <c r="D1700" s="110"/>
    </row>
    <row r="1701" spans="1:22" ht="20.25" customHeight="1" thickBot="1" x14ac:dyDescent="0.3">
      <c r="A1701" s="110"/>
      <c r="B1701" s="106"/>
      <c r="C1701" s="74"/>
      <c r="D1701" s="107"/>
      <c r="T1701" s="95"/>
      <c r="V1701" s="95"/>
    </row>
    <row r="1702" spans="1:22" ht="20.25" customHeight="1" thickBot="1" x14ac:dyDescent="0.3">
      <c r="A1702" s="98"/>
      <c r="B1702" s="76"/>
      <c r="C1702" s="98"/>
      <c r="D1702" s="76"/>
    </row>
    <row r="1703" spans="1:22" ht="20.25" customHeight="1" thickBot="1" x14ac:dyDescent="0.3">
      <c r="A1703" s="98"/>
      <c r="B1703" s="76"/>
      <c r="C1703" s="98"/>
      <c r="D1703" s="76"/>
      <c r="U1703" s="95"/>
      <c r="V1703" s="95"/>
    </row>
    <row r="1704" spans="1:22" ht="20.25" customHeight="1" thickBot="1" x14ac:dyDescent="0.3">
      <c r="A1704" s="98"/>
      <c r="B1704" s="76"/>
      <c r="C1704" s="98"/>
      <c r="D1704" s="76"/>
    </row>
    <row r="1705" spans="1:22" ht="20.25" customHeight="1" thickBot="1" x14ac:dyDescent="0.3">
      <c r="A1705" s="105"/>
      <c r="B1705" s="64"/>
      <c r="C1705" s="64"/>
      <c r="D1705" s="72"/>
    </row>
    <row r="1706" spans="1:22" ht="20.25" customHeight="1" thickBot="1" x14ac:dyDescent="0.3">
      <c r="A1706" s="108"/>
      <c r="B1706" s="108"/>
      <c r="C1706" s="108"/>
      <c r="D1706" s="108"/>
    </row>
    <row r="1707" spans="1:22" ht="20.25" customHeight="1" x14ac:dyDescent="0.25">
      <c r="A1707" s="105"/>
      <c r="B1707" s="111"/>
      <c r="C1707" s="112"/>
      <c r="D1707" s="113"/>
    </row>
    <row r="1708" spans="1:22" ht="20.25" customHeight="1" x14ac:dyDescent="0.25">
      <c r="A1708" s="105"/>
      <c r="B1708" s="114"/>
      <c r="C1708" s="109"/>
      <c r="D1708" s="115"/>
    </row>
    <row r="1709" spans="1:22" ht="20.25" customHeight="1" x14ac:dyDescent="0.25">
      <c r="A1709" s="105"/>
      <c r="B1709" s="114"/>
      <c r="C1709" s="109"/>
      <c r="D1709" s="115"/>
    </row>
    <row r="1710" spans="1:22" ht="20.25" customHeight="1" x14ac:dyDescent="0.25">
      <c r="A1710" s="105"/>
      <c r="B1710" s="114"/>
      <c r="C1710" s="109"/>
      <c r="D1710" s="115"/>
    </row>
    <row r="1711" spans="1:22" ht="20.25" customHeight="1" x14ac:dyDescent="0.25">
      <c r="A1711" s="105"/>
      <c r="B1711" s="114"/>
      <c r="C1711" s="109"/>
      <c r="D1711" s="115"/>
    </row>
    <row r="1712" spans="1:22" ht="20.25" customHeight="1" x14ac:dyDescent="0.25">
      <c r="A1712" s="105"/>
      <c r="B1712" s="114"/>
      <c r="C1712" s="109"/>
      <c r="D1712" s="115"/>
    </row>
    <row r="1713" spans="1:22" ht="20.25" customHeight="1" x14ac:dyDescent="0.25">
      <c r="A1713" s="105"/>
      <c r="B1713" s="114"/>
      <c r="C1713" s="109"/>
      <c r="D1713" s="115"/>
    </row>
    <row r="1714" spans="1:22" ht="20.25" customHeight="1" x14ac:dyDescent="0.25">
      <c r="A1714" s="105"/>
      <c r="B1714" s="114"/>
      <c r="C1714" s="109"/>
      <c r="D1714" s="115"/>
    </row>
    <row r="1715" spans="1:22" ht="20.25" customHeight="1" thickBot="1" x14ac:dyDescent="0.3">
      <c r="A1715" s="73"/>
      <c r="B1715" s="116"/>
      <c r="C1715" s="117"/>
      <c r="D1715" s="118"/>
    </row>
    <row r="1716" spans="1:22" ht="20.25" customHeight="1" thickBot="1" x14ac:dyDescent="0.3">
      <c r="A1716" s="98"/>
      <c r="B1716" s="100"/>
      <c r="C1716" s="100"/>
      <c r="D1716" s="76"/>
    </row>
    <row r="1717" spans="1:22" ht="20.25" customHeight="1" x14ac:dyDescent="0.25">
      <c r="A1717" s="91"/>
      <c r="B1717" s="92"/>
      <c r="C1717" s="92"/>
      <c r="D1717" s="104"/>
    </row>
    <row r="1718" spans="1:22" ht="20.25" customHeight="1" thickBot="1" x14ac:dyDescent="0.3">
      <c r="A1718" s="73"/>
      <c r="B1718" s="74"/>
      <c r="C1718" s="74"/>
      <c r="D1718" s="75"/>
    </row>
    <row r="1719" spans="1:22" ht="20.25" customHeight="1" thickBot="1" x14ac:dyDescent="0.3">
      <c r="A1719" s="98"/>
      <c r="B1719" s="76"/>
      <c r="C1719" s="98"/>
      <c r="D1719" s="76"/>
    </row>
    <row r="1720" spans="1:22" ht="20.25" customHeight="1" thickBot="1" x14ac:dyDescent="0.3">
      <c r="A1720" s="110"/>
      <c r="B1720" s="98"/>
      <c r="C1720" s="76"/>
      <c r="D1720" s="110"/>
    </row>
    <row r="1721" spans="1:22" ht="20.25" customHeight="1" thickBot="1" x14ac:dyDescent="0.3">
      <c r="A1721" s="110"/>
      <c r="B1721" s="106"/>
      <c r="C1721" s="74"/>
      <c r="D1721" s="107"/>
      <c r="T1721" s="95"/>
      <c r="V1721" s="95"/>
    </row>
    <row r="1722" spans="1:22" ht="20.25" customHeight="1" thickBot="1" x14ac:dyDescent="0.3">
      <c r="A1722" s="98"/>
      <c r="B1722" s="76"/>
      <c r="C1722" s="98"/>
      <c r="D1722" s="76"/>
    </row>
    <row r="1723" spans="1:22" ht="20.25" customHeight="1" thickBot="1" x14ac:dyDescent="0.3">
      <c r="A1723" s="98"/>
      <c r="B1723" s="76"/>
      <c r="C1723" s="98"/>
      <c r="D1723" s="76"/>
      <c r="U1723" s="95"/>
      <c r="V1723" s="95"/>
    </row>
    <row r="1724" spans="1:22" ht="20.25" customHeight="1" thickBot="1" x14ac:dyDescent="0.3">
      <c r="A1724" s="98"/>
      <c r="B1724" s="76"/>
      <c r="C1724" s="98"/>
      <c r="D1724" s="76"/>
    </row>
    <row r="1725" spans="1:22" ht="20.25" customHeight="1" thickBot="1" x14ac:dyDescent="0.3">
      <c r="A1725" s="105"/>
      <c r="B1725" s="64"/>
      <c r="C1725" s="64"/>
      <c r="D1725" s="72"/>
    </row>
    <row r="1726" spans="1:22" ht="20.25" customHeight="1" thickBot="1" x14ac:dyDescent="0.3">
      <c r="A1726" s="108"/>
      <c r="B1726" s="108"/>
      <c r="C1726" s="108"/>
      <c r="D1726" s="108"/>
    </row>
    <row r="1727" spans="1:22" ht="20.25" customHeight="1" x14ac:dyDescent="0.25">
      <c r="A1727" s="105"/>
      <c r="B1727" s="111"/>
      <c r="C1727" s="112"/>
      <c r="D1727" s="113"/>
    </row>
    <row r="1728" spans="1:22" ht="20.25" customHeight="1" x14ac:dyDescent="0.25">
      <c r="A1728" s="105"/>
      <c r="B1728" s="114"/>
      <c r="C1728" s="109"/>
      <c r="D1728" s="115"/>
    </row>
    <row r="1729" spans="1:22" ht="20.25" customHeight="1" x14ac:dyDescent="0.25">
      <c r="A1729" s="105"/>
      <c r="B1729" s="114"/>
      <c r="C1729" s="109"/>
      <c r="D1729" s="115"/>
    </row>
    <row r="1730" spans="1:22" ht="20.25" customHeight="1" x14ac:dyDescent="0.25">
      <c r="A1730" s="105"/>
      <c r="B1730" s="114"/>
      <c r="C1730" s="109"/>
      <c r="D1730" s="115"/>
    </row>
    <row r="1731" spans="1:22" ht="20.25" customHeight="1" x14ac:dyDescent="0.25">
      <c r="A1731" s="105"/>
      <c r="B1731" s="114"/>
      <c r="C1731" s="109"/>
      <c r="D1731" s="115"/>
    </row>
    <row r="1732" spans="1:22" ht="20.25" customHeight="1" x14ac:dyDescent="0.25">
      <c r="A1732" s="105"/>
      <c r="B1732" s="114"/>
      <c r="C1732" s="109"/>
      <c r="D1732" s="115"/>
    </row>
    <row r="1733" spans="1:22" ht="20.25" customHeight="1" x14ac:dyDescent="0.25">
      <c r="A1733" s="105"/>
      <c r="B1733" s="114"/>
      <c r="C1733" s="109"/>
      <c r="D1733" s="115"/>
    </row>
    <row r="1734" spans="1:22" ht="20.25" customHeight="1" x14ac:dyDescent="0.25">
      <c r="A1734" s="105"/>
      <c r="B1734" s="114"/>
      <c r="C1734" s="109"/>
      <c r="D1734" s="115"/>
    </row>
    <row r="1735" spans="1:22" ht="20.25" customHeight="1" thickBot="1" x14ac:dyDescent="0.3">
      <c r="A1735" s="73"/>
      <c r="B1735" s="116"/>
      <c r="C1735" s="117"/>
      <c r="D1735" s="118"/>
    </row>
    <row r="1736" spans="1:22" ht="20.25" customHeight="1" thickBot="1" x14ac:dyDescent="0.3">
      <c r="A1736" s="98"/>
      <c r="B1736" s="100"/>
      <c r="C1736" s="100"/>
      <c r="D1736" s="76"/>
    </row>
    <row r="1737" spans="1:22" ht="20.25" customHeight="1" x14ac:dyDescent="0.25">
      <c r="A1737" s="91"/>
      <c r="B1737" s="92"/>
      <c r="C1737" s="92"/>
      <c r="D1737" s="104"/>
    </row>
    <row r="1738" spans="1:22" ht="20.25" customHeight="1" thickBot="1" x14ac:dyDescent="0.3">
      <c r="A1738" s="73"/>
      <c r="B1738" s="74"/>
      <c r="C1738" s="74"/>
      <c r="D1738" s="75"/>
    </row>
    <row r="1739" spans="1:22" ht="20.25" customHeight="1" thickBot="1" x14ac:dyDescent="0.3">
      <c r="A1739" s="98"/>
      <c r="B1739" s="76"/>
      <c r="C1739" s="98"/>
      <c r="D1739" s="76"/>
    </row>
    <row r="1740" spans="1:22" ht="20.25" customHeight="1" thickBot="1" x14ac:dyDescent="0.3">
      <c r="A1740" s="110"/>
      <c r="B1740" s="98"/>
      <c r="C1740" s="76"/>
      <c r="D1740" s="110"/>
    </row>
    <row r="1741" spans="1:22" ht="20.25" customHeight="1" thickBot="1" x14ac:dyDescent="0.3">
      <c r="A1741" s="110"/>
      <c r="B1741" s="106"/>
      <c r="C1741" s="74"/>
      <c r="D1741" s="107"/>
      <c r="T1741" s="95"/>
      <c r="V1741" s="95"/>
    </row>
    <row r="1742" spans="1:22" ht="20.25" customHeight="1" thickBot="1" x14ac:dyDescent="0.3">
      <c r="A1742" s="98"/>
      <c r="B1742" s="76"/>
      <c r="C1742" s="98"/>
      <c r="D1742" s="76"/>
    </row>
    <row r="1743" spans="1:22" ht="20.25" customHeight="1" thickBot="1" x14ac:dyDescent="0.3">
      <c r="A1743" s="98"/>
      <c r="B1743" s="76"/>
      <c r="C1743" s="98"/>
      <c r="D1743" s="76"/>
      <c r="U1743" s="95"/>
      <c r="V1743" s="95"/>
    </row>
    <row r="1744" spans="1:22" ht="20.25" customHeight="1" thickBot="1" x14ac:dyDescent="0.3">
      <c r="A1744" s="98"/>
      <c r="B1744" s="76"/>
      <c r="C1744" s="98"/>
      <c r="D1744" s="76"/>
    </row>
    <row r="1745" spans="1:4" ht="20.25" customHeight="1" thickBot="1" x14ac:dyDescent="0.3">
      <c r="A1745" s="105"/>
      <c r="B1745" s="64"/>
      <c r="C1745" s="64"/>
      <c r="D1745" s="72"/>
    </row>
    <row r="1746" spans="1:4" ht="20.25" customHeight="1" thickBot="1" x14ac:dyDescent="0.3">
      <c r="A1746" s="108"/>
      <c r="B1746" s="108"/>
      <c r="C1746" s="108"/>
      <c r="D1746" s="108"/>
    </row>
    <row r="1747" spans="1:4" ht="20.25" customHeight="1" x14ac:dyDescent="0.25">
      <c r="A1747" s="105"/>
      <c r="B1747" s="111"/>
      <c r="C1747" s="112"/>
      <c r="D1747" s="113"/>
    </row>
    <row r="1748" spans="1:4" ht="20.25" customHeight="1" x14ac:dyDescent="0.25">
      <c r="A1748" s="105"/>
      <c r="B1748" s="114"/>
      <c r="C1748" s="109"/>
      <c r="D1748" s="115"/>
    </row>
    <row r="1749" spans="1:4" ht="20.25" customHeight="1" x14ac:dyDescent="0.25">
      <c r="A1749" s="105"/>
      <c r="B1749" s="114"/>
      <c r="C1749" s="109"/>
      <c r="D1749" s="115"/>
    </row>
    <row r="1750" spans="1:4" ht="20.25" customHeight="1" x14ac:dyDescent="0.25">
      <c r="A1750" s="105"/>
      <c r="B1750" s="114"/>
      <c r="C1750" s="109"/>
      <c r="D1750" s="115"/>
    </row>
    <row r="1751" spans="1:4" ht="20.25" customHeight="1" x14ac:dyDescent="0.25">
      <c r="A1751" s="105"/>
      <c r="B1751" s="114"/>
      <c r="C1751" s="109"/>
      <c r="D1751" s="115"/>
    </row>
    <row r="1752" spans="1:4" ht="20.25" customHeight="1" x14ac:dyDescent="0.25">
      <c r="A1752" s="105"/>
      <c r="B1752" s="114"/>
      <c r="C1752" s="109"/>
      <c r="D1752" s="115"/>
    </row>
    <row r="1753" spans="1:4" ht="20.25" customHeight="1" x14ac:dyDescent="0.25">
      <c r="A1753" s="105"/>
      <c r="B1753" s="114"/>
      <c r="C1753" s="109"/>
      <c r="D1753" s="115"/>
    </row>
    <row r="1754" spans="1:4" ht="20.25" customHeight="1" x14ac:dyDescent="0.25">
      <c r="A1754" s="105"/>
      <c r="B1754" s="114"/>
      <c r="C1754" s="109"/>
      <c r="D1754" s="115"/>
    </row>
    <row r="1755" spans="1:4" ht="20.25" customHeight="1" thickBot="1" x14ac:dyDescent="0.3">
      <c r="A1755" s="73"/>
      <c r="B1755" s="116"/>
      <c r="C1755" s="117"/>
      <c r="D1755" s="118"/>
    </row>
    <row r="1756" spans="1:4" ht="20.25" customHeight="1" thickBot="1" x14ac:dyDescent="0.3">
      <c r="A1756" s="98"/>
      <c r="B1756" s="100"/>
      <c r="C1756" s="100"/>
      <c r="D1756" s="76"/>
    </row>
    <row r="1757" spans="1:4" ht="20.25" customHeight="1" x14ac:dyDescent="0.25">
      <c r="A1757" s="91"/>
      <c r="B1757" s="92"/>
      <c r="C1757" s="92"/>
      <c r="D1757" s="104"/>
    </row>
    <row r="1758" spans="1:4" ht="20.25" customHeight="1" thickBot="1" x14ac:dyDescent="0.3">
      <c r="A1758" s="73"/>
      <c r="B1758" s="74"/>
      <c r="C1758" s="74"/>
      <c r="D1758" s="75"/>
    </row>
    <row r="1759" spans="1:4" ht="20.25" customHeight="1" thickBot="1" x14ac:dyDescent="0.3">
      <c r="A1759" s="98"/>
      <c r="B1759" s="76"/>
      <c r="C1759" s="98"/>
      <c r="D1759" s="76"/>
    </row>
    <row r="1760" spans="1:4" ht="20.25" customHeight="1" thickBot="1" x14ac:dyDescent="0.3">
      <c r="A1760" s="110"/>
      <c r="B1760" s="98"/>
      <c r="C1760" s="76"/>
      <c r="D1760" s="110"/>
    </row>
    <row r="1761" spans="1:22" ht="20.25" customHeight="1" thickBot="1" x14ac:dyDescent="0.3">
      <c r="A1761" s="110"/>
      <c r="B1761" s="106"/>
      <c r="C1761" s="74"/>
      <c r="D1761" s="107"/>
      <c r="T1761" s="95"/>
      <c r="V1761" s="95"/>
    </row>
    <row r="1762" spans="1:22" ht="20.25" customHeight="1" thickBot="1" x14ac:dyDescent="0.3">
      <c r="A1762" s="98"/>
      <c r="B1762" s="76"/>
      <c r="C1762" s="98"/>
      <c r="D1762" s="76"/>
    </row>
    <row r="1763" spans="1:22" ht="20.25" customHeight="1" thickBot="1" x14ac:dyDescent="0.3">
      <c r="A1763" s="98"/>
      <c r="B1763" s="76"/>
      <c r="C1763" s="98"/>
      <c r="D1763" s="76"/>
      <c r="U1763" s="95"/>
      <c r="V1763" s="95"/>
    </row>
    <row r="1764" spans="1:22" ht="20.25" customHeight="1" thickBot="1" x14ac:dyDescent="0.3">
      <c r="A1764" s="98"/>
      <c r="B1764" s="76"/>
      <c r="C1764" s="98"/>
      <c r="D1764" s="76"/>
    </row>
    <row r="1765" spans="1:22" ht="20.25" customHeight="1" thickBot="1" x14ac:dyDescent="0.3">
      <c r="A1765" s="105"/>
      <c r="B1765" s="64"/>
      <c r="C1765" s="64"/>
      <c r="D1765" s="72"/>
    </row>
    <row r="1766" spans="1:22" ht="20.25" customHeight="1" thickBot="1" x14ac:dyDescent="0.3">
      <c r="A1766" s="108"/>
      <c r="B1766" s="108"/>
      <c r="C1766" s="108"/>
      <c r="D1766" s="108"/>
    </row>
    <row r="1767" spans="1:22" ht="20.25" customHeight="1" x14ac:dyDescent="0.25">
      <c r="A1767" s="105"/>
      <c r="B1767" s="111"/>
      <c r="C1767" s="112"/>
      <c r="D1767" s="113"/>
    </row>
    <row r="1768" spans="1:22" ht="20.25" customHeight="1" x14ac:dyDescent="0.25">
      <c r="A1768" s="105"/>
      <c r="B1768" s="114"/>
      <c r="C1768" s="109"/>
      <c r="D1768" s="115"/>
    </row>
    <row r="1769" spans="1:22" ht="20.25" customHeight="1" x14ac:dyDescent="0.25">
      <c r="A1769" s="105"/>
      <c r="B1769" s="114"/>
      <c r="C1769" s="109"/>
      <c r="D1769" s="115"/>
    </row>
    <row r="1770" spans="1:22" ht="20.25" customHeight="1" x14ac:dyDescent="0.25">
      <c r="A1770" s="105"/>
      <c r="B1770" s="114"/>
      <c r="C1770" s="109"/>
      <c r="D1770" s="115"/>
    </row>
    <row r="1771" spans="1:22" ht="20.25" customHeight="1" x14ac:dyDescent="0.25">
      <c r="A1771" s="105"/>
      <c r="B1771" s="114"/>
      <c r="C1771" s="109"/>
      <c r="D1771" s="115"/>
    </row>
    <row r="1772" spans="1:22" ht="20.25" customHeight="1" x14ac:dyDescent="0.25">
      <c r="A1772" s="105"/>
      <c r="B1772" s="114"/>
      <c r="C1772" s="109"/>
      <c r="D1772" s="115"/>
    </row>
    <row r="1773" spans="1:22" ht="20.25" customHeight="1" x14ac:dyDescent="0.25">
      <c r="A1773" s="105"/>
      <c r="B1773" s="114"/>
      <c r="C1773" s="109"/>
      <c r="D1773" s="115"/>
    </row>
    <row r="1774" spans="1:22" ht="20.25" customHeight="1" x14ac:dyDescent="0.25">
      <c r="A1774" s="105"/>
      <c r="B1774" s="114"/>
      <c r="C1774" s="109"/>
      <c r="D1774" s="115"/>
    </row>
    <row r="1775" spans="1:22" ht="20.25" customHeight="1" thickBot="1" x14ac:dyDescent="0.3">
      <c r="A1775" s="73"/>
      <c r="B1775" s="116"/>
      <c r="C1775" s="117"/>
      <c r="D1775" s="118"/>
    </row>
    <row r="1776" spans="1:22" ht="20.25" customHeight="1" thickBot="1" x14ac:dyDescent="0.3">
      <c r="A1776" s="98"/>
      <c r="B1776" s="100"/>
      <c r="C1776" s="100"/>
      <c r="D1776" s="76"/>
    </row>
    <row r="1777" spans="1:22" ht="20.25" customHeight="1" x14ac:dyDescent="0.25">
      <c r="A1777" s="91"/>
      <c r="B1777" s="92"/>
      <c r="C1777" s="92"/>
      <c r="D1777" s="104"/>
    </row>
    <row r="1778" spans="1:22" ht="20.25" customHeight="1" thickBot="1" x14ac:dyDescent="0.3">
      <c r="A1778" s="73"/>
      <c r="B1778" s="74"/>
      <c r="C1778" s="74"/>
      <c r="D1778" s="75"/>
    </row>
    <row r="1779" spans="1:22" ht="20.25" customHeight="1" thickBot="1" x14ac:dyDescent="0.3">
      <c r="A1779" s="98"/>
      <c r="B1779" s="76"/>
      <c r="C1779" s="98"/>
      <c r="D1779" s="76"/>
    </row>
    <row r="1780" spans="1:22" ht="20.25" customHeight="1" thickBot="1" x14ac:dyDescent="0.3">
      <c r="A1780" s="110"/>
      <c r="B1780" s="98"/>
      <c r="C1780" s="76"/>
      <c r="D1780" s="110"/>
    </row>
    <row r="1781" spans="1:22" ht="20.25" customHeight="1" thickBot="1" x14ac:dyDescent="0.3">
      <c r="A1781" s="110"/>
      <c r="B1781" s="106"/>
      <c r="C1781" s="74"/>
      <c r="D1781" s="107"/>
      <c r="T1781" s="95"/>
      <c r="V1781" s="95"/>
    </row>
    <row r="1782" spans="1:22" ht="20.25" customHeight="1" thickBot="1" x14ac:dyDescent="0.3">
      <c r="A1782" s="98"/>
      <c r="B1782" s="76"/>
      <c r="C1782" s="98"/>
      <c r="D1782" s="76"/>
    </row>
    <row r="1783" spans="1:22" ht="20.25" customHeight="1" thickBot="1" x14ac:dyDescent="0.3">
      <c r="A1783" s="98"/>
      <c r="B1783" s="76"/>
      <c r="C1783" s="98"/>
      <c r="D1783" s="76"/>
      <c r="U1783" s="95"/>
      <c r="V1783" s="95"/>
    </row>
    <row r="1784" spans="1:22" ht="20.25" customHeight="1" thickBot="1" x14ac:dyDescent="0.3">
      <c r="A1784" s="98"/>
      <c r="B1784" s="76"/>
      <c r="C1784" s="98"/>
      <c r="D1784" s="76"/>
    </row>
    <row r="1785" spans="1:22" ht="20.25" customHeight="1" thickBot="1" x14ac:dyDescent="0.3">
      <c r="A1785" s="105"/>
      <c r="B1785" s="64"/>
      <c r="C1785" s="64"/>
      <c r="D1785" s="72"/>
    </row>
    <row r="1786" spans="1:22" ht="20.25" customHeight="1" thickBot="1" x14ac:dyDescent="0.3">
      <c r="A1786" s="108"/>
      <c r="B1786" s="108"/>
      <c r="C1786" s="108"/>
      <c r="D1786" s="108"/>
    </row>
    <row r="1787" spans="1:22" ht="20.25" customHeight="1" x14ac:dyDescent="0.25">
      <c r="A1787" s="105"/>
      <c r="B1787" s="111"/>
      <c r="C1787" s="112"/>
      <c r="D1787" s="113"/>
    </row>
    <row r="1788" spans="1:22" ht="20.25" customHeight="1" x14ac:dyDescent="0.25">
      <c r="A1788" s="105"/>
      <c r="B1788" s="114"/>
      <c r="C1788" s="109"/>
      <c r="D1788" s="115"/>
    </row>
    <row r="1789" spans="1:22" ht="20.25" customHeight="1" x14ac:dyDescent="0.25">
      <c r="A1789" s="105"/>
      <c r="B1789" s="114"/>
      <c r="C1789" s="109"/>
      <c r="D1789" s="115"/>
    </row>
    <row r="1790" spans="1:22" ht="20.25" customHeight="1" x14ac:dyDescent="0.25">
      <c r="A1790" s="105"/>
      <c r="B1790" s="114"/>
      <c r="C1790" s="109"/>
      <c r="D1790" s="115"/>
    </row>
    <row r="1791" spans="1:22" ht="20.25" customHeight="1" x14ac:dyDescent="0.25">
      <c r="A1791" s="105"/>
      <c r="B1791" s="114"/>
      <c r="C1791" s="109"/>
      <c r="D1791" s="115"/>
    </row>
    <row r="1792" spans="1:22" ht="20.25" customHeight="1" x14ac:dyDescent="0.25">
      <c r="A1792" s="105"/>
      <c r="B1792" s="114"/>
      <c r="C1792" s="109"/>
      <c r="D1792" s="115"/>
    </row>
    <row r="1793" spans="1:22" ht="20.25" customHeight="1" x14ac:dyDescent="0.25">
      <c r="A1793" s="105"/>
      <c r="B1793" s="114"/>
      <c r="C1793" s="109"/>
      <c r="D1793" s="115"/>
    </row>
    <row r="1794" spans="1:22" ht="20.25" customHeight="1" x14ac:dyDescent="0.25">
      <c r="A1794" s="105"/>
      <c r="B1794" s="114"/>
      <c r="C1794" s="109"/>
      <c r="D1794" s="115"/>
    </row>
    <row r="1795" spans="1:22" ht="20.25" customHeight="1" thickBot="1" x14ac:dyDescent="0.3">
      <c r="A1795" s="73"/>
      <c r="B1795" s="116"/>
      <c r="C1795" s="117"/>
      <c r="D1795" s="118"/>
    </row>
    <row r="1796" spans="1:22" ht="20.25" customHeight="1" thickBot="1" x14ac:dyDescent="0.3">
      <c r="A1796" s="98"/>
      <c r="B1796" s="100"/>
      <c r="C1796" s="100"/>
      <c r="D1796" s="76"/>
    </row>
    <row r="1797" spans="1:22" ht="20.25" customHeight="1" x14ac:dyDescent="0.25">
      <c r="A1797" s="91"/>
      <c r="B1797" s="92"/>
      <c r="C1797" s="92"/>
      <c r="D1797" s="104"/>
    </row>
    <row r="1798" spans="1:22" ht="20.25" customHeight="1" thickBot="1" x14ac:dyDescent="0.3">
      <c r="A1798" s="73"/>
      <c r="B1798" s="74"/>
      <c r="C1798" s="74"/>
      <c r="D1798" s="75"/>
    </row>
    <row r="1799" spans="1:22" ht="20.25" customHeight="1" thickBot="1" x14ac:dyDescent="0.3">
      <c r="A1799" s="98"/>
      <c r="B1799" s="76"/>
      <c r="C1799" s="98"/>
      <c r="D1799" s="76"/>
    </row>
    <row r="1800" spans="1:22" ht="20.25" customHeight="1" thickBot="1" x14ac:dyDescent="0.3">
      <c r="A1800" s="110"/>
      <c r="B1800" s="98"/>
      <c r="C1800" s="76"/>
      <c r="D1800" s="110"/>
    </row>
    <row r="1801" spans="1:22" ht="20.25" customHeight="1" thickBot="1" x14ac:dyDescent="0.3">
      <c r="A1801" s="110"/>
      <c r="B1801" s="106"/>
      <c r="C1801" s="74"/>
      <c r="D1801" s="107"/>
      <c r="T1801" s="95"/>
      <c r="V1801" s="95"/>
    </row>
    <row r="1802" spans="1:22" ht="20.25" customHeight="1" thickBot="1" x14ac:dyDescent="0.3">
      <c r="A1802" s="98"/>
      <c r="B1802" s="76"/>
      <c r="C1802" s="98"/>
      <c r="D1802" s="76"/>
    </row>
    <row r="1803" spans="1:22" ht="20.25" customHeight="1" thickBot="1" x14ac:dyDescent="0.3">
      <c r="A1803" s="98"/>
      <c r="B1803" s="76"/>
      <c r="C1803" s="98"/>
      <c r="D1803" s="76"/>
      <c r="U1803" s="95"/>
      <c r="V1803" s="95"/>
    </row>
    <row r="1804" spans="1:22" ht="20.25" customHeight="1" thickBot="1" x14ac:dyDescent="0.3">
      <c r="A1804" s="98"/>
      <c r="B1804" s="76"/>
      <c r="C1804" s="98"/>
      <c r="D1804" s="76"/>
    </row>
    <row r="1805" spans="1:22" ht="20.25" customHeight="1" thickBot="1" x14ac:dyDescent="0.3">
      <c r="A1805" s="105"/>
      <c r="B1805" s="64"/>
      <c r="C1805" s="64"/>
      <c r="D1805" s="72"/>
    </row>
    <row r="1806" spans="1:22" ht="20.25" customHeight="1" thickBot="1" x14ac:dyDescent="0.3">
      <c r="A1806" s="108"/>
      <c r="B1806" s="108"/>
      <c r="C1806" s="108"/>
      <c r="D1806" s="108"/>
    </row>
    <row r="1807" spans="1:22" ht="20.25" customHeight="1" x14ac:dyDescent="0.25">
      <c r="A1807" s="105"/>
      <c r="B1807" s="111"/>
      <c r="C1807" s="112"/>
      <c r="D1807" s="113"/>
    </row>
    <row r="1808" spans="1:22" ht="20.25" customHeight="1" x14ac:dyDescent="0.25">
      <c r="A1808" s="105"/>
      <c r="B1808" s="114"/>
      <c r="C1808" s="109"/>
      <c r="D1808" s="115"/>
    </row>
    <row r="1809" spans="1:22" ht="20.25" customHeight="1" x14ac:dyDescent="0.25">
      <c r="A1809" s="105"/>
      <c r="B1809" s="114"/>
      <c r="C1809" s="109"/>
      <c r="D1809" s="115"/>
    </row>
    <row r="1810" spans="1:22" ht="20.25" customHeight="1" x14ac:dyDescent="0.25">
      <c r="A1810" s="105"/>
      <c r="B1810" s="114"/>
      <c r="C1810" s="109"/>
      <c r="D1810" s="115"/>
    </row>
    <row r="1811" spans="1:22" ht="20.25" customHeight="1" x14ac:dyDescent="0.25">
      <c r="A1811" s="105"/>
      <c r="B1811" s="114"/>
      <c r="C1811" s="109"/>
      <c r="D1811" s="115"/>
    </row>
    <row r="1812" spans="1:22" ht="20.25" customHeight="1" x14ac:dyDescent="0.25">
      <c r="A1812" s="105"/>
      <c r="B1812" s="114"/>
      <c r="C1812" s="109"/>
      <c r="D1812" s="115"/>
    </row>
    <row r="1813" spans="1:22" ht="20.25" customHeight="1" x14ac:dyDescent="0.25">
      <c r="A1813" s="105"/>
      <c r="B1813" s="114"/>
      <c r="C1813" s="109"/>
      <c r="D1813" s="115"/>
    </row>
    <row r="1814" spans="1:22" ht="20.25" customHeight="1" x14ac:dyDescent="0.25">
      <c r="A1814" s="105"/>
      <c r="B1814" s="114"/>
      <c r="C1814" s="109"/>
      <c r="D1814" s="115"/>
    </row>
    <row r="1815" spans="1:22" ht="20.25" customHeight="1" thickBot="1" x14ac:dyDescent="0.3">
      <c r="A1815" s="73"/>
      <c r="B1815" s="116"/>
      <c r="C1815" s="117"/>
      <c r="D1815" s="118"/>
    </row>
    <row r="1816" spans="1:22" ht="20.25" customHeight="1" thickBot="1" x14ac:dyDescent="0.3">
      <c r="A1816" s="98"/>
      <c r="B1816" s="100"/>
      <c r="C1816" s="100"/>
      <c r="D1816" s="76"/>
    </row>
    <row r="1817" spans="1:22" ht="20.25" customHeight="1" x14ac:dyDescent="0.25">
      <c r="A1817" s="91"/>
      <c r="B1817" s="92"/>
      <c r="C1817" s="92"/>
      <c r="D1817" s="104"/>
    </row>
    <row r="1818" spans="1:22" ht="20.25" customHeight="1" thickBot="1" x14ac:dyDescent="0.3">
      <c r="A1818" s="73"/>
      <c r="B1818" s="74"/>
      <c r="C1818" s="74"/>
      <c r="D1818" s="75"/>
    </row>
    <row r="1819" spans="1:22" ht="20.25" customHeight="1" thickBot="1" x14ac:dyDescent="0.3">
      <c r="A1819" s="98"/>
      <c r="B1819" s="76"/>
      <c r="C1819" s="98"/>
      <c r="D1819" s="76"/>
    </row>
    <row r="1820" spans="1:22" ht="20.25" customHeight="1" thickBot="1" x14ac:dyDescent="0.3">
      <c r="A1820" s="110"/>
      <c r="B1820" s="98"/>
      <c r="C1820" s="76"/>
      <c r="D1820" s="110"/>
    </row>
    <row r="1821" spans="1:22" ht="20.25" customHeight="1" thickBot="1" x14ac:dyDescent="0.3">
      <c r="A1821" s="110"/>
      <c r="B1821" s="106"/>
      <c r="C1821" s="74"/>
      <c r="D1821" s="107"/>
      <c r="T1821" s="95"/>
      <c r="V1821" s="95"/>
    </row>
    <row r="1822" spans="1:22" ht="20.25" customHeight="1" thickBot="1" x14ac:dyDescent="0.3">
      <c r="A1822" s="98"/>
      <c r="B1822" s="76"/>
      <c r="C1822" s="98"/>
      <c r="D1822" s="76"/>
    </row>
    <row r="1823" spans="1:22" ht="20.25" customHeight="1" thickBot="1" x14ac:dyDescent="0.3">
      <c r="A1823" s="98"/>
      <c r="B1823" s="76"/>
      <c r="C1823" s="98"/>
      <c r="D1823" s="76"/>
      <c r="U1823" s="95"/>
      <c r="V1823" s="95"/>
    </row>
    <row r="1824" spans="1:22" ht="20.25" customHeight="1" thickBot="1" x14ac:dyDescent="0.3">
      <c r="A1824" s="98"/>
      <c r="B1824" s="76"/>
      <c r="C1824" s="98"/>
      <c r="D1824" s="76"/>
    </row>
    <row r="1825" spans="1:4" ht="20.25" customHeight="1" thickBot="1" x14ac:dyDescent="0.3">
      <c r="A1825" s="105"/>
      <c r="B1825" s="64"/>
      <c r="C1825" s="64"/>
      <c r="D1825" s="72"/>
    </row>
    <row r="1826" spans="1:4" ht="20.25" customHeight="1" thickBot="1" x14ac:dyDescent="0.3">
      <c r="A1826" s="108"/>
      <c r="B1826" s="108"/>
      <c r="C1826" s="108"/>
      <c r="D1826" s="108"/>
    </row>
    <row r="1827" spans="1:4" ht="20.25" customHeight="1" x14ac:dyDescent="0.25">
      <c r="A1827" s="105"/>
      <c r="B1827" s="111"/>
      <c r="C1827" s="112"/>
      <c r="D1827" s="113"/>
    </row>
    <row r="1828" spans="1:4" ht="20.25" customHeight="1" x14ac:dyDescent="0.25">
      <c r="A1828" s="105"/>
      <c r="B1828" s="114"/>
      <c r="C1828" s="109"/>
      <c r="D1828" s="115"/>
    </row>
    <row r="1829" spans="1:4" ht="20.25" customHeight="1" x14ac:dyDescent="0.25">
      <c r="A1829" s="105"/>
      <c r="B1829" s="114"/>
      <c r="C1829" s="109"/>
      <c r="D1829" s="115"/>
    </row>
    <row r="1830" spans="1:4" ht="20.25" customHeight="1" x14ac:dyDescent="0.25">
      <c r="A1830" s="105"/>
      <c r="B1830" s="114"/>
      <c r="C1830" s="109"/>
      <c r="D1830" s="115"/>
    </row>
    <row r="1831" spans="1:4" ht="20.25" customHeight="1" x14ac:dyDescent="0.25">
      <c r="A1831" s="105"/>
      <c r="B1831" s="114"/>
      <c r="C1831" s="109"/>
      <c r="D1831" s="115"/>
    </row>
    <row r="1832" spans="1:4" ht="20.25" customHeight="1" x14ac:dyDescent="0.25">
      <c r="A1832" s="105"/>
      <c r="B1832" s="114"/>
      <c r="C1832" s="109"/>
      <c r="D1832" s="115"/>
    </row>
    <row r="1833" spans="1:4" ht="20.25" customHeight="1" x14ac:dyDescent="0.25">
      <c r="A1833" s="105"/>
      <c r="B1833" s="114"/>
      <c r="C1833" s="109"/>
      <c r="D1833" s="115"/>
    </row>
    <row r="1834" spans="1:4" ht="20.25" customHeight="1" x14ac:dyDescent="0.25">
      <c r="A1834" s="105"/>
      <c r="B1834" s="114"/>
      <c r="C1834" s="109"/>
      <c r="D1834" s="115"/>
    </row>
    <row r="1835" spans="1:4" ht="20.25" customHeight="1" thickBot="1" x14ac:dyDescent="0.3">
      <c r="A1835" s="73"/>
      <c r="B1835" s="116"/>
      <c r="C1835" s="117"/>
      <c r="D1835" s="118"/>
    </row>
    <row r="1836" spans="1:4" ht="20.25" customHeight="1" thickBot="1" x14ac:dyDescent="0.3">
      <c r="A1836" s="98"/>
      <c r="B1836" s="100"/>
      <c r="C1836" s="100"/>
      <c r="D1836" s="76"/>
    </row>
    <row r="1837" spans="1:4" ht="20.25" customHeight="1" x14ac:dyDescent="0.25">
      <c r="A1837" s="91"/>
      <c r="B1837" s="92"/>
      <c r="C1837" s="92"/>
      <c r="D1837" s="104"/>
    </row>
    <row r="1838" spans="1:4" ht="20.25" customHeight="1" thickBot="1" x14ac:dyDescent="0.3">
      <c r="A1838" s="73"/>
      <c r="B1838" s="74"/>
      <c r="C1838" s="74"/>
      <c r="D1838" s="75"/>
    </row>
    <row r="1839" spans="1:4" ht="20.25" customHeight="1" thickBot="1" x14ac:dyDescent="0.3">
      <c r="A1839" s="98"/>
      <c r="B1839" s="76"/>
      <c r="C1839" s="98"/>
      <c r="D1839" s="76"/>
    </row>
    <row r="1840" spans="1:4" ht="20.25" customHeight="1" thickBot="1" x14ac:dyDescent="0.3">
      <c r="A1840" s="110"/>
      <c r="B1840" s="98"/>
      <c r="C1840" s="76"/>
      <c r="D1840" s="110"/>
    </row>
    <row r="1841" spans="1:22" ht="20.25" customHeight="1" thickBot="1" x14ac:dyDescent="0.3">
      <c r="A1841" s="110"/>
      <c r="B1841" s="106"/>
      <c r="C1841" s="74"/>
      <c r="D1841" s="107"/>
      <c r="T1841" s="95"/>
      <c r="V1841" s="95"/>
    </row>
    <row r="1842" spans="1:22" ht="20.25" customHeight="1" thickBot="1" x14ac:dyDescent="0.3">
      <c r="A1842" s="98"/>
      <c r="B1842" s="76"/>
      <c r="C1842" s="98"/>
      <c r="D1842" s="76"/>
    </row>
    <row r="1843" spans="1:22" ht="20.25" customHeight="1" thickBot="1" x14ac:dyDescent="0.3">
      <c r="A1843" s="98"/>
      <c r="B1843" s="76"/>
      <c r="C1843" s="98"/>
      <c r="D1843" s="76"/>
      <c r="U1843" s="95"/>
      <c r="V1843" s="95"/>
    </row>
    <row r="1844" spans="1:22" ht="20.25" customHeight="1" thickBot="1" x14ac:dyDescent="0.3">
      <c r="A1844" s="98"/>
      <c r="B1844" s="76"/>
      <c r="C1844" s="98"/>
      <c r="D1844" s="76"/>
    </row>
    <row r="1845" spans="1:22" ht="20.25" customHeight="1" thickBot="1" x14ac:dyDescent="0.3">
      <c r="A1845" s="105"/>
      <c r="B1845" s="64"/>
      <c r="C1845" s="64"/>
      <c r="D1845" s="72"/>
    </row>
    <row r="1846" spans="1:22" ht="20.25" customHeight="1" thickBot="1" x14ac:dyDescent="0.3">
      <c r="A1846" s="108"/>
      <c r="B1846" s="108"/>
      <c r="C1846" s="108"/>
      <c r="D1846" s="108"/>
    </row>
    <row r="1847" spans="1:22" ht="20.25" customHeight="1" x14ac:dyDescent="0.25">
      <c r="A1847" s="105"/>
      <c r="B1847" s="111"/>
      <c r="C1847" s="112"/>
      <c r="D1847" s="113"/>
    </row>
    <row r="1848" spans="1:22" ht="20.25" customHeight="1" x14ac:dyDescent="0.25">
      <c r="A1848" s="105"/>
      <c r="B1848" s="114"/>
      <c r="C1848" s="109"/>
      <c r="D1848" s="115"/>
    </row>
    <row r="1849" spans="1:22" ht="20.25" customHeight="1" x14ac:dyDescent="0.25">
      <c r="A1849" s="105"/>
      <c r="B1849" s="114"/>
      <c r="C1849" s="109"/>
      <c r="D1849" s="115"/>
    </row>
    <row r="1850" spans="1:22" ht="20.25" customHeight="1" x14ac:dyDescent="0.25">
      <c r="A1850" s="105"/>
      <c r="B1850" s="114"/>
      <c r="C1850" s="109"/>
      <c r="D1850" s="115"/>
    </row>
    <row r="1851" spans="1:22" ht="20.25" customHeight="1" x14ac:dyDescent="0.25">
      <c r="A1851" s="105"/>
      <c r="B1851" s="114"/>
      <c r="C1851" s="109"/>
      <c r="D1851" s="115"/>
    </row>
    <row r="1852" spans="1:22" ht="20.25" customHeight="1" x14ac:dyDescent="0.25">
      <c r="A1852" s="105"/>
      <c r="B1852" s="114"/>
      <c r="C1852" s="109"/>
      <c r="D1852" s="115"/>
    </row>
    <row r="1853" spans="1:22" ht="20.25" customHeight="1" x14ac:dyDescent="0.25">
      <c r="A1853" s="105"/>
      <c r="B1853" s="114"/>
      <c r="C1853" s="109"/>
      <c r="D1853" s="115"/>
    </row>
    <row r="1854" spans="1:22" ht="20.25" customHeight="1" x14ac:dyDescent="0.25">
      <c r="A1854" s="105"/>
      <c r="B1854" s="114"/>
      <c r="C1854" s="109"/>
      <c r="D1854" s="115"/>
    </row>
    <row r="1855" spans="1:22" ht="20.25" customHeight="1" thickBot="1" x14ac:dyDescent="0.3">
      <c r="A1855" s="73"/>
      <c r="B1855" s="116"/>
      <c r="C1855" s="117"/>
      <c r="D1855" s="118"/>
    </row>
    <row r="1856" spans="1:22" ht="20.25" customHeight="1" thickBot="1" x14ac:dyDescent="0.3">
      <c r="A1856" s="98"/>
      <c r="B1856" s="100"/>
      <c r="C1856" s="100"/>
      <c r="D1856" s="76"/>
    </row>
    <row r="1857" spans="1:22" ht="20.25" customHeight="1" x14ac:dyDescent="0.25">
      <c r="A1857" s="91"/>
      <c r="B1857" s="92"/>
      <c r="C1857" s="92"/>
      <c r="D1857" s="104"/>
    </row>
    <row r="1858" spans="1:22" ht="20.25" customHeight="1" thickBot="1" x14ac:dyDescent="0.3">
      <c r="A1858" s="73"/>
      <c r="B1858" s="74"/>
      <c r="C1858" s="74"/>
      <c r="D1858" s="75"/>
    </row>
    <row r="1859" spans="1:22" ht="20.25" customHeight="1" thickBot="1" x14ac:dyDescent="0.3">
      <c r="A1859" s="98"/>
      <c r="B1859" s="76"/>
      <c r="C1859" s="98"/>
      <c r="D1859" s="76"/>
    </row>
    <row r="1860" spans="1:22" ht="20.25" customHeight="1" thickBot="1" x14ac:dyDescent="0.3">
      <c r="A1860" s="110"/>
      <c r="B1860" s="98"/>
      <c r="C1860" s="76"/>
      <c r="D1860" s="110"/>
    </row>
    <row r="1861" spans="1:22" ht="20.25" customHeight="1" thickBot="1" x14ac:dyDescent="0.3">
      <c r="A1861" s="110"/>
      <c r="B1861" s="106"/>
      <c r="C1861" s="74"/>
      <c r="D1861" s="107"/>
      <c r="T1861" s="95"/>
      <c r="V1861" s="95"/>
    </row>
    <row r="1862" spans="1:22" ht="20.25" customHeight="1" thickBot="1" x14ac:dyDescent="0.3">
      <c r="A1862" s="98"/>
      <c r="B1862" s="76"/>
      <c r="C1862" s="98"/>
      <c r="D1862" s="76"/>
    </row>
    <row r="1863" spans="1:22" ht="20.25" customHeight="1" thickBot="1" x14ac:dyDescent="0.3">
      <c r="A1863" s="98"/>
      <c r="B1863" s="76"/>
      <c r="C1863" s="98"/>
      <c r="D1863" s="76"/>
      <c r="U1863" s="95"/>
      <c r="V1863" s="95"/>
    </row>
    <row r="1864" spans="1:22" ht="20.25" customHeight="1" thickBot="1" x14ac:dyDescent="0.3">
      <c r="A1864" s="98"/>
      <c r="B1864" s="76"/>
      <c r="C1864" s="98"/>
      <c r="D1864" s="76"/>
    </row>
    <row r="1865" spans="1:22" ht="20.25" customHeight="1" thickBot="1" x14ac:dyDescent="0.3">
      <c r="A1865" s="105"/>
      <c r="B1865" s="64"/>
      <c r="C1865" s="64"/>
      <c r="D1865" s="72"/>
    </row>
    <row r="1866" spans="1:22" ht="20.25" customHeight="1" thickBot="1" x14ac:dyDescent="0.3">
      <c r="A1866" s="108"/>
      <c r="B1866" s="108"/>
      <c r="C1866" s="108"/>
      <c r="D1866" s="108"/>
    </row>
    <row r="1867" spans="1:22" ht="20.25" customHeight="1" x14ac:dyDescent="0.25">
      <c r="A1867" s="105"/>
      <c r="B1867" s="111"/>
      <c r="C1867" s="112"/>
      <c r="D1867" s="113"/>
    </row>
    <row r="1868" spans="1:22" ht="20.25" customHeight="1" x14ac:dyDescent="0.25">
      <c r="A1868" s="105"/>
      <c r="B1868" s="114"/>
      <c r="C1868" s="109"/>
      <c r="D1868" s="115"/>
    </row>
    <row r="1869" spans="1:22" ht="20.25" customHeight="1" x14ac:dyDescent="0.25">
      <c r="A1869" s="105"/>
      <c r="B1869" s="114"/>
      <c r="C1869" s="109"/>
      <c r="D1869" s="115"/>
    </row>
    <row r="1870" spans="1:22" ht="20.25" customHeight="1" x14ac:dyDescent="0.25">
      <c r="A1870" s="105"/>
      <c r="B1870" s="114"/>
      <c r="C1870" s="109"/>
      <c r="D1870" s="115"/>
    </row>
    <row r="1871" spans="1:22" ht="20.25" customHeight="1" x14ac:dyDescent="0.25">
      <c r="A1871" s="105"/>
      <c r="B1871" s="114"/>
      <c r="C1871" s="109"/>
      <c r="D1871" s="115"/>
    </row>
    <row r="1872" spans="1:22" ht="20.25" customHeight="1" x14ac:dyDescent="0.25">
      <c r="A1872" s="105"/>
      <c r="B1872" s="114"/>
      <c r="C1872" s="109"/>
      <c r="D1872" s="115"/>
    </row>
    <row r="1873" spans="1:22" ht="20.25" customHeight="1" x14ac:dyDescent="0.25">
      <c r="A1873" s="105"/>
      <c r="B1873" s="114"/>
      <c r="C1873" s="109"/>
      <c r="D1873" s="115"/>
    </row>
    <row r="1874" spans="1:22" ht="20.25" customHeight="1" x14ac:dyDescent="0.25">
      <c r="A1874" s="105"/>
      <c r="B1874" s="114"/>
      <c r="C1874" s="109"/>
      <c r="D1874" s="115"/>
    </row>
    <row r="1875" spans="1:22" ht="20.25" customHeight="1" thickBot="1" x14ac:dyDescent="0.3">
      <c r="A1875" s="73"/>
      <c r="B1875" s="116"/>
      <c r="C1875" s="117"/>
      <c r="D1875" s="118"/>
    </row>
    <row r="1876" spans="1:22" ht="20.25" customHeight="1" thickBot="1" x14ac:dyDescent="0.3">
      <c r="A1876" s="98"/>
      <c r="B1876" s="100"/>
      <c r="C1876" s="100"/>
      <c r="D1876" s="76"/>
    </row>
    <row r="1877" spans="1:22" ht="20.25" customHeight="1" x14ac:dyDescent="0.25">
      <c r="A1877" s="91"/>
      <c r="B1877" s="92"/>
      <c r="C1877" s="92"/>
      <c r="D1877" s="104"/>
    </row>
    <row r="1878" spans="1:22" ht="20.25" customHeight="1" thickBot="1" x14ac:dyDescent="0.3">
      <c r="A1878" s="73"/>
      <c r="B1878" s="74"/>
      <c r="C1878" s="74"/>
      <c r="D1878" s="75"/>
    </row>
    <row r="1879" spans="1:22" ht="20.25" customHeight="1" thickBot="1" x14ac:dyDescent="0.3">
      <c r="A1879" s="98"/>
      <c r="B1879" s="76"/>
      <c r="C1879" s="98"/>
      <c r="D1879" s="76"/>
    </row>
    <row r="1880" spans="1:22" ht="20.25" customHeight="1" thickBot="1" x14ac:dyDescent="0.3">
      <c r="A1880" s="110"/>
      <c r="B1880" s="98"/>
      <c r="C1880" s="76"/>
      <c r="D1880" s="110"/>
    </row>
    <row r="1881" spans="1:22" ht="20.25" customHeight="1" thickBot="1" x14ac:dyDescent="0.3">
      <c r="A1881" s="110"/>
      <c r="B1881" s="106"/>
      <c r="C1881" s="74"/>
      <c r="D1881" s="107"/>
      <c r="T1881" s="95"/>
      <c r="V1881" s="95"/>
    </row>
    <row r="1882" spans="1:22" ht="20.25" customHeight="1" thickBot="1" x14ac:dyDescent="0.3">
      <c r="A1882" s="98"/>
      <c r="B1882" s="76"/>
      <c r="C1882" s="98"/>
      <c r="D1882" s="76"/>
    </row>
    <row r="1883" spans="1:22" ht="20.25" customHeight="1" thickBot="1" x14ac:dyDescent="0.3">
      <c r="A1883" s="98"/>
      <c r="B1883" s="76"/>
      <c r="C1883" s="98"/>
      <c r="D1883" s="76"/>
      <c r="U1883" s="95"/>
      <c r="V1883" s="95"/>
    </row>
    <row r="1884" spans="1:22" ht="20.25" customHeight="1" thickBot="1" x14ac:dyDescent="0.3">
      <c r="A1884" s="98"/>
      <c r="B1884" s="76"/>
      <c r="C1884" s="98"/>
      <c r="D1884" s="76"/>
    </row>
    <row r="1885" spans="1:22" ht="20.25" customHeight="1" thickBot="1" x14ac:dyDescent="0.3">
      <c r="A1885" s="105"/>
      <c r="B1885" s="64"/>
      <c r="C1885" s="64"/>
      <c r="D1885" s="72"/>
    </row>
    <row r="1886" spans="1:22" ht="20.25" customHeight="1" thickBot="1" x14ac:dyDescent="0.3">
      <c r="A1886" s="108"/>
      <c r="B1886" s="108"/>
      <c r="C1886" s="108"/>
      <c r="D1886" s="108"/>
    </row>
    <row r="1887" spans="1:22" ht="20.25" customHeight="1" x14ac:dyDescent="0.25">
      <c r="A1887" s="105"/>
      <c r="B1887" s="111"/>
      <c r="C1887" s="112"/>
      <c r="D1887" s="113"/>
    </row>
    <row r="1888" spans="1:22" ht="20.25" customHeight="1" x14ac:dyDescent="0.25">
      <c r="A1888" s="105"/>
      <c r="B1888" s="114"/>
      <c r="C1888" s="109"/>
      <c r="D1888" s="115"/>
    </row>
    <row r="1889" spans="1:22" ht="20.25" customHeight="1" x14ac:dyDescent="0.25">
      <c r="A1889" s="105"/>
      <c r="B1889" s="114"/>
      <c r="C1889" s="109"/>
      <c r="D1889" s="115"/>
    </row>
    <row r="1890" spans="1:22" ht="20.25" customHeight="1" x14ac:dyDescent="0.25">
      <c r="A1890" s="105"/>
      <c r="B1890" s="114"/>
      <c r="C1890" s="109"/>
      <c r="D1890" s="115"/>
    </row>
    <row r="1891" spans="1:22" ht="20.25" customHeight="1" x14ac:dyDescent="0.25">
      <c r="A1891" s="105"/>
      <c r="B1891" s="114"/>
      <c r="C1891" s="109"/>
      <c r="D1891" s="115"/>
    </row>
    <row r="1892" spans="1:22" ht="20.25" customHeight="1" x14ac:dyDescent="0.25">
      <c r="A1892" s="105"/>
      <c r="B1892" s="114"/>
      <c r="C1892" s="109"/>
      <c r="D1892" s="115"/>
    </row>
    <row r="1893" spans="1:22" ht="20.25" customHeight="1" x14ac:dyDescent="0.25">
      <c r="A1893" s="105"/>
      <c r="B1893" s="114"/>
      <c r="C1893" s="109"/>
      <c r="D1893" s="115"/>
    </row>
    <row r="1894" spans="1:22" ht="20.25" customHeight="1" x14ac:dyDescent="0.25">
      <c r="A1894" s="105"/>
      <c r="B1894" s="114"/>
      <c r="C1894" s="109"/>
      <c r="D1894" s="115"/>
    </row>
    <row r="1895" spans="1:22" ht="20.25" customHeight="1" thickBot="1" x14ac:dyDescent="0.3">
      <c r="A1895" s="73"/>
      <c r="B1895" s="116"/>
      <c r="C1895" s="117"/>
      <c r="D1895" s="118"/>
    </row>
    <row r="1896" spans="1:22" ht="20.25" customHeight="1" thickBot="1" x14ac:dyDescent="0.3">
      <c r="A1896" s="98"/>
      <c r="B1896" s="100"/>
      <c r="C1896" s="100"/>
      <c r="D1896" s="76"/>
    </row>
    <row r="1897" spans="1:22" ht="20.25" customHeight="1" x14ac:dyDescent="0.25">
      <c r="A1897" s="91"/>
      <c r="B1897" s="92"/>
      <c r="C1897" s="92"/>
      <c r="D1897" s="104"/>
    </row>
    <row r="1898" spans="1:22" ht="20.25" customHeight="1" thickBot="1" x14ac:dyDescent="0.3">
      <c r="A1898" s="73"/>
      <c r="B1898" s="74"/>
      <c r="C1898" s="74"/>
      <c r="D1898" s="75"/>
    </row>
    <row r="1899" spans="1:22" ht="20.25" customHeight="1" thickBot="1" x14ac:dyDescent="0.3">
      <c r="A1899" s="98"/>
      <c r="B1899" s="76"/>
      <c r="C1899" s="98"/>
      <c r="D1899" s="76"/>
    </row>
    <row r="1900" spans="1:22" ht="20.25" customHeight="1" thickBot="1" x14ac:dyDescent="0.3">
      <c r="A1900" s="110"/>
      <c r="B1900" s="98"/>
      <c r="C1900" s="76"/>
      <c r="D1900" s="110"/>
    </row>
    <row r="1901" spans="1:22" ht="20.25" customHeight="1" thickBot="1" x14ac:dyDescent="0.3">
      <c r="A1901" s="110"/>
      <c r="B1901" s="106"/>
      <c r="C1901" s="74"/>
      <c r="D1901" s="107"/>
      <c r="T1901" s="95"/>
      <c r="V1901" s="95"/>
    </row>
    <row r="1902" spans="1:22" ht="20.25" customHeight="1" thickBot="1" x14ac:dyDescent="0.3">
      <c r="A1902" s="98"/>
      <c r="B1902" s="76"/>
      <c r="C1902" s="98"/>
      <c r="D1902" s="76"/>
    </row>
    <row r="1903" spans="1:22" ht="20.25" customHeight="1" thickBot="1" x14ac:dyDescent="0.3">
      <c r="A1903" s="98"/>
      <c r="B1903" s="76"/>
      <c r="C1903" s="98"/>
      <c r="D1903" s="76"/>
      <c r="U1903" s="95"/>
      <c r="V1903" s="95"/>
    </row>
    <row r="1904" spans="1:22" ht="20.25" customHeight="1" thickBot="1" x14ac:dyDescent="0.3">
      <c r="A1904" s="98"/>
      <c r="B1904" s="76"/>
      <c r="C1904" s="98"/>
      <c r="D1904" s="76"/>
    </row>
    <row r="1905" spans="1:4" ht="20.25" customHeight="1" thickBot="1" x14ac:dyDescent="0.3">
      <c r="A1905" s="105"/>
      <c r="B1905" s="64"/>
      <c r="C1905" s="64"/>
      <c r="D1905" s="72"/>
    </row>
    <row r="1906" spans="1:4" ht="20.25" customHeight="1" thickBot="1" x14ac:dyDescent="0.3">
      <c r="A1906" s="108"/>
      <c r="B1906" s="108"/>
      <c r="C1906" s="108"/>
      <c r="D1906" s="108"/>
    </row>
    <row r="1907" spans="1:4" ht="20.25" customHeight="1" x14ac:dyDescent="0.25">
      <c r="A1907" s="105"/>
      <c r="B1907" s="111"/>
      <c r="C1907" s="112"/>
      <c r="D1907" s="113"/>
    </row>
    <row r="1908" spans="1:4" ht="20.25" customHeight="1" x14ac:dyDescent="0.25">
      <c r="A1908" s="105"/>
      <c r="B1908" s="114"/>
      <c r="C1908" s="109"/>
      <c r="D1908" s="115"/>
    </row>
    <row r="1909" spans="1:4" ht="20.25" customHeight="1" x14ac:dyDescent="0.25">
      <c r="A1909" s="105"/>
      <c r="B1909" s="114"/>
      <c r="C1909" s="109"/>
      <c r="D1909" s="115"/>
    </row>
    <row r="1910" spans="1:4" ht="20.25" customHeight="1" x14ac:dyDescent="0.25">
      <c r="A1910" s="105"/>
      <c r="B1910" s="114"/>
      <c r="C1910" s="109"/>
      <c r="D1910" s="115"/>
    </row>
    <row r="1911" spans="1:4" ht="20.25" customHeight="1" x14ac:dyDescent="0.25">
      <c r="A1911" s="105"/>
      <c r="B1911" s="114"/>
      <c r="C1911" s="109"/>
      <c r="D1911" s="115"/>
    </row>
    <row r="1912" spans="1:4" ht="20.25" customHeight="1" x14ac:dyDescent="0.25">
      <c r="A1912" s="105"/>
      <c r="B1912" s="114"/>
      <c r="C1912" s="109"/>
      <c r="D1912" s="115"/>
    </row>
    <row r="1913" spans="1:4" ht="20.25" customHeight="1" x14ac:dyDescent="0.25">
      <c r="A1913" s="105"/>
      <c r="B1913" s="114"/>
      <c r="C1913" s="109"/>
      <c r="D1913" s="115"/>
    </row>
    <row r="1914" spans="1:4" ht="20.25" customHeight="1" x14ac:dyDescent="0.25">
      <c r="A1914" s="105"/>
      <c r="B1914" s="114"/>
      <c r="C1914" s="109"/>
      <c r="D1914" s="115"/>
    </row>
    <row r="1915" spans="1:4" ht="20.25" customHeight="1" thickBot="1" x14ac:dyDescent="0.3">
      <c r="A1915" s="73"/>
      <c r="B1915" s="116"/>
      <c r="C1915" s="117"/>
      <c r="D1915" s="118"/>
    </row>
    <row r="1916" spans="1:4" ht="20.25" customHeight="1" thickBot="1" x14ac:dyDescent="0.3">
      <c r="A1916" s="98"/>
      <c r="B1916" s="100"/>
      <c r="C1916" s="100"/>
      <c r="D1916" s="76"/>
    </row>
    <row r="1917" spans="1:4" ht="20.25" customHeight="1" x14ac:dyDescent="0.25">
      <c r="A1917" s="91"/>
      <c r="B1917" s="92"/>
      <c r="C1917" s="92"/>
      <c r="D1917" s="104"/>
    </row>
    <row r="1918" spans="1:4" ht="20.25" customHeight="1" thickBot="1" x14ac:dyDescent="0.3">
      <c r="A1918" s="73"/>
      <c r="B1918" s="74"/>
      <c r="C1918" s="74"/>
      <c r="D1918" s="75"/>
    </row>
    <row r="1919" spans="1:4" ht="20.25" customHeight="1" thickBot="1" x14ac:dyDescent="0.3">
      <c r="A1919" s="98"/>
      <c r="B1919" s="76"/>
      <c r="C1919" s="98"/>
      <c r="D1919" s="76"/>
    </row>
    <row r="1920" spans="1:4" ht="20.25" customHeight="1" thickBot="1" x14ac:dyDescent="0.3">
      <c r="A1920" s="110"/>
      <c r="B1920" s="98"/>
      <c r="C1920" s="76"/>
      <c r="D1920" s="110"/>
    </row>
    <row r="1921" spans="1:22" ht="20.25" customHeight="1" thickBot="1" x14ac:dyDescent="0.3">
      <c r="A1921" s="110"/>
      <c r="B1921" s="106"/>
      <c r="C1921" s="74"/>
      <c r="D1921" s="107"/>
      <c r="T1921" s="95"/>
      <c r="V1921" s="95"/>
    </row>
    <row r="1922" spans="1:22" ht="20.25" customHeight="1" thickBot="1" x14ac:dyDescent="0.3">
      <c r="A1922" s="98"/>
      <c r="B1922" s="76"/>
      <c r="C1922" s="98"/>
      <c r="D1922" s="76"/>
    </row>
    <row r="1923" spans="1:22" ht="20.25" customHeight="1" thickBot="1" x14ac:dyDescent="0.3">
      <c r="A1923" s="98"/>
      <c r="B1923" s="76"/>
      <c r="C1923" s="98"/>
      <c r="D1923" s="76"/>
      <c r="U1923" s="95"/>
      <c r="V1923" s="95"/>
    </row>
    <row r="1924" spans="1:22" ht="20.25" customHeight="1" thickBot="1" x14ac:dyDescent="0.3">
      <c r="A1924" s="98"/>
      <c r="B1924" s="76"/>
      <c r="C1924" s="98"/>
      <c r="D1924" s="76"/>
    </row>
    <row r="1925" spans="1:22" ht="20.25" customHeight="1" thickBot="1" x14ac:dyDescent="0.3">
      <c r="A1925" s="105"/>
      <c r="B1925" s="64"/>
      <c r="C1925" s="64"/>
      <c r="D1925" s="72"/>
    </row>
    <row r="1926" spans="1:22" ht="20.25" customHeight="1" thickBot="1" x14ac:dyDescent="0.3">
      <c r="A1926" s="108"/>
      <c r="B1926" s="108"/>
      <c r="C1926" s="108"/>
      <c r="D1926" s="108"/>
    </row>
    <row r="1927" spans="1:22" ht="20.25" customHeight="1" x14ac:dyDescent="0.25">
      <c r="A1927" s="105"/>
      <c r="B1927" s="111"/>
      <c r="C1927" s="112"/>
      <c r="D1927" s="113"/>
    </row>
    <row r="1928" spans="1:22" ht="20.25" customHeight="1" x14ac:dyDescent="0.25">
      <c r="A1928" s="105"/>
      <c r="B1928" s="114"/>
      <c r="C1928" s="109"/>
      <c r="D1928" s="115"/>
    </row>
    <row r="1929" spans="1:22" ht="20.25" customHeight="1" x14ac:dyDescent="0.25">
      <c r="A1929" s="105"/>
      <c r="B1929" s="114"/>
      <c r="C1929" s="109"/>
      <c r="D1929" s="115"/>
    </row>
    <row r="1930" spans="1:22" ht="20.25" customHeight="1" x14ac:dyDescent="0.25">
      <c r="A1930" s="105"/>
      <c r="B1930" s="114"/>
      <c r="C1930" s="109"/>
      <c r="D1930" s="115"/>
    </row>
    <row r="1931" spans="1:22" ht="20.25" customHeight="1" x14ac:dyDescent="0.25">
      <c r="A1931" s="105"/>
      <c r="B1931" s="114"/>
      <c r="C1931" s="109"/>
      <c r="D1931" s="115"/>
    </row>
    <row r="1932" spans="1:22" ht="20.25" customHeight="1" x14ac:dyDescent="0.25">
      <c r="A1932" s="105"/>
      <c r="B1932" s="114"/>
      <c r="C1932" s="109"/>
      <c r="D1932" s="115"/>
    </row>
    <row r="1933" spans="1:22" ht="20.25" customHeight="1" x14ac:dyDescent="0.25">
      <c r="A1933" s="105"/>
      <c r="B1933" s="114"/>
      <c r="C1933" s="109"/>
      <c r="D1933" s="115"/>
    </row>
    <row r="1934" spans="1:22" ht="20.25" customHeight="1" x14ac:dyDescent="0.25">
      <c r="A1934" s="105"/>
      <c r="B1934" s="114"/>
      <c r="C1934" s="109"/>
      <c r="D1934" s="115"/>
    </row>
    <row r="1935" spans="1:22" ht="20.25" customHeight="1" thickBot="1" x14ac:dyDescent="0.3">
      <c r="A1935" s="73"/>
      <c r="B1935" s="116"/>
      <c r="C1935" s="117"/>
      <c r="D1935" s="118"/>
    </row>
    <row r="1936" spans="1:22" ht="20.25" customHeight="1" thickBot="1" x14ac:dyDescent="0.3">
      <c r="A1936" s="98"/>
      <c r="B1936" s="100"/>
      <c r="C1936" s="100"/>
      <c r="D1936" s="76"/>
    </row>
    <row r="1937" spans="1:22" ht="20.25" customHeight="1" x14ac:dyDescent="0.25">
      <c r="A1937" s="91"/>
      <c r="B1937" s="92"/>
      <c r="C1937" s="92"/>
      <c r="D1937" s="104"/>
    </row>
    <row r="1938" spans="1:22" ht="20.25" customHeight="1" thickBot="1" x14ac:dyDescent="0.3">
      <c r="A1938" s="73"/>
      <c r="B1938" s="74"/>
      <c r="C1938" s="74"/>
      <c r="D1938" s="75"/>
    </row>
    <row r="1939" spans="1:22" ht="20.25" customHeight="1" thickBot="1" x14ac:dyDescent="0.3">
      <c r="A1939" s="98"/>
      <c r="B1939" s="76"/>
      <c r="C1939" s="98"/>
      <c r="D1939" s="76"/>
    </row>
    <row r="1940" spans="1:22" ht="20.25" customHeight="1" thickBot="1" x14ac:dyDescent="0.3">
      <c r="A1940" s="110"/>
      <c r="B1940" s="98"/>
      <c r="C1940" s="76"/>
      <c r="D1940" s="110"/>
    </row>
    <row r="1941" spans="1:22" ht="20.25" customHeight="1" thickBot="1" x14ac:dyDescent="0.3">
      <c r="A1941" s="110"/>
      <c r="B1941" s="106"/>
      <c r="C1941" s="74"/>
      <c r="D1941" s="107"/>
      <c r="T1941" s="95"/>
      <c r="V1941" s="95"/>
    </row>
    <row r="1942" spans="1:22" ht="20.25" customHeight="1" thickBot="1" x14ac:dyDescent="0.3">
      <c r="A1942" s="98"/>
      <c r="B1942" s="76"/>
      <c r="C1942" s="98"/>
      <c r="D1942" s="76"/>
    </row>
    <row r="1943" spans="1:22" ht="20.25" customHeight="1" thickBot="1" x14ac:dyDescent="0.3">
      <c r="A1943" s="98"/>
      <c r="B1943" s="76"/>
      <c r="C1943" s="98"/>
      <c r="D1943" s="76"/>
      <c r="U1943" s="95"/>
      <c r="V1943" s="95"/>
    </row>
    <row r="1944" spans="1:22" ht="20.25" customHeight="1" thickBot="1" x14ac:dyDescent="0.3">
      <c r="A1944" s="98"/>
      <c r="B1944" s="76"/>
      <c r="C1944" s="98"/>
      <c r="D1944" s="76"/>
    </row>
    <row r="1945" spans="1:22" ht="20.25" customHeight="1" thickBot="1" x14ac:dyDescent="0.3">
      <c r="A1945" s="105"/>
      <c r="B1945" s="64"/>
      <c r="C1945" s="64"/>
      <c r="D1945" s="72"/>
    </row>
    <row r="1946" spans="1:22" ht="20.25" customHeight="1" thickBot="1" x14ac:dyDescent="0.3">
      <c r="A1946" s="108"/>
      <c r="B1946" s="108"/>
      <c r="C1946" s="108"/>
      <c r="D1946" s="108"/>
    </row>
    <row r="1947" spans="1:22" ht="20.25" customHeight="1" x14ac:dyDescent="0.25">
      <c r="A1947" s="105"/>
      <c r="B1947" s="111"/>
      <c r="C1947" s="112"/>
      <c r="D1947" s="113"/>
    </row>
    <row r="1948" spans="1:22" ht="20.25" customHeight="1" x14ac:dyDescent="0.25">
      <c r="A1948" s="105"/>
      <c r="B1948" s="114"/>
      <c r="C1948" s="109"/>
      <c r="D1948" s="115"/>
    </row>
    <row r="1949" spans="1:22" ht="20.25" customHeight="1" x14ac:dyDescent="0.25">
      <c r="A1949" s="105"/>
      <c r="B1949" s="114"/>
      <c r="C1949" s="109"/>
      <c r="D1949" s="115"/>
    </row>
    <row r="1950" spans="1:22" ht="20.25" customHeight="1" x14ac:dyDescent="0.25">
      <c r="A1950" s="105"/>
      <c r="B1950" s="114"/>
      <c r="C1950" s="109"/>
      <c r="D1950" s="115"/>
    </row>
    <row r="1951" spans="1:22" ht="20.25" customHeight="1" x14ac:dyDescent="0.25">
      <c r="A1951" s="105"/>
      <c r="B1951" s="114"/>
      <c r="C1951" s="109"/>
      <c r="D1951" s="115"/>
    </row>
    <row r="1952" spans="1:22" ht="20.25" customHeight="1" x14ac:dyDescent="0.25">
      <c r="A1952" s="105"/>
      <c r="B1952" s="114"/>
      <c r="C1952" s="109"/>
      <c r="D1952" s="115"/>
    </row>
    <row r="1953" spans="1:22" ht="20.25" customHeight="1" x14ac:dyDescent="0.25">
      <c r="A1953" s="105"/>
      <c r="B1953" s="114"/>
      <c r="C1953" s="109"/>
      <c r="D1953" s="115"/>
    </row>
    <row r="1954" spans="1:22" ht="20.25" customHeight="1" x14ac:dyDescent="0.25">
      <c r="A1954" s="105"/>
      <c r="B1954" s="114"/>
      <c r="C1954" s="109"/>
      <c r="D1954" s="115"/>
    </row>
    <row r="1955" spans="1:22" ht="20.25" customHeight="1" thickBot="1" x14ac:dyDescent="0.3">
      <c r="A1955" s="73"/>
      <c r="B1955" s="116"/>
      <c r="C1955" s="117"/>
      <c r="D1955" s="118"/>
    </row>
    <row r="1956" spans="1:22" ht="20.25" customHeight="1" thickBot="1" x14ac:dyDescent="0.3">
      <c r="A1956" s="98"/>
      <c r="B1956" s="100"/>
      <c r="C1956" s="100"/>
      <c r="D1956" s="76"/>
    </row>
    <row r="1957" spans="1:22" ht="20.25" customHeight="1" x14ac:dyDescent="0.25">
      <c r="A1957" s="91"/>
      <c r="B1957" s="92"/>
      <c r="C1957" s="92"/>
      <c r="D1957" s="104"/>
    </row>
    <row r="1958" spans="1:22" ht="20.25" customHeight="1" thickBot="1" x14ac:dyDescent="0.3">
      <c r="A1958" s="73"/>
      <c r="B1958" s="74"/>
      <c r="C1958" s="74"/>
      <c r="D1958" s="75"/>
    </row>
    <row r="1959" spans="1:22" ht="20.25" customHeight="1" thickBot="1" x14ac:dyDescent="0.3">
      <c r="A1959" s="98"/>
      <c r="B1959" s="76"/>
      <c r="C1959" s="98"/>
      <c r="D1959" s="76"/>
    </row>
    <row r="1960" spans="1:22" ht="20.25" customHeight="1" thickBot="1" x14ac:dyDescent="0.3">
      <c r="A1960" s="110"/>
      <c r="B1960" s="98"/>
      <c r="C1960" s="76"/>
      <c r="D1960" s="110"/>
    </row>
    <row r="1961" spans="1:22" ht="20.25" customHeight="1" thickBot="1" x14ac:dyDescent="0.3">
      <c r="A1961" s="110"/>
      <c r="B1961" s="106"/>
      <c r="C1961" s="74"/>
      <c r="D1961" s="107"/>
      <c r="T1961" s="95"/>
      <c r="V1961" s="95"/>
    </row>
    <row r="1962" spans="1:22" ht="20.25" customHeight="1" thickBot="1" x14ac:dyDescent="0.3">
      <c r="A1962" s="98"/>
      <c r="B1962" s="76"/>
      <c r="C1962" s="98"/>
      <c r="D1962" s="76"/>
    </row>
    <row r="1963" spans="1:22" ht="20.25" customHeight="1" thickBot="1" x14ac:dyDescent="0.3">
      <c r="A1963" s="98"/>
      <c r="B1963" s="76"/>
      <c r="C1963" s="98"/>
      <c r="D1963" s="76"/>
      <c r="U1963" s="95"/>
      <c r="V1963" s="95"/>
    </row>
    <row r="1964" spans="1:22" ht="20.25" customHeight="1" thickBot="1" x14ac:dyDescent="0.3">
      <c r="A1964" s="98"/>
      <c r="B1964" s="76"/>
      <c r="C1964" s="98"/>
      <c r="D1964" s="76"/>
    </row>
    <row r="1965" spans="1:22" ht="20.25" customHeight="1" thickBot="1" x14ac:dyDescent="0.3">
      <c r="A1965" s="105"/>
      <c r="B1965" s="64"/>
      <c r="C1965" s="64"/>
      <c r="D1965" s="72"/>
    </row>
    <row r="1966" spans="1:22" ht="20.25" customHeight="1" thickBot="1" x14ac:dyDescent="0.3">
      <c r="A1966" s="108"/>
      <c r="B1966" s="108"/>
      <c r="C1966" s="108"/>
      <c r="D1966" s="108"/>
    </row>
    <row r="1967" spans="1:22" ht="20.25" customHeight="1" x14ac:dyDescent="0.25">
      <c r="A1967" s="105"/>
      <c r="B1967" s="111"/>
      <c r="C1967" s="112"/>
      <c r="D1967" s="113"/>
    </row>
    <row r="1968" spans="1:22" ht="20.25" customHeight="1" x14ac:dyDescent="0.25">
      <c r="A1968" s="105"/>
      <c r="B1968" s="114"/>
      <c r="C1968" s="109"/>
      <c r="D1968" s="115"/>
    </row>
    <row r="1969" spans="1:22" ht="20.25" customHeight="1" x14ac:dyDescent="0.25">
      <c r="A1969" s="105"/>
      <c r="B1969" s="114"/>
      <c r="C1969" s="109"/>
      <c r="D1969" s="115"/>
    </row>
    <row r="1970" spans="1:22" ht="20.25" customHeight="1" x14ac:dyDescent="0.25">
      <c r="A1970" s="105"/>
      <c r="B1970" s="114"/>
      <c r="C1970" s="109"/>
      <c r="D1970" s="115"/>
    </row>
    <row r="1971" spans="1:22" ht="20.25" customHeight="1" x14ac:dyDescent="0.25">
      <c r="A1971" s="105"/>
      <c r="B1971" s="114"/>
      <c r="C1971" s="109"/>
      <c r="D1971" s="115"/>
    </row>
    <row r="1972" spans="1:22" ht="20.25" customHeight="1" x14ac:dyDescent="0.25">
      <c r="A1972" s="105"/>
      <c r="B1972" s="114"/>
      <c r="C1972" s="109"/>
      <c r="D1972" s="115"/>
    </row>
    <row r="1973" spans="1:22" ht="20.25" customHeight="1" x14ac:dyDescent="0.25">
      <c r="A1973" s="105"/>
      <c r="B1973" s="114"/>
      <c r="C1973" s="109"/>
      <c r="D1973" s="115"/>
    </row>
    <row r="1974" spans="1:22" ht="20.25" customHeight="1" x14ac:dyDescent="0.25">
      <c r="A1974" s="105"/>
      <c r="B1974" s="114"/>
      <c r="C1974" s="109"/>
      <c r="D1974" s="115"/>
    </row>
    <row r="1975" spans="1:22" ht="20.25" customHeight="1" thickBot="1" x14ac:dyDescent="0.3">
      <c r="A1975" s="73"/>
      <c r="B1975" s="116"/>
      <c r="C1975" s="117"/>
      <c r="D1975" s="118"/>
    </row>
    <row r="1976" spans="1:22" ht="20.25" customHeight="1" thickBot="1" x14ac:dyDescent="0.3">
      <c r="A1976" s="98"/>
      <c r="B1976" s="100"/>
      <c r="C1976" s="100"/>
      <c r="D1976" s="76"/>
    </row>
    <row r="1977" spans="1:22" ht="20.25" customHeight="1" x14ac:dyDescent="0.25">
      <c r="A1977" s="91"/>
      <c r="B1977" s="92"/>
      <c r="C1977" s="92"/>
      <c r="D1977" s="104"/>
    </row>
    <row r="1978" spans="1:22" ht="20.25" customHeight="1" thickBot="1" x14ac:dyDescent="0.3">
      <c r="A1978" s="73"/>
      <c r="B1978" s="74"/>
      <c r="C1978" s="74"/>
      <c r="D1978" s="75"/>
    </row>
    <row r="1979" spans="1:22" ht="20.25" customHeight="1" thickBot="1" x14ac:dyDescent="0.3">
      <c r="A1979" s="98"/>
      <c r="B1979" s="76"/>
      <c r="C1979" s="98"/>
      <c r="D1979" s="76"/>
    </row>
    <row r="1980" spans="1:22" ht="20.25" customHeight="1" thickBot="1" x14ac:dyDescent="0.3">
      <c r="A1980" s="110"/>
      <c r="B1980" s="98"/>
      <c r="C1980" s="76"/>
      <c r="D1980" s="110"/>
    </row>
    <row r="1981" spans="1:22" ht="20.25" customHeight="1" thickBot="1" x14ac:dyDescent="0.3">
      <c r="A1981" s="110"/>
      <c r="B1981" s="106"/>
      <c r="C1981" s="74"/>
      <c r="D1981" s="107"/>
      <c r="T1981" s="95"/>
      <c r="V1981" s="95"/>
    </row>
    <row r="1982" spans="1:22" ht="20.25" customHeight="1" thickBot="1" x14ac:dyDescent="0.3">
      <c r="A1982" s="98"/>
      <c r="B1982" s="76"/>
      <c r="C1982" s="98"/>
      <c r="D1982" s="76"/>
    </row>
    <row r="1983" spans="1:22" ht="20.25" customHeight="1" thickBot="1" x14ac:dyDescent="0.3">
      <c r="A1983" s="98"/>
      <c r="B1983" s="76"/>
      <c r="C1983" s="98"/>
      <c r="D1983" s="76"/>
      <c r="U1983" s="95"/>
      <c r="V1983" s="95"/>
    </row>
    <row r="1984" spans="1:22" ht="20.25" customHeight="1" thickBot="1" x14ac:dyDescent="0.3">
      <c r="A1984" s="98"/>
      <c r="B1984" s="76"/>
      <c r="C1984" s="98"/>
      <c r="D1984" s="76"/>
    </row>
    <row r="1985" spans="1:4" ht="20.25" customHeight="1" thickBot="1" x14ac:dyDescent="0.3">
      <c r="A1985" s="105"/>
      <c r="B1985" s="64"/>
      <c r="C1985" s="64"/>
      <c r="D1985" s="72"/>
    </row>
    <row r="1986" spans="1:4" ht="20.25" customHeight="1" thickBot="1" x14ac:dyDescent="0.3">
      <c r="A1986" s="108"/>
      <c r="B1986" s="108"/>
      <c r="C1986" s="108"/>
      <c r="D1986" s="108"/>
    </row>
    <row r="1987" spans="1:4" ht="20.25" customHeight="1" x14ac:dyDescent="0.25">
      <c r="A1987" s="105"/>
      <c r="B1987" s="111"/>
      <c r="C1987" s="112"/>
      <c r="D1987" s="113"/>
    </row>
    <row r="1988" spans="1:4" ht="20.25" customHeight="1" x14ac:dyDescent="0.25">
      <c r="A1988" s="105"/>
      <c r="B1988" s="114"/>
      <c r="C1988" s="109"/>
      <c r="D1988" s="115"/>
    </row>
    <row r="1989" spans="1:4" ht="20.25" customHeight="1" x14ac:dyDescent="0.25">
      <c r="A1989" s="105"/>
      <c r="B1989" s="114"/>
      <c r="C1989" s="109"/>
      <c r="D1989" s="115"/>
    </row>
    <row r="1990" spans="1:4" ht="20.25" customHeight="1" x14ac:dyDescent="0.25">
      <c r="A1990" s="105"/>
      <c r="B1990" s="114"/>
      <c r="C1990" s="109"/>
      <c r="D1990" s="115"/>
    </row>
    <row r="1991" spans="1:4" ht="20.25" customHeight="1" x14ac:dyDescent="0.25">
      <c r="A1991" s="105"/>
      <c r="B1991" s="114"/>
      <c r="C1991" s="109"/>
      <c r="D1991" s="115"/>
    </row>
    <row r="1992" spans="1:4" ht="20.25" customHeight="1" x14ac:dyDescent="0.25">
      <c r="A1992" s="105"/>
      <c r="B1992" s="114"/>
      <c r="C1992" s="109"/>
      <c r="D1992" s="115"/>
    </row>
    <row r="1993" spans="1:4" ht="20.25" customHeight="1" x14ac:dyDescent="0.25">
      <c r="A1993" s="105"/>
      <c r="B1993" s="114"/>
      <c r="C1993" s="109"/>
      <c r="D1993" s="115"/>
    </row>
    <row r="1994" spans="1:4" ht="20.25" customHeight="1" x14ac:dyDescent="0.25">
      <c r="A1994" s="105"/>
      <c r="B1994" s="114"/>
      <c r="C1994" s="109"/>
      <c r="D1994" s="115"/>
    </row>
    <row r="1995" spans="1:4" ht="20.25" customHeight="1" thickBot="1" x14ac:dyDescent="0.3">
      <c r="A1995" s="73"/>
      <c r="B1995" s="116"/>
      <c r="C1995" s="117"/>
      <c r="D1995" s="118"/>
    </row>
    <row r="1996" spans="1:4" ht="20.25" customHeight="1" thickBot="1" x14ac:dyDescent="0.3">
      <c r="A1996" s="98"/>
      <c r="B1996" s="100"/>
      <c r="C1996" s="100"/>
      <c r="D1996" s="76"/>
    </row>
    <row r="1997" spans="1:4" ht="20.25" customHeight="1" x14ac:dyDescent="0.25">
      <c r="A1997" s="91"/>
      <c r="B1997" s="92"/>
      <c r="C1997" s="92"/>
      <c r="D1997" s="104"/>
    </row>
    <row r="1998" spans="1:4" ht="20.25" customHeight="1" thickBot="1" x14ac:dyDescent="0.3">
      <c r="A1998" s="73"/>
      <c r="B1998" s="74"/>
      <c r="C1998" s="74"/>
      <c r="D1998" s="75"/>
    </row>
    <row r="1999" spans="1:4" ht="20.25" customHeight="1" thickBot="1" x14ac:dyDescent="0.3">
      <c r="A1999" s="98"/>
      <c r="B1999" s="76"/>
      <c r="C1999" s="98"/>
      <c r="D1999" s="76"/>
    </row>
    <row r="2000" spans="1:4" ht="20.25" customHeight="1" thickBot="1" x14ac:dyDescent="0.3">
      <c r="A2000" s="110"/>
      <c r="B2000" s="98"/>
      <c r="C2000" s="76"/>
      <c r="D2000" s="110"/>
    </row>
    <row r="2001" spans="1:22" ht="20.25" customHeight="1" thickBot="1" x14ac:dyDescent="0.3">
      <c r="A2001" s="110"/>
      <c r="B2001" s="106"/>
      <c r="C2001" s="74"/>
      <c r="D2001" s="107"/>
      <c r="T2001" s="95"/>
      <c r="V2001" s="95"/>
    </row>
    <row r="2002" spans="1:22" ht="20.25" customHeight="1" thickBot="1" x14ac:dyDescent="0.3">
      <c r="A2002" s="98"/>
      <c r="B2002" s="76"/>
      <c r="C2002" s="98"/>
      <c r="D2002" s="76"/>
    </row>
    <row r="2003" spans="1:22" ht="20.25" customHeight="1" thickBot="1" x14ac:dyDescent="0.3">
      <c r="A2003" s="98"/>
      <c r="B2003" s="76"/>
      <c r="C2003" s="98"/>
      <c r="D2003" s="76"/>
      <c r="U2003" s="95"/>
      <c r="V2003" s="95"/>
    </row>
    <row r="2004" spans="1:22" ht="20.25" customHeight="1" thickBot="1" x14ac:dyDescent="0.3">
      <c r="A2004" s="98"/>
      <c r="B2004" s="76"/>
      <c r="C2004" s="98"/>
      <c r="D2004" s="76"/>
    </row>
    <row r="2005" spans="1:22" ht="20.25" customHeight="1" thickBot="1" x14ac:dyDescent="0.3">
      <c r="A2005" s="105"/>
      <c r="B2005" s="64"/>
      <c r="C2005" s="64"/>
      <c r="D2005" s="72"/>
    </row>
    <row r="2006" spans="1:22" ht="20.25" customHeight="1" thickBot="1" x14ac:dyDescent="0.3">
      <c r="A2006" s="108"/>
      <c r="B2006" s="108"/>
      <c r="C2006" s="108"/>
      <c r="D2006" s="108"/>
    </row>
    <row r="2007" spans="1:22" ht="20.25" customHeight="1" x14ac:dyDescent="0.25">
      <c r="A2007" s="105"/>
      <c r="B2007" s="111"/>
      <c r="C2007" s="112"/>
      <c r="D2007" s="113"/>
    </row>
    <row r="2008" spans="1:22" ht="20.25" customHeight="1" x14ac:dyDescent="0.25">
      <c r="A2008" s="105"/>
      <c r="B2008" s="114"/>
      <c r="C2008" s="109"/>
      <c r="D2008" s="115"/>
    </row>
    <row r="2009" spans="1:22" ht="20.25" customHeight="1" x14ac:dyDescent="0.25">
      <c r="A2009" s="105"/>
      <c r="B2009" s="114"/>
      <c r="C2009" s="109"/>
      <c r="D2009" s="115"/>
    </row>
    <row r="2010" spans="1:22" ht="20.25" customHeight="1" x14ac:dyDescent="0.25">
      <c r="A2010" s="105"/>
      <c r="B2010" s="114"/>
      <c r="C2010" s="109"/>
      <c r="D2010" s="115"/>
    </row>
    <row r="2011" spans="1:22" ht="20.25" customHeight="1" x14ac:dyDescent="0.25">
      <c r="A2011" s="105"/>
      <c r="B2011" s="114"/>
      <c r="C2011" s="109"/>
      <c r="D2011" s="115"/>
    </row>
    <row r="2012" spans="1:22" ht="20.25" customHeight="1" x14ac:dyDescent="0.25">
      <c r="A2012" s="105"/>
      <c r="B2012" s="114"/>
      <c r="C2012" s="109"/>
      <c r="D2012" s="115"/>
    </row>
    <row r="2013" spans="1:22" ht="20.25" customHeight="1" x14ac:dyDescent="0.25">
      <c r="A2013" s="105"/>
      <c r="B2013" s="114"/>
      <c r="C2013" s="109"/>
      <c r="D2013" s="115"/>
    </row>
    <row r="2014" spans="1:22" ht="20.25" customHeight="1" x14ac:dyDescent="0.25">
      <c r="A2014" s="105"/>
      <c r="B2014" s="114"/>
      <c r="C2014" s="109"/>
      <c r="D2014" s="115"/>
    </row>
    <row r="2015" spans="1:22" ht="20.25" customHeight="1" thickBot="1" x14ac:dyDescent="0.3">
      <c r="A2015" s="73"/>
      <c r="B2015" s="116"/>
      <c r="C2015" s="117"/>
      <c r="D2015" s="118"/>
    </row>
    <row r="2016" spans="1:22" ht="20.25" customHeight="1" thickBot="1" x14ac:dyDescent="0.3">
      <c r="A2016" s="98"/>
      <c r="B2016" s="100"/>
      <c r="C2016" s="100"/>
      <c r="D2016" s="76"/>
    </row>
    <row r="2017" spans="1:22" ht="20.25" customHeight="1" x14ac:dyDescent="0.25">
      <c r="A2017" s="91"/>
      <c r="B2017" s="92"/>
      <c r="C2017" s="92"/>
      <c r="D2017" s="104"/>
    </row>
    <row r="2018" spans="1:22" ht="20.25" customHeight="1" thickBot="1" x14ac:dyDescent="0.3">
      <c r="A2018" s="73"/>
      <c r="B2018" s="74"/>
      <c r="C2018" s="74"/>
      <c r="D2018" s="75"/>
    </row>
    <row r="2019" spans="1:22" ht="20.25" customHeight="1" thickBot="1" x14ac:dyDescent="0.3">
      <c r="A2019" s="98"/>
      <c r="B2019" s="76"/>
      <c r="C2019" s="98"/>
      <c r="D2019" s="76"/>
    </row>
    <row r="2020" spans="1:22" ht="20.25" customHeight="1" thickBot="1" x14ac:dyDescent="0.3">
      <c r="A2020" s="110"/>
      <c r="B2020" s="98"/>
      <c r="C2020" s="76"/>
      <c r="D2020" s="110"/>
    </row>
    <row r="2021" spans="1:22" ht="20.25" customHeight="1" thickBot="1" x14ac:dyDescent="0.3">
      <c r="A2021" s="110"/>
      <c r="B2021" s="106"/>
      <c r="C2021" s="74"/>
      <c r="D2021" s="107"/>
      <c r="T2021" s="95"/>
      <c r="V2021" s="95"/>
    </row>
    <row r="2022" spans="1:22" ht="20.25" customHeight="1" thickBot="1" x14ac:dyDescent="0.3">
      <c r="A2022" s="98"/>
      <c r="B2022" s="76"/>
      <c r="C2022" s="98"/>
      <c r="D2022" s="76"/>
    </row>
    <row r="2023" spans="1:22" ht="20.25" customHeight="1" thickBot="1" x14ac:dyDescent="0.3">
      <c r="A2023" s="98"/>
      <c r="B2023" s="76"/>
      <c r="C2023" s="98"/>
      <c r="D2023" s="76"/>
      <c r="U2023" s="95"/>
      <c r="V2023" s="95"/>
    </row>
    <row r="2024" spans="1:22" ht="20.25" customHeight="1" thickBot="1" x14ac:dyDescent="0.3">
      <c r="A2024" s="98"/>
      <c r="B2024" s="76"/>
      <c r="C2024" s="98"/>
      <c r="D2024" s="76"/>
    </row>
    <row r="2025" spans="1:22" ht="20.25" customHeight="1" thickBot="1" x14ac:dyDescent="0.3">
      <c r="A2025" s="105"/>
      <c r="B2025" s="64"/>
      <c r="C2025" s="64"/>
      <c r="D2025" s="72"/>
    </row>
    <row r="2026" spans="1:22" ht="20.25" customHeight="1" thickBot="1" x14ac:dyDescent="0.3">
      <c r="A2026" s="108"/>
      <c r="B2026" s="108"/>
      <c r="C2026" s="108"/>
      <c r="D2026" s="108"/>
    </row>
    <row r="2027" spans="1:22" ht="20.25" customHeight="1" x14ac:dyDescent="0.25">
      <c r="A2027" s="105"/>
      <c r="B2027" s="111"/>
      <c r="C2027" s="112"/>
      <c r="D2027" s="113"/>
    </row>
    <row r="2028" spans="1:22" ht="20.25" customHeight="1" x14ac:dyDescent="0.25">
      <c r="A2028" s="105"/>
      <c r="B2028" s="114"/>
      <c r="C2028" s="109"/>
      <c r="D2028" s="115"/>
    </row>
    <row r="2029" spans="1:22" ht="20.25" customHeight="1" x14ac:dyDescent="0.25">
      <c r="A2029" s="105"/>
      <c r="B2029" s="114"/>
      <c r="C2029" s="109"/>
      <c r="D2029" s="115"/>
    </row>
    <row r="2030" spans="1:22" ht="20.25" customHeight="1" x14ac:dyDescent="0.25">
      <c r="A2030" s="105"/>
      <c r="B2030" s="114"/>
      <c r="C2030" s="109"/>
      <c r="D2030" s="115"/>
    </row>
    <row r="2031" spans="1:22" ht="20.25" customHeight="1" x14ac:dyDescent="0.25">
      <c r="A2031" s="105"/>
      <c r="B2031" s="114"/>
      <c r="C2031" s="109"/>
      <c r="D2031" s="115"/>
    </row>
    <row r="2032" spans="1:22" ht="20.25" customHeight="1" x14ac:dyDescent="0.25">
      <c r="A2032" s="105"/>
      <c r="B2032" s="114"/>
      <c r="C2032" s="109"/>
      <c r="D2032" s="115"/>
    </row>
    <row r="2033" spans="1:22" ht="20.25" customHeight="1" x14ac:dyDescent="0.25">
      <c r="A2033" s="105"/>
      <c r="B2033" s="114"/>
      <c r="C2033" s="109"/>
      <c r="D2033" s="115"/>
    </row>
    <row r="2034" spans="1:22" ht="20.25" customHeight="1" x14ac:dyDescent="0.25">
      <c r="A2034" s="105"/>
      <c r="B2034" s="114"/>
      <c r="C2034" s="109"/>
      <c r="D2034" s="115"/>
    </row>
    <row r="2035" spans="1:22" ht="20.25" customHeight="1" thickBot="1" x14ac:dyDescent="0.3">
      <c r="A2035" s="73"/>
      <c r="B2035" s="116"/>
      <c r="C2035" s="117"/>
      <c r="D2035" s="118"/>
    </row>
    <row r="2036" spans="1:22" ht="20.25" customHeight="1" thickBot="1" x14ac:dyDescent="0.3">
      <c r="A2036" s="98"/>
      <c r="B2036" s="100"/>
      <c r="C2036" s="100"/>
      <c r="D2036" s="76"/>
    </row>
    <row r="2037" spans="1:22" ht="20.25" customHeight="1" x14ac:dyDescent="0.25">
      <c r="A2037" s="91"/>
      <c r="B2037" s="92"/>
      <c r="C2037" s="92"/>
      <c r="D2037" s="104"/>
    </row>
    <row r="2038" spans="1:22" ht="20.25" customHeight="1" thickBot="1" x14ac:dyDescent="0.3">
      <c r="A2038" s="73"/>
      <c r="B2038" s="74"/>
      <c r="C2038" s="74"/>
      <c r="D2038" s="75"/>
    </row>
    <row r="2039" spans="1:22" ht="20.25" customHeight="1" thickBot="1" x14ac:dyDescent="0.3">
      <c r="A2039" s="98"/>
      <c r="B2039" s="76"/>
      <c r="C2039" s="98"/>
      <c r="D2039" s="76"/>
    </row>
    <row r="2040" spans="1:22" ht="20.25" customHeight="1" thickBot="1" x14ac:dyDescent="0.3">
      <c r="A2040" s="110"/>
      <c r="B2040" s="98"/>
      <c r="C2040" s="76"/>
      <c r="D2040" s="110"/>
    </row>
    <row r="2041" spans="1:22" ht="20.25" customHeight="1" thickBot="1" x14ac:dyDescent="0.3">
      <c r="A2041" s="110"/>
      <c r="B2041" s="106"/>
      <c r="C2041" s="74"/>
      <c r="D2041" s="107"/>
      <c r="T2041" s="95"/>
      <c r="V2041" s="95"/>
    </row>
    <row r="2042" spans="1:22" ht="20.25" customHeight="1" thickBot="1" x14ac:dyDescent="0.3">
      <c r="A2042" s="98"/>
      <c r="B2042" s="76"/>
      <c r="C2042" s="98"/>
      <c r="D2042" s="76"/>
    </row>
    <row r="2043" spans="1:22" ht="20.25" customHeight="1" thickBot="1" x14ac:dyDescent="0.3">
      <c r="A2043" s="98"/>
      <c r="B2043" s="76"/>
      <c r="C2043" s="98"/>
      <c r="D2043" s="76"/>
      <c r="U2043" s="95"/>
      <c r="V2043" s="95"/>
    </row>
    <row r="2044" spans="1:22" ht="20.25" customHeight="1" thickBot="1" x14ac:dyDescent="0.3">
      <c r="A2044" s="98"/>
      <c r="B2044" s="76"/>
      <c r="C2044" s="98"/>
      <c r="D2044" s="76"/>
    </row>
    <row r="2045" spans="1:22" ht="20.25" customHeight="1" thickBot="1" x14ac:dyDescent="0.3">
      <c r="A2045" s="105"/>
      <c r="B2045" s="64"/>
      <c r="C2045" s="64"/>
      <c r="D2045" s="72"/>
    </row>
    <row r="2046" spans="1:22" ht="20.25" customHeight="1" thickBot="1" x14ac:dyDescent="0.3">
      <c r="A2046" s="108"/>
      <c r="B2046" s="108"/>
      <c r="C2046" s="108"/>
      <c r="D2046" s="108"/>
    </row>
    <row r="2047" spans="1:22" ht="20.25" customHeight="1" x14ac:dyDescent="0.25">
      <c r="A2047" s="105"/>
      <c r="B2047" s="111"/>
      <c r="C2047" s="112"/>
      <c r="D2047" s="113"/>
    </row>
    <row r="2048" spans="1:22" ht="20.25" customHeight="1" x14ac:dyDescent="0.25">
      <c r="A2048" s="105"/>
      <c r="B2048" s="114"/>
      <c r="C2048" s="109"/>
      <c r="D2048" s="115"/>
    </row>
    <row r="2049" spans="1:22" ht="20.25" customHeight="1" x14ac:dyDescent="0.25">
      <c r="A2049" s="105"/>
      <c r="B2049" s="114"/>
      <c r="C2049" s="109"/>
      <c r="D2049" s="115"/>
    </row>
    <row r="2050" spans="1:22" ht="20.25" customHeight="1" x14ac:dyDescent="0.25">
      <c r="A2050" s="105"/>
      <c r="B2050" s="114"/>
      <c r="C2050" s="109"/>
      <c r="D2050" s="115"/>
    </row>
    <row r="2051" spans="1:22" ht="20.25" customHeight="1" x14ac:dyDescent="0.25">
      <c r="A2051" s="105"/>
      <c r="B2051" s="114"/>
      <c r="C2051" s="109"/>
      <c r="D2051" s="115"/>
    </row>
    <row r="2052" spans="1:22" ht="20.25" customHeight="1" x14ac:dyDescent="0.25">
      <c r="A2052" s="105"/>
      <c r="B2052" s="114"/>
      <c r="C2052" s="109"/>
      <c r="D2052" s="115"/>
    </row>
    <row r="2053" spans="1:22" ht="20.25" customHeight="1" x14ac:dyDescent="0.25">
      <c r="A2053" s="105"/>
      <c r="B2053" s="114"/>
      <c r="C2053" s="109"/>
      <c r="D2053" s="115"/>
    </row>
    <row r="2054" spans="1:22" ht="20.25" customHeight="1" x14ac:dyDescent="0.25">
      <c r="A2054" s="105"/>
      <c r="B2054" s="114"/>
      <c r="C2054" s="109"/>
      <c r="D2054" s="115"/>
    </row>
    <row r="2055" spans="1:22" ht="20.25" customHeight="1" thickBot="1" x14ac:dyDescent="0.3">
      <c r="A2055" s="73"/>
      <c r="B2055" s="116"/>
      <c r="C2055" s="117"/>
      <c r="D2055" s="118"/>
    </row>
    <row r="2056" spans="1:22" ht="20.25" customHeight="1" thickBot="1" x14ac:dyDescent="0.3">
      <c r="A2056" s="98"/>
      <c r="B2056" s="100"/>
      <c r="C2056" s="100"/>
      <c r="D2056" s="76"/>
    </row>
    <row r="2057" spans="1:22" ht="20.25" customHeight="1" x14ac:dyDescent="0.25">
      <c r="A2057" s="91"/>
      <c r="B2057" s="92"/>
      <c r="C2057" s="92"/>
      <c r="D2057" s="104"/>
    </row>
    <row r="2058" spans="1:22" ht="20.25" customHeight="1" thickBot="1" x14ac:dyDescent="0.3">
      <c r="A2058" s="73"/>
      <c r="B2058" s="74"/>
      <c r="C2058" s="74"/>
      <c r="D2058" s="75"/>
    </row>
    <row r="2059" spans="1:22" ht="20.25" customHeight="1" thickBot="1" x14ac:dyDescent="0.3">
      <c r="A2059" s="98"/>
      <c r="B2059" s="76"/>
      <c r="C2059" s="98"/>
      <c r="D2059" s="76"/>
    </row>
    <row r="2060" spans="1:22" ht="20.25" customHeight="1" thickBot="1" x14ac:dyDescent="0.3">
      <c r="A2060" s="110"/>
      <c r="B2060" s="98"/>
      <c r="C2060" s="76"/>
      <c r="D2060" s="110"/>
    </row>
    <row r="2061" spans="1:22" ht="20.25" customHeight="1" thickBot="1" x14ac:dyDescent="0.3">
      <c r="A2061" s="110"/>
      <c r="B2061" s="106"/>
      <c r="C2061" s="74"/>
      <c r="D2061" s="107"/>
      <c r="T2061" s="95"/>
      <c r="V2061" s="95"/>
    </row>
    <row r="2062" spans="1:22" ht="20.25" customHeight="1" thickBot="1" x14ac:dyDescent="0.3">
      <c r="A2062" s="98"/>
      <c r="B2062" s="76"/>
      <c r="C2062" s="98"/>
      <c r="D2062" s="76"/>
    </row>
    <row r="2063" spans="1:22" ht="20.25" customHeight="1" thickBot="1" x14ac:dyDescent="0.3">
      <c r="A2063" s="98"/>
      <c r="B2063" s="76"/>
      <c r="C2063" s="98"/>
      <c r="D2063" s="76"/>
      <c r="U2063" s="95"/>
      <c r="V2063" s="95"/>
    </row>
    <row r="2064" spans="1:22" ht="20.25" customHeight="1" thickBot="1" x14ac:dyDescent="0.3">
      <c r="A2064" s="98"/>
      <c r="B2064" s="76"/>
      <c r="C2064" s="98"/>
      <c r="D2064" s="76"/>
    </row>
    <row r="2065" spans="1:4" ht="20.25" customHeight="1" thickBot="1" x14ac:dyDescent="0.3">
      <c r="A2065" s="105"/>
      <c r="B2065" s="64"/>
      <c r="C2065" s="64"/>
      <c r="D2065" s="72"/>
    </row>
    <row r="2066" spans="1:4" ht="20.25" customHeight="1" thickBot="1" x14ac:dyDescent="0.3">
      <c r="A2066" s="108"/>
      <c r="B2066" s="108"/>
      <c r="C2066" s="108"/>
      <c r="D2066" s="108"/>
    </row>
    <row r="2067" spans="1:4" ht="20.25" customHeight="1" x14ac:dyDescent="0.25">
      <c r="A2067" s="105"/>
      <c r="B2067" s="111"/>
      <c r="C2067" s="112"/>
      <c r="D2067" s="113"/>
    </row>
    <row r="2068" spans="1:4" ht="20.25" customHeight="1" x14ac:dyDescent="0.25">
      <c r="A2068" s="105"/>
      <c r="B2068" s="114"/>
      <c r="C2068" s="109"/>
      <c r="D2068" s="115"/>
    </row>
    <row r="2069" spans="1:4" ht="20.25" customHeight="1" x14ac:dyDescent="0.25">
      <c r="A2069" s="105"/>
      <c r="B2069" s="114"/>
      <c r="C2069" s="109"/>
      <c r="D2069" s="115"/>
    </row>
    <row r="2070" spans="1:4" ht="20.25" customHeight="1" x14ac:dyDescent="0.25">
      <c r="A2070" s="105"/>
      <c r="B2070" s="114"/>
      <c r="C2070" s="109"/>
      <c r="D2070" s="115"/>
    </row>
    <row r="2071" spans="1:4" ht="20.25" customHeight="1" x14ac:dyDescent="0.25">
      <c r="A2071" s="105"/>
      <c r="B2071" s="114"/>
      <c r="C2071" s="109"/>
      <c r="D2071" s="115"/>
    </row>
    <row r="2072" spans="1:4" ht="20.25" customHeight="1" x14ac:dyDescent="0.25">
      <c r="A2072" s="105"/>
      <c r="B2072" s="114"/>
      <c r="C2072" s="109"/>
      <c r="D2072" s="115"/>
    </row>
    <row r="2073" spans="1:4" ht="20.25" customHeight="1" x14ac:dyDescent="0.25">
      <c r="A2073" s="105"/>
      <c r="B2073" s="114"/>
      <c r="C2073" s="109"/>
      <c r="D2073" s="115"/>
    </row>
    <row r="2074" spans="1:4" ht="20.25" customHeight="1" x14ac:dyDescent="0.25">
      <c r="A2074" s="105"/>
      <c r="B2074" s="114"/>
      <c r="C2074" s="109"/>
      <c r="D2074" s="115"/>
    </row>
    <row r="2075" spans="1:4" ht="20.25" customHeight="1" thickBot="1" x14ac:dyDescent="0.3">
      <c r="A2075" s="73"/>
      <c r="B2075" s="116"/>
      <c r="C2075" s="117"/>
      <c r="D2075" s="118"/>
    </row>
    <row r="2076" spans="1:4" ht="20.25" customHeight="1" thickBot="1" x14ac:dyDescent="0.3">
      <c r="A2076" s="98"/>
      <c r="B2076" s="100"/>
      <c r="C2076" s="100"/>
      <c r="D2076" s="76"/>
    </row>
    <row r="2077" spans="1:4" ht="20.25" customHeight="1" x14ac:dyDescent="0.25">
      <c r="A2077" s="91"/>
      <c r="B2077" s="92"/>
      <c r="C2077" s="92"/>
      <c r="D2077" s="104"/>
    </row>
    <row r="2078" spans="1:4" ht="20.25" customHeight="1" thickBot="1" x14ac:dyDescent="0.3">
      <c r="A2078" s="73"/>
      <c r="B2078" s="74"/>
      <c r="C2078" s="74"/>
      <c r="D2078" s="75"/>
    </row>
    <row r="2079" spans="1:4" ht="20.25" customHeight="1" thickBot="1" x14ac:dyDescent="0.3">
      <c r="A2079" s="98"/>
      <c r="B2079" s="76"/>
      <c r="C2079" s="98"/>
      <c r="D2079" s="76"/>
    </row>
    <row r="2080" spans="1:4" ht="20.25" customHeight="1" thickBot="1" x14ac:dyDescent="0.3">
      <c r="A2080" s="110"/>
      <c r="B2080" s="98"/>
      <c r="C2080" s="76"/>
      <c r="D2080" s="110"/>
    </row>
    <row r="2081" spans="1:22" ht="20.25" customHeight="1" thickBot="1" x14ac:dyDescent="0.3">
      <c r="A2081" s="110"/>
      <c r="B2081" s="106"/>
      <c r="C2081" s="74"/>
      <c r="D2081" s="107"/>
      <c r="T2081" s="95"/>
      <c r="V2081" s="95"/>
    </row>
    <row r="2082" spans="1:22" ht="20.25" customHeight="1" thickBot="1" x14ac:dyDescent="0.3">
      <c r="A2082" s="98"/>
      <c r="B2082" s="76"/>
      <c r="C2082" s="98"/>
      <c r="D2082" s="76"/>
    </row>
    <row r="2083" spans="1:22" ht="20.25" customHeight="1" thickBot="1" x14ac:dyDescent="0.3">
      <c r="A2083" s="98"/>
      <c r="B2083" s="76"/>
      <c r="C2083" s="98"/>
      <c r="D2083" s="76"/>
      <c r="U2083" s="95"/>
      <c r="V2083" s="95"/>
    </row>
    <row r="2084" spans="1:22" ht="20.25" customHeight="1" thickBot="1" x14ac:dyDescent="0.3">
      <c r="A2084" s="98"/>
      <c r="B2084" s="76"/>
      <c r="C2084" s="98"/>
      <c r="D2084" s="76"/>
    </row>
    <row r="2085" spans="1:22" ht="20.25" customHeight="1" thickBot="1" x14ac:dyDescent="0.3">
      <c r="A2085" s="105"/>
      <c r="B2085" s="64"/>
      <c r="C2085" s="64"/>
      <c r="D2085" s="72"/>
    </row>
    <row r="2086" spans="1:22" ht="20.25" customHeight="1" thickBot="1" x14ac:dyDescent="0.3">
      <c r="A2086" s="108"/>
      <c r="B2086" s="108"/>
      <c r="C2086" s="108"/>
      <c r="D2086" s="108"/>
    </row>
    <row r="2087" spans="1:22" ht="20.25" customHeight="1" x14ac:dyDescent="0.25">
      <c r="A2087" s="105"/>
      <c r="B2087" s="111"/>
      <c r="C2087" s="112"/>
      <c r="D2087" s="113"/>
    </row>
    <row r="2088" spans="1:22" ht="20.25" customHeight="1" x14ac:dyDescent="0.25">
      <c r="A2088" s="105"/>
      <c r="B2088" s="114"/>
      <c r="C2088" s="109"/>
      <c r="D2088" s="115"/>
    </row>
    <row r="2089" spans="1:22" ht="20.25" customHeight="1" x14ac:dyDescent="0.25">
      <c r="A2089" s="105"/>
      <c r="B2089" s="114"/>
      <c r="C2089" s="109"/>
      <c r="D2089" s="115"/>
    </row>
    <row r="2090" spans="1:22" ht="20.25" customHeight="1" x14ac:dyDescent="0.25">
      <c r="A2090" s="105"/>
      <c r="B2090" s="114"/>
      <c r="C2090" s="109"/>
      <c r="D2090" s="115"/>
    </row>
    <row r="2091" spans="1:22" ht="20.25" customHeight="1" x14ac:dyDescent="0.25">
      <c r="A2091" s="105"/>
      <c r="B2091" s="114"/>
      <c r="C2091" s="109"/>
      <c r="D2091" s="115"/>
    </row>
    <row r="2092" spans="1:22" ht="20.25" customHeight="1" x14ac:dyDescent="0.25">
      <c r="A2092" s="105"/>
      <c r="B2092" s="114"/>
      <c r="C2092" s="109"/>
      <c r="D2092" s="115"/>
    </row>
    <row r="2093" spans="1:22" ht="20.25" customHeight="1" x14ac:dyDescent="0.25">
      <c r="A2093" s="105"/>
      <c r="B2093" s="114"/>
      <c r="C2093" s="109"/>
      <c r="D2093" s="115"/>
    </row>
    <row r="2094" spans="1:22" ht="20.25" customHeight="1" x14ac:dyDescent="0.25">
      <c r="A2094" s="105"/>
      <c r="B2094" s="114"/>
      <c r="C2094" s="109"/>
      <c r="D2094" s="115"/>
    </row>
    <row r="2095" spans="1:22" ht="20.25" customHeight="1" thickBot="1" x14ac:dyDescent="0.3">
      <c r="A2095" s="73"/>
      <c r="B2095" s="116"/>
      <c r="C2095" s="117"/>
      <c r="D2095" s="118"/>
    </row>
    <row r="2096" spans="1:22" ht="20.25" customHeight="1" thickBot="1" x14ac:dyDescent="0.3">
      <c r="A2096" s="98"/>
      <c r="B2096" s="100"/>
      <c r="C2096" s="100"/>
      <c r="D2096" s="76"/>
    </row>
    <row r="2097" spans="1:22" ht="20.25" customHeight="1" x14ac:dyDescent="0.25">
      <c r="A2097" s="91"/>
      <c r="B2097" s="92"/>
      <c r="C2097" s="92"/>
      <c r="D2097" s="104"/>
    </row>
    <row r="2098" spans="1:22" ht="20.25" customHeight="1" thickBot="1" x14ac:dyDescent="0.3">
      <c r="A2098" s="73"/>
      <c r="B2098" s="74"/>
      <c r="C2098" s="74"/>
      <c r="D2098" s="75"/>
    </row>
    <row r="2099" spans="1:22" ht="20.25" customHeight="1" thickBot="1" x14ac:dyDescent="0.3">
      <c r="A2099" s="98"/>
      <c r="B2099" s="76"/>
      <c r="C2099" s="98"/>
      <c r="D2099" s="76"/>
    </row>
    <row r="2100" spans="1:22" ht="20.25" customHeight="1" thickBot="1" x14ac:dyDescent="0.3">
      <c r="A2100" s="110"/>
      <c r="B2100" s="98"/>
      <c r="C2100" s="76"/>
      <c r="D2100" s="110"/>
    </row>
    <row r="2101" spans="1:22" ht="20.25" customHeight="1" thickBot="1" x14ac:dyDescent="0.3">
      <c r="A2101" s="110"/>
      <c r="B2101" s="106"/>
      <c r="C2101" s="74"/>
      <c r="D2101" s="107"/>
      <c r="T2101" s="95"/>
      <c r="V2101" s="95"/>
    </row>
    <row r="2102" spans="1:22" ht="20.25" customHeight="1" thickBot="1" x14ac:dyDescent="0.3">
      <c r="A2102" s="98"/>
      <c r="B2102" s="76"/>
      <c r="C2102" s="98"/>
      <c r="D2102" s="76"/>
    </row>
    <row r="2103" spans="1:22" ht="20.25" customHeight="1" thickBot="1" x14ac:dyDescent="0.3">
      <c r="A2103" s="98"/>
      <c r="B2103" s="76"/>
      <c r="C2103" s="98"/>
      <c r="D2103" s="76"/>
      <c r="U2103" s="95"/>
      <c r="V2103" s="95"/>
    </row>
    <row r="2104" spans="1:22" ht="20.25" customHeight="1" thickBot="1" x14ac:dyDescent="0.3">
      <c r="A2104" s="98"/>
      <c r="B2104" s="76"/>
      <c r="C2104" s="98"/>
      <c r="D2104" s="76"/>
    </row>
    <row r="2105" spans="1:22" ht="20.25" customHeight="1" thickBot="1" x14ac:dyDescent="0.3">
      <c r="A2105" s="105"/>
      <c r="B2105" s="64"/>
      <c r="C2105" s="64"/>
      <c r="D2105" s="72"/>
    </row>
    <row r="2106" spans="1:22" ht="20.25" customHeight="1" thickBot="1" x14ac:dyDescent="0.3">
      <c r="A2106" s="108"/>
      <c r="B2106" s="108"/>
      <c r="C2106" s="108"/>
      <c r="D2106" s="108"/>
    </row>
    <row r="2107" spans="1:22" ht="20.25" customHeight="1" x14ac:dyDescent="0.25">
      <c r="A2107" s="105"/>
      <c r="B2107" s="111"/>
      <c r="C2107" s="112"/>
      <c r="D2107" s="113"/>
    </row>
    <row r="2108" spans="1:22" ht="20.25" customHeight="1" x14ac:dyDescent="0.25">
      <c r="A2108" s="105"/>
      <c r="B2108" s="114"/>
      <c r="C2108" s="109"/>
      <c r="D2108" s="115"/>
    </row>
    <row r="2109" spans="1:22" ht="20.25" customHeight="1" x14ac:dyDescent="0.25">
      <c r="A2109" s="105"/>
      <c r="B2109" s="114"/>
      <c r="C2109" s="109"/>
      <c r="D2109" s="115"/>
    </row>
    <row r="2110" spans="1:22" ht="20.25" customHeight="1" x14ac:dyDescent="0.25">
      <c r="A2110" s="105"/>
      <c r="B2110" s="114"/>
      <c r="C2110" s="109"/>
      <c r="D2110" s="115"/>
    </row>
    <row r="2111" spans="1:22" ht="20.25" customHeight="1" x14ac:dyDescent="0.25">
      <c r="A2111" s="105"/>
      <c r="B2111" s="114"/>
      <c r="C2111" s="109"/>
      <c r="D2111" s="115"/>
    </row>
    <row r="2112" spans="1:22" ht="20.25" customHeight="1" x14ac:dyDescent="0.25">
      <c r="A2112" s="105"/>
      <c r="B2112" s="114"/>
      <c r="C2112" s="109"/>
      <c r="D2112" s="115"/>
    </row>
    <row r="2113" spans="1:22" ht="20.25" customHeight="1" x14ac:dyDescent="0.25">
      <c r="A2113" s="105"/>
      <c r="B2113" s="114"/>
      <c r="C2113" s="109"/>
      <c r="D2113" s="115"/>
    </row>
    <row r="2114" spans="1:22" ht="20.25" customHeight="1" x14ac:dyDescent="0.25">
      <c r="A2114" s="105"/>
      <c r="B2114" s="114"/>
      <c r="C2114" s="109"/>
      <c r="D2114" s="115"/>
    </row>
    <row r="2115" spans="1:22" ht="20.25" customHeight="1" thickBot="1" x14ac:dyDescent="0.3">
      <c r="A2115" s="73"/>
      <c r="B2115" s="116"/>
      <c r="C2115" s="117"/>
      <c r="D2115" s="118"/>
    </row>
    <row r="2116" spans="1:22" ht="20.25" customHeight="1" thickBot="1" x14ac:dyDescent="0.3">
      <c r="A2116" s="98"/>
      <c r="B2116" s="100"/>
      <c r="C2116" s="100"/>
      <c r="D2116" s="76"/>
    </row>
    <row r="2117" spans="1:22" ht="20.25" customHeight="1" x14ac:dyDescent="0.25">
      <c r="A2117" s="91"/>
      <c r="B2117" s="92"/>
      <c r="C2117" s="92"/>
      <c r="D2117" s="104"/>
    </row>
    <row r="2118" spans="1:22" ht="20.25" customHeight="1" thickBot="1" x14ac:dyDescent="0.3">
      <c r="A2118" s="73"/>
      <c r="B2118" s="74"/>
      <c r="C2118" s="74"/>
      <c r="D2118" s="75"/>
    </row>
    <row r="2119" spans="1:22" ht="20.25" customHeight="1" thickBot="1" x14ac:dyDescent="0.3">
      <c r="A2119" s="98"/>
      <c r="B2119" s="76"/>
      <c r="C2119" s="98"/>
      <c r="D2119" s="76"/>
    </row>
    <row r="2120" spans="1:22" ht="20.25" customHeight="1" thickBot="1" x14ac:dyDescent="0.3">
      <c r="A2120" s="110"/>
      <c r="B2120" s="98"/>
      <c r="C2120" s="76"/>
      <c r="D2120" s="110"/>
    </row>
    <row r="2121" spans="1:22" ht="20.25" customHeight="1" thickBot="1" x14ac:dyDescent="0.3">
      <c r="A2121" s="110"/>
      <c r="B2121" s="106"/>
      <c r="C2121" s="74"/>
      <c r="D2121" s="107"/>
      <c r="T2121" s="95"/>
      <c r="V2121" s="95"/>
    </row>
    <row r="2122" spans="1:22" ht="20.25" customHeight="1" thickBot="1" x14ac:dyDescent="0.3">
      <c r="A2122" s="98"/>
      <c r="B2122" s="76"/>
      <c r="C2122" s="98"/>
      <c r="D2122" s="76"/>
    </row>
    <row r="2123" spans="1:22" ht="20.25" customHeight="1" thickBot="1" x14ac:dyDescent="0.3">
      <c r="A2123" s="98"/>
      <c r="B2123" s="76"/>
      <c r="C2123" s="98"/>
      <c r="D2123" s="76"/>
      <c r="U2123" s="95"/>
      <c r="V2123" s="95"/>
    </row>
    <row r="2124" spans="1:22" ht="20.25" customHeight="1" thickBot="1" x14ac:dyDescent="0.3">
      <c r="A2124" s="98"/>
      <c r="B2124" s="76"/>
      <c r="C2124" s="98"/>
      <c r="D2124" s="76"/>
    </row>
    <row r="2125" spans="1:22" ht="20.25" customHeight="1" thickBot="1" x14ac:dyDescent="0.3">
      <c r="A2125" s="105"/>
      <c r="B2125" s="64"/>
      <c r="C2125" s="64"/>
      <c r="D2125" s="72"/>
    </row>
    <row r="2126" spans="1:22" ht="20.25" customHeight="1" thickBot="1" x14ac:dyDescent="0.3">
      <c r="A2126" s="108"/>
      <c r="B2126" s="108"/>
      <c r="C2126" s="108"/>
      <c r="D2126" s="108"/>
    </row>
    <row r="2127" spans="1:22" ht="20.25" customHeight="1" x14ac:dyDescent="0.25">
      <c r="A2127" s="105"/>
      <c r="B2127" s="111"/>
      <c r="C2127" s="112"/>
      <c r="D2127" s="113"/>
    </row>
    <row r="2128" spans="1:22" ht="20.25" customHeight="1" x14ac:dyDescent="0.25">
      <c r="A2128" s="105"/>
      <c r="B2128" s="114"/>
      <c r="C2128" s="109"/>
      <c r="D2128" s="115"/>
    </row>
    <row r="2129" spans="1:22" ht="20.25" customHeight="1" x14ac:dyDescent="0.25">
      <c r="A2129" s="105"/>
      <c r="B2129" s="114"/>
      <c r="C2129" s="109"/>
      <c r="D2129" s="115"/>
    </row>
    <row r="2130" spans="1:22" ht="20.25" customHeight="1" x14ac:dyDescent="0.25">
      <c r="A2130" s="105"/>
      <c r="B2130" s="114"/>
      <c r="C2130" s="109"/>
      <c r="D2130" s="115"/>
    </row>
    <row r="2131" spans="1:22" ht="20.25" customHeight="1" x14ac:dyDescent="0.25">
      <c r="A2131" s="105"/>
      <c r="B2131" s="114"/>
      <c r="C2131" s="109"/>
      <c r="D2131" s="115"/>
    </row>
    <row r="2132" spans="1:22" ht="20.25" customHeight="1" x14ac:dyDescent="0.25">
      <c r="A2132" s="105"/>
      <c r="B2132" s="114"/>
      <c r="C2132" s="109"/>
      <c r="D2132" s="115"/>
    </row>
    <row r="2133" spans="1:22" ht="20.25" customHeight="1" x14ac:dyDescent="0.25">
      <c r="A2133" s="105"/>
      <c r="B2133" s="114"/>
      <c r="C2133" s="109"/>
      <c r="D2133" s="115"/>
    </row>
    <row r="2134" spans="1:22" ht="20.25" customHeight="1" x14ac:dyDescent="0.25">
      <c r="A2134" s="105"/>
      <c r="B2134" s="114"/>
      <c r="C2134" s="109"/>
      <c r="D2134" s="115"/>
    </row>
    <row r="2135" spans="1:22" ht="20.25" customHeight="1" thickBot="1" x14ac:dyDescent="0.3">
      <c r="A2135" s="73"/>
      <c r="B2135" s="116"/>
      <c r="C2135" s="117"/>
      <c r="D2135" s="118"/>
    </row>
    <row r="2136" spans="1:22" ht="20.25" customHeight="1" thickBot="1" x14ac:dyDescent="0.3">
      <c r="A2136" s="98"/>
      <c r="B2136" s="100"/>
      <c r="C2136" s="100"/>
      <c r="D2136" s="76"/>
    </row>
    <row r="2137" spans="1:22" ht="20.25" customHeight="1" x14ac:dyDescent="0.25">
      <c r="A2137" s="91"/>
      <c r="B2137" s="92"/>
      <c r="C2137" s="92"/>
      <c r="D2137" s="104"/>
    </row>
    <row r="2138" spans="1:22" ht="20.25" customHeight="1" thickBot="1" x14ac:dyDescent="0.3">
      <c r="A2138" s="73"/>
      <c r="B2138" s="74"/>
      <c r="C2138" s="74"/>
      <c r="D2138" s="75"/>
    </row>
    <row r="2139" spans="1:22" ht="20.25" customHeight="1" thickBot="1" x14ac:dyDescent="0.3">
      <c r="A2139" s="98"/>
      <c r="B2139" s="76"/>
      <c r="C2139" s="98"/>
      <c r="D2139" s="76"/>
    </row>
    <row r="2140" spans="1:22" ht="20.25" customHeight="1" thickBot="1" x14ac:dyDescent="0.3">
      <c r="A2140" s="110"/>
      <c r="B2140" s="98"/>
      <c r="C2140" s="76"/>
      <c r="D2140" s="110"/>
    </row>
    <row r="2141" spans="1:22" ht="20.25" customHeight="1" thickBot="1" x14ac:dyDescent="0.3">
      <c r="A2141" s="110"/>
      <c r="B2141" s="106"/>
      <c r="C2141" s="74"/>
      <c r="D2141" s="107"/>
      <c r="T2141" s="95"/>
      <c r="V2141" s="95"/>
    </row>
    <row r="2142" spans="1:22" ht="20.25" customHeight="1" thickBot="1" x14ac:dyDescent="0.3">
      <c r="A2142" s="98"/>
      <c r="B2142" s="76"/>
      <c r="C2142" s="98"/>
      <c r="D2142" s="76"/>
    </row>
    <row r="2143" spans="1:22" ht="20.25" customHeight="1" thickBot="1" x14ac:dyDescent="0.3">
      <c r="A2143" s="98"/>
      <c r="B2143" s="76"/>
      <c r="C2143" s="98"/>
      <c r="D2143" s="76"/>
      <c r="U2143" s="95"/>
      <c r="V2143" s="95"/>
    </row>
    <row r="2144" spans="1:22" ht="20.25" customHeight="1" thickBot="1" x14ac:dyDescent="0.3">
      <c r="A2144" s="98"/>
      <c r="B2144" s="76"/>
      <c r="C2144" s="98"/>
      <c r="D2144" s="76"/>
    </row>
    <row r="2145" spans="1:4" ht="20.25" customHeight="1" thickBot="1" x14ac:dyDescent="0.3">
      <c r="A2145" s="105"/>
      <c r="B2145" s="64"/>
      <c r="C2145" s="64"/>
      <c r="D2145" s="72"/>
    </row>
    <row r="2146" spans="1:4" ht="20.25" customHeight="1" thickBot="1" x14ac:dyDescent="0.3">
      <c r="A2146" s="108"/>
      <c r="B2146" s="108"/>
      <c r="C2146" s="108"/>
      <c r="D2146" s="108"/>
    </row>
    <row r="2147" spans="1:4" ht="20.25" customHeight="1" x14ac:dyDescent="0.25">
      <c r="A2147" s="105"/>
      <c r="B2147" s="111"/>
      <c r="C2147" s="112"/>
      <c r="D2147" s="113"/>
    </row>
    <row r="2148" spans="1:4" ht="20.25" customHeight="1" x14ac:dyDescent="0.25">
      <c r="A2148" s="105"/>
      <c r="B2148" s="114"/>
      <c r="C2148" s="109"/>
      <c r="D2148" s="115"/>
    </row>
    <row r="2149" spans="1:4" ht="20.25" customHeight="1" x14ac:dyDescent="0.25">
      <c r="A2149" s="105"/>
      <c r="B2149" s="114"/>
      <c r="C2149" s="109"/>
      <c r="D2149" s="115"/>
    </row>
    <row r="2150" spans="1:4" ht="20.25" customHeight="1" x14ac:dyDescent="0.25">
      <c r="A2150" s="105"/>
      <c r="B2150" s="114"/>
      <c r="C2150" s="109"/>
      <c r="D2150" s="115"/>
    </row>
    <row r="2151" spans="1:4" ht="20.25" customHeight="1" x14ac:dyDescent="0.25">
      <c r="A2151" s="105"/>
      <c r="B2151" s="114"/>
      <c r="C2151" s="109"/>
      <c r="D2151" s="115"/>
    </row>
    <row r="2152" spans="1:4" ht="20.25" customHeight="1" x14ac:dyDescent="0.25">
      <c r="A2152" s="105"/>
      <c r="B2152" s="114"/>
      <c r="C2152" s="109"/>
      <c r="D2152" s="115"/>
    </row>
    <row r="2153" spans="1:4" ht="20.25" customHeight="1" x14ac:dyDescent="0.25">
      <c r="A2153" s="105"/>
      <c r="B2153" s="114"/>
      <c r="C2153" s="109"/>
      <c r="D2153" s="115"/>
    </row>
    <row r="2154" spans="1:4" ht="20.25" customHeight="1" x14ac:dyDescent="0.25">
      <c r="A2154" s="105"/>
      <c r="B2154" s="114"/>
      <c r="C2154" s="109"/>
      <c r="D2154" s="115"/>
    </row>
    <row r="2155" spans="1:4" ht="20.25" customHeight="1" thickBot="1" x14ac:dyDescent="0.3">
      <c r="A2155" s="73"/>
      <c r="B2155" s="116"/>
      <c r="C2155" s="117"/>
      <c r="D2155" s="118"/>
    </row>
    <row r="2156" spans="1:4" ht="20.25" customHeight="1" thickBot="1" x14ac:dyDescent="0.3">
      <c r="A2156" s="98"/>
      <c r="B2156" s="100"/>
      <c r="C2156" s="100"/>
      <c r="D2156" s="76"/>
    </row>
    <row r="2157" spans="1:4" ht="20.25" customHeight="1" x14ac:dyDescent="0.25">
      <c r="A2157" s="91"/>
      <c r="B2157" s="92"/>
      <c r="C2157" s="92"/>
      <c r="D2157" s="104"/>
    </row>
    <row r="2158" spans="1:4" ht="20.25" customHeight="1" thickBot="1" x14ac:dyDescent="0.3">
      <c r="A2158" s="73"/>
      <c r="B2158" s="74"/>
      <c r="C2158" s="74"/>
      <c r="D2158" s="75"/>
    </row>
    <row r="2159" spans="1:4" ht="20.25" customHeight="1" thickBot="1" x14ac:dyDescent="0.3">
      <c r="A2159" s="98"/>
      <c r="B2159" s="76"/>
      <c r="C2159" s="98"/>
      <c r="D2159" s="76"/>
    </row>
    <row r="2160" spans="1:4" ht="20.25" customHeight="1" thickBot="1" x14ac:dyDescent="0.3">
      <c r="A2160" s="110"/>
      <c r="B2160" s="98"/>
      <c r="C2160" s="76"/>
      <c r="D2160" s="110"/>
    </row>
    <row r="2161" spans="1:22" ht="20.25" customHeight="1" thickBot="1" x14ac:dyDescent="0.3">
      <c r="A2161" s="110"/>
      <c r="B2161" s="106"/>
      <c r="C2161" s="74"/>
      <c r="D2161" s="107"/>
      <c r="T2161" s="95"/>
      <c r="V2161" s="95"/>
    </row>
    <row r="2162" spans="1:22" ht="20.25" customHeight="1" thickBot="1" x14ac:dyDescent="0.3">
      <c r="A2162" s="98"/>
      <c r="B2162" s="76"/>
      <c r="C2162" s="98"/>
      <c r="D2162" s="76"/>
    </row>
    <row r="2163" spans="1:22" ht="20.25" customHeight="1" thickBot="1" x14ac:dyDescent="0.3">
      <c r="A2163" s="98"/>
      <c r="B2163" s="76"/>
      <c r="C2163" s="98"/>
      <c r="D2163" s="76"/>
      <c r="U2163" s="95"/>
      <c r="V2163" s="95"/>
    </row>
    <row r="2164" spans="1:22" ht="20.25" customHeight="1" thickBot="1" x14ac:dyDescent="0.3">
      <c r="A2164" s="98"/>
      <c r="B2164" s="76"/>
      <c r="C2164" s="98"/>
      <c r="D2164" s="76"/>
    </row>
    <row r="2165" spans="1:22" ht="20.25" customHeight="1" thickBot="1" x14ac:dyDescent="0.3">
      <c r="A2165" s="105"/>
      <c r="B2165" s="64"/>
      <c r="C2165" s="64"/>
      <c r="D2165" s="72"/>
    </row>
    <row r="2166" spans="1:22" ht="20.25" customHeight="1" thickBot="1" x14ac:dyDescent="0.3">
      <c r="A2166" s="108"/>
      <c r="B2166" s="108"/>
      <c r="C2166" s="108"/>
      <c r="D2166" s="108"/>
    </row>
    <row r="2167" spans="1:22" ht="20.25" customHeight="1" x14ac:dyDescent="0.25">
      <c r="A2167" s="105"/>
      <c r="B2167" s="111"/>
      <c r="C2167" s="112"/>
      <c r="D2167" s="113"/>
    </row>
    <row r="2168" spans="1:22" ht="20.25" customHeight="1" x14ac:dyDescent="0.25">
      <c r="A2168" s="105"/>
      <c r="B2168" s="114"/>
      <c r="C2168" s="109"/>
      <c r="D2168" s="115"/>
    </row>
    <row r="2169" spans="1:22" ht="20.25" customHeight="1" x14ac:dyDescent="0.25">
      <c r="A2169" s="105"/>
      <c r="B2169" s="114"/>
      <c r="C2169" s="109"/>
      <c r="D2169" s="115"/>
    </row>
    <row r="2170" spans="1:22" ht="20.25" customHeight="1" x14ac:dyDescent="0.25">
      <c r="A2170" s="105"/>
      <c r="B2170" s="114"/>
      <c r="C2170" s="109"/>
      <c r="D2170" s="115"/>
    </row>
    <row r="2171" spans="1:22" ht="20.25" customHeight="1" x14ac:dyDescent="0.25">
      <c r="A2171" s="105"/>
      <c r="B2171" s="114"/>
      <c r="C2171" s="109"/>
      <c r="D2171" s="115"/>
    </row>
    <row r="2172" spans="1:22" ht="20.25" customHeight="1" x14ac:dyDescent="0.25">
      <c r="A2172" s="105"/>
      <c r="B2172" s="114"/>
      <c r="C2172" s="109"/>
      <c r="D2172" s="115"/>
    </row>
    <row r="2173" spans="1:22" ht="20.25" customHeight="1" x14ac:dyDescent="0.25">
      <c r="A2173" s="105"/>
      <c r="B2173" s="114"/>
      <c r="C2173" s="109"/>
      <c r="D2173" s="115"/>
    </row>
    <row r="2174" spans="1:22" ht="20.25" customHeight="1" x14ac:dyDescent="0.25">
      <c r="A2174" s="105"/>
      <c r="B2174" s="114"/>
      <c r="C2174" s="109"/>
      <c r="D2174" s="115"/>
    </row>
    <row r="2175" spans="1:22" ht="20.25" customHeight="1" thickBot="1" x14ac:dyDescent="0.3">
      <c r="A2175" s="73"/>
      <c r="B2175" s="116"/>
      <c r="C2175" s="117"/>
      <c r="D2175" s="118"/>
    </row>
    <row r="2176" spans="1:22" ht="20.25" customHeight="1" thickBot="1" x14ac:dyDescent="0.3">
      <c r="A2176" s="98"/>
      <c r="B2176" s="100"/>
      <c r="C2176" s="100"/>
      <c r="D2176" s="76"/>
    </row>
    <row r="2177" spans="1:22" ht="20.25" customHeight="1" x14ac:dyDescent="0.25">
      <c r="A2177" s="91"/>
      <c r="B2177" s="92"/>
      <c r="C2177" s="92"/>
      <c r="D2177" s="104"/>
    </row>
    <row r="2178" spans="1:22" ht="20.25" customHeight="1" thickBot="1" x14ac:dyDescent="0.3">
      <c r="A2178" s="73"/>
      <c r="B2178" s="74"/>
      <c r="C2178" s="74"/>
      <c r="D2178" s="75"/>
    </row>
    <row r="2179" spans="1:22" ht="20.25" customHeight="1" thickBot="1" x14ac:dyDescent="0.3">
      <c r="A2179" s="98"/>
      <c r="B2179" s="76"/>
      <c r="C2179" s="98"/>
      <c r="D2179" s="76"/>
    </row>
    <row r="2180" spans="1:22" ht="20.25" customHeight="1" thickBot="1" x14ac:dyDescent="0.3">
      <c r="A2180" s="110"/>
      <c r="B2180" s="98"/>
      <c r="C2180" s="76"/>
      <c r="D2180" s="110"/>
    </row>
    <row r="2181" spans="1:22" ht="20.25" customHeight="1" thickBot="1" x14ac:dyDescent="0.3">
      <c r="A2181" s="110"/>
      <c r="B2181" s="106"/>
      <c r="C2181" s="74"/>
      <c r="D2181" s="107"/>
      <c r="T2181" s="95"/>
      <c r="V2181" s="95"/>
    </row>
    <row r="2182" spans="1:22" ht="20.25" customHeight="1" thickBot="1" x14ac:dyDescent="0.3">
      <c r="A2182" s="98"/>
      <c r="B2182" s="76"/>
      <c r="C2182" s="98"/>
      <c r="D2182" s="76"/>
    </row>
    <row r="2183" spans="1:22" ht="20.25" customHeight="1" thickBot="1" x14ac:dyDescent="0.3">
      <c r="A2183" s="98"/>
      <c r="B2183" s="76"/>
      <c r="C2183" s="98"/>
      <c r="D2183" s="76"/>
      <c r="U2183" s="95"/>
      <c r="V2183" s="95"/>
    </row>
    <row r="2184" spans="1:22" ht="20.25" customHeight="1" thickBot="1" x14ac:dyDescent="0.3">
      <c r="A2184" s="98"/>
      <c r="B2184" s="76"/>
      <c r="C2184" s="98"/>
      <c r="D2184" s="76"/>
    </row>
    <row r="2185" spans="1:22" ht="20.25" customHeight="1" thickBot="1" x14ac:dyDescent="0.3">
      <c r="A2185" s="105"/>
      <c r="B2185" s="64"/>
      <c r="C2185" s="64"/>
      <c r="D2185" s="72"/>
    </row>
    <row r="2186" spans="1:22" ht="20.25" customHeight="1" thickBot="1" x14ac:dyDescent="0.3">
      <c r="A2186" s="108"/>
      <c r="B2186" s="108"/>
      <c r="C2186" s="108"/>
      <c r="D2186" s="108"/>
    </row>
    <row r="2187" spans="1:22" ht="20.25" customHeight="1" x14ac:dyDescent="0.25">
      <c r="A2187" s="105"/>
      <c r="B2187" s="111"/>
      <c r="C2187" s="112"/>
      <c r="D2187" s="113"/>
    </row>
    <row r="2188" spans="1:22" ht="20.25" customHeight="1" x14ac:dyDescent="0.25">
      <c r="A2188" s="105"/>
      <c r="B2188" s="114"/>
      <c r="C2188" s="109"/>
      <c r="D2188" s="115"/>
    </row>
    <row r="2189" spans="1:22" ht="20.25" customHeight="1" x14ac:dyDescent="0.25">
      <c r="A2189" s="105"/>
      <c r="B2189" s="114"/>
      <c r="C2189" s="109"/>
      <c r="D2189" s="115"/>
    </row>
    <row r="2190" spans="1:22" ht="20.25" customHeight="1" x14ac:dyDescent="0.25">
      <c r="A2190" s="105"/>
      <c r="B2190" s="114"/>
      <c r="C2190" s="109"/>
      <c r="D2190" s="115"/>
    </row>
    <row r="2191" spans="1:22" ht="20.25" customHeight="1" x14ac:dyDescent="0.25">
      <c r="A2191" s="105"/>
      <c r="B2191" s="114"/>
      <c r="C2191" s="109"/>
      <c r="D2191" s="115"/>
    </row>
    <row r="2192" spans="1:22" ht="20.25" customHeight="1" x14ac:dyDescent="0.25">
      <c r="A2192" s="105"/>
      <c r="B2192" s="114"/>
      <c r="C2192" s="109"/>
      <c r="D2192" s="115"/>
    </row>
    <row r="2193" spans="1:22" ht="20.25" customHeight="1" x14ac:dyDescent="0.25">
      <c r="A2193" s="105"/>
      <c r="B2193" s="114"/>
      <c r="C2193" s="109"/>
      <c r="D2193" s="115"/>
    </row>
    <row r="2194" spans="1:22" ht="20.25" customHeight="1" x14ac:dyDescent="0.25">
      <c r="A2194" s="105"/>
      <c r="B2194" s="114"/>
      <c r="C2194" s="109"/>
      <c r="D2194" s="115"/>
    </row>
    <row r="2195" spans="1:22" ht="20.25" customHeight="1" thickBot="1" x14ac:dyDescent="0.3">
      <c r="A2195" s="73"/>
      <c r="B2195" s="116"/>
      <c r="C2195" s="117"/>
      <c r="D2195" s="118"/>
    </row>
    <row r="2196" spans="1:22" ht="20.25" customHeight="1" thickBot="1" x14ac:dyDescent="0.3">
      <c r="A2196" s="98"/>
      <c r="B2196" s="100"/>
      <c r="C2196" s="100"/>
      <c r="D2196" s="76"/>
    </row>
    <row r="2197" spans="1:22" ht="20.25" customHeight="1" x14ac:dyDescent="0.25">
      <c r="A2197" s="91"/>
      <c r="B2197" s="92"/>
      <c r="C2197" s="92"/>
      <c r="D2197" s="104"/>
    </row>
    <row r="2198" spans="1:22" ht="20.25" customHeight="1" thickBot="1" x14ac:dyDescent="0.3">
      <c r="A2198" s="73"/>
      <c r="B2198" s="74"/>
      <c r="C2198" s="74"/>
      <c r="D2198" s="75"/>
    </row>
    <row r="2199" spans="1:22" ht="20.25" customHeight="1" thickBot="1" x14ac:dyDescent="0.3">
      <c r="A2199" s="98"/>
      <c r="B2199" s="76"/>
      <c r="C2199" s="98"/>
      <c r="D2199" s="76"/>
    </row>
    <row r="2200" spans="1:22" ht="20.25" customHeight="1" thickBot="1" x14ac:dyDescent="0.3">
      <c r="A2200" s="110"/>
      <c r="B2200" s="98"/>
      <c r="C2200" s="76"/>
      <c r="D2200" s="110"/>
    </row>
    <row r="2201" spans="1:22" ht="20.25" customHeight="1" thickBot="1" x14ac:dyDescent="0.3">
      <c r="A2201" s="110"/>
      <c r="B2201" s="106"/>
      <c r="C2201" s="74"/>
      <c r="D2201" s="107"/>
      <c r="T2201" s="95"/>
      <c r="V2201" s="95"/>
    </row>
    <row r="2202" spans="1:22" ht="20.25" customHeight="1" thickBot="1" x14ac:dyDescent="0.3">
      <c r="A2202" s="98"/>
      <c r="B2202" s="76"/>
      <c r="C2202" s="98"/>
      <c r="D2202" s="76"/>
    </row>
    <row r="2203" spans="1:22" ht="20.25" customHeight="1" thickBot="1" x14ac:dyDescent="0.3">
      <c r="A2203" s="98"/>
      <c r="B2203" s="76"/>
      <c r="C2203" s="98"/>
      <c r="D2203" s="76"/>
      <c r="U2203" s="95"/>
      <c r="V2203" s="95"/>
    </row>
    <row r="2204" spans="1:22" ht="20.25" customHeight="1" thickBot="1" x14ac:dyDescent="0.3">
      <c r="A2204" s="98"/>
      <c r="B2204" s="76"/>
      <c r="C2204" s="98"/>
      <c r="D2204" s="76"/>
    </row>
    <row r="2205" spans="1:22" ht="20.25" customHeight="1" thickBot="1" x14ac:dyDescent="0.3">
      <c r="A2205" s="105"/>
      <c r="B2205" s="64"/>
      <c r="C2205" s="64"/>
      <c r="D2205" s="72"/>
    </row>
    <row r="2206" spans="1:22" ht="20.25" customHeight="1" thickBot="1" x14ac:dyDescent="0.3">
      <c r="A2206" s="108"/>
      <c r="B2206" s="108"/>
      <c r="C2206" s="108"/>
      <c r="D2206" s="108"/>
    </row>
    <row r="2207" spans="1:22" ht="20.25" customHeight="1" x14ac:dyDescent="0.25">
      <c r="A2207" s="105"/>
      <c r="B2207" s="111"/>
      <c r="C2207" s="112"/>
      <c r="D2207" s="113"/>
    </row>
    <row r="2208" spans="1:22" ht="20.25" customHeight="1" x14ac:dyDescent="0.25">
      <c r="A2208" s="105"/>
      <c r="B2208" s="114"/>
      <c r="C2208" s="109"/>
      <c r="D2208" s="115"/>
    </row>
    <row r="2209" spans="1:22" ht="20.25" customHeight="1" x14ac:dyDescent="0.25">
      <c r="A2209" s="105"/>
      <c r="B2209" s="114"/>
      <c r="C2209" s="109"/>
      <c r="D2209" s="115"/>
    </row>
    <row r="2210" spans="1:22" ht="20.25" customHeight="1" x14ac:dyDescent="0.25">
      <c r="A2210" s="105"/>
      <c r="B2210" s="114"/>
      <c r="C2210" s="109"/>
      <c r="D2210" s="115"/>
    </row>
    <row r="2211" spans="1:22" ht="20.25" customHeight="1" x14ac:dyDescent="0.25">
      <c r="A2211" s="105"/>
      <c r="B2211" s="114"/>
      <c r="C2211" s="109"/>
      <c r="D2211" s="115"/>
    </row>
    <row r="2212" spans="1:22" ht="20.25" customHeight="1" x14ac:dyDescent="0.25">
      <c r="A2212" s="105"/>
      <c r="B2212" s="114"/>
      <c r="C2212" s="109"/>
      <c r="D2212" s="115"/>
    </row>
    <row r="2213" spans="1:22" ht="20.25" customHeight="1" x14ac:dyDescent="0.25">
      <c r="A2213" s="105"/>
      <c r="B2213" s="114"/>
      <c r="C2213" s="109"/>
      <c r="D2213" s="115"/>
    </row>
    <row r="2214" spans="1:22" ht="20.25" customHeight="1" x14ac:dyDescent="0.25">
      <c r="A2214" s="105"/>
      <c r="B2214" s="114"/>
      <c r="C2214" s="109"/>
      <c r="D2214" s="115"/>
    </row>
    <row r="2215" spans="1:22" ht="20.25" customHeight="1" thickBot="1" x14ac:dyDescent="0.3">
      <c r="A2215" s="73"/>
      <c r="B2215" s="116"/>
      <c r="C2215" s="117"/>
      <c r="D2215" s="118"/>
    </row>
    <row r="2216" spans="1:22" ht="20.25" customHeight="1" thickBot="1" x14ac:dyDescent="0.3">
      <c r="A2216" s="98"/>
      <c r="B2216" s="100"/>
      <c r="C2216" s="100"/>
      <c r="D2216" s="76"/>
    </row>
    <row r="2217" spans="1:22" ht="20.25" customHeight="1" x14ac:dyDescent="0.25">
      <c r="A2217" s="91"/>
      <c r="B2217" s="92"/>
      <c r="C2217" s="92"/>
      <c r="D2217" s="104"/>
    </row>
    <row r="2218" spans="1:22" ht="20.25" customHeight="1" thickBot="1" x14ac:dyDescent="0.3">
      <c r="A2218" s="73"/>
      <c r="B2218" s="74"/>
      <c r="C2218" s="74"/>
      <c r="D2218" s="75"/>
    </row>
    <row r="2219" spans="1:22" ht="20.25" customHeight="1" thickBot="1" x14ac:dyDescent="0.3">
      <c r="A2219" s="98"/>
      <c r="B2219" s="76"/>
      <c r="C2219" s="98"/>
      <c r="D2219" s="76"/>
    </row>
    <row r="2220" spans="1:22" ht="20.25" customHeight="1" thickBot="1" x14ac:dyDescent="0.3">
      <c r="A2220" s="110"/>
      <c r="B2220" s="98"/>
      <c r="C2220" s="76"/>
      <c r="D2220" s="110"/>
    </row>
    <row r="2221" spans="1:22" ht="20.25" customHeight="1" thickBot="1" x14ac:dyDescent="0.3">
      <c r="A2221" s="110"/>
      <c r="B2221" s="106"/>
      <c r="C2221" s="74"/>
      <c r="D2221" s="107"/>
      <c r="T2221" s="95"/>
      <c r="V2221" s="95"/>
    </row>
    <row r="2222" spans="1:22" ht="20.25" customHeight="1" thickBot="1" x14ac:dyDescent="0.3">
      <c r="A2222" s="98"/>
      <c r="B2222" s="76"/>
      <c r="C2222" s="98"/>
      <c r="D2222" s="76"/>
    </row>
    <row r="2223" spans="1:22" ht="20.25" customHeight="1" thickBot="1" x14ac:dyDescent="0.3">
      <c r="A2223" s="98"/>
      <c r="B2223" s="76"/>
      <c r="C2223" s="98"/>
      <c r="D2223" s="76"/>
      <c r="U2223" s="95"/>
      <c r="V2223" s="95"/>
    </row>
    <row r="2224" spans="1:22" ht="20.25" customHeight="1" thickBot="1" x14ac:dyDescent="0.3">
      <c r="A2224" s="98"/>
      <c r="B2224" s="76"/>
      <c r="C2224" s="98"/>
      <c r="D2224" s="76"/>
    </row>
    <row r="2225" spans="1:4" ht="20.25" customHeight="1" thickBot="1" x14ac:dyDescent="0.3">
      <c r="A2225" s="105"/>
      <c r="B2225" s="64"/>
      <c r="C2225" s="64"/>
      <c r="D2225" s="72"/>
    </row>
    <row r="2226" spans="1:4" ht="20.25" customHeight="1" thickBot="1" x14ac:dyDescent="0.3">
      <c r="A2226" s="108"/>
      <c r="B2226" s="108"/>
      <c r="C2226" s="108"/>
      <c r="D2226" s="108"/>
    </row>
    <row r="2227" spans="1:4" ht="20.25" customHeight="1" x14ac:dyDescent="0.25">
      <c r="A2227" s="105"/>
      <c r="B2227" s="111"/>
      <c r="C2227" s="112"/>
      <c r="D2227" s="113"/>
    </row>
    <row r="2228" spans="1:4" ht="20.25" customHeight="1" x14ac:dyDescent="0.25">
      <c r="A2228" s="105"/>
      <c r="B2228" s="114"/>
      <c r="C2228" s="109"/>
      <c r="D2228" s="115"/>
    </row>
    <row r="2229" spans="1:4" ht="20.25" customHeight="1" x14ac:dyDescent="0.25">
      <c r="A2229" s="105"/>
      <c r="B2229" s="114"/>
      <c r="C2229" s="109"/>
      <c r="D2229" s="115"/>
    </row>
    <row r="2230" spans="1:4" ht="20.25" customHeight="1" x14ac:dyDescent="0.25">
      <c r="A2230" s="105"/>
      <c r="B2230" s="114"/>
      <c r="C2230" s="109"/>
      <c r="D2230" s="115"/>
    </row>
    <row r="2231" spans="1:4" ht="20.25" customHeight="1" x14ac:dyDescent="0.25">
      <c r="A2231" s="105"/>
      <c r="B2231" s="114"/>
      <c r="C2231" s="109"/>
      <c r="D2231" s="115"/>
    </row>
    <row r="2232" spans="1:4" ht="20.25" customHeight="1" x14ac:dyDescent="0.25">
      <c r="A2232" s="105"/>
      <c r="B2232" s="114"/>
      <c r="C2232" s="109"/>
      <c r="D2232" s="115"/>
    </row>
    <row r="2233" spans="1:4" ht="20.25" customHeight="1" x14ac:dyDescent="0.25">
      <c r="A2233" s="105"/>
      <c r="B2233" s="114"/>
      <c r="C2233" s="109"/>
      <c r="D2233" s="115"/>
    </row>
    <row r="2234" spans="1:4" ht="20.25" customHeight="1" x14ac:dyDescent="0.25">
      <c r="A2234" s="105"/>
      <c r="B2234" s="114"/>
      <c r="C2234" s="109"/>
      <c r="D2234" s="115"/>
    </row>
    <row r="2235" spans="1:4" ht="20.25" customHeight="1" thickBot="1" x14ac:dyDescent="0.3">
      <c r="A2235" s="73"/>
      <c r="B2235" s="116"/>
      <c r="C2235" s="117"/>
      <c r="D2235" s="118"/>
    </row>
    <row r="2236" spans="1:4" ht="20.25" customHeight="1" thickBot="1" x14ac:dyDescent="0.3">
      <c r="A2236" s="98"/>
      <c r="B2236" s="100"/>
      <c r="C2236" s="100"/>
      <c r="D2236" s="76"/>
    </row>
    <row r="2237" spans="1:4" ht="20.25" customHeight="1" x14ac:dyDescent="0.25">
      <c r="A2237" s="91"/>
      <c r="B2237" s="92"/>
      <c r="C2237" s="92"/>
      <c r="D2237" s="104"/>
    </row>
    <row r="2238" spans="1:4" ht="20.25" customHeight="1" thickBot="1" x14ac:dyDescent="0.3">
      <c r="A2238" s="73"/>
      <c r="B2238" s="74"/>
      <c r="C2238" s="74"/>
      <c r="D2238" s="75"/>
    </row>
    <row r="2239" spans="1:4" ht="20.25" customHeight="1" thickBot="1" x14ac:dyDescent="0.3">
      <c r="A2239" s="98"/>
      <c r="B2239" s="76"/>
      <c r="C2239" s="98"/>
      <c r="D2239" s="76"/>
    </row>
    <row r="2240" spans="1:4" ht="20.25" customHeight="1" thickBot="1" x14ac:dyDescent="0.3">
      <c r="A2240" s="110"/>
      <c r="B2240" s="98"/>
      <c r="C2240" s="76"/>
      <c r="D2240" s="110"/>
    </row>
    <row r="2241" spans="1:22" ht="20.25" customHeight="1" thickBot="1" x14ac:dyDescent="0.3">
      <c r="A2241" s="110"/>
      <c r="B2241" s="106"/>
      <c r="C2241" s="74"/>
      <c r="D2241" s="107"/>
      <c r="T2241" s="95"/>
      <c r="V2241" s="95"/>
    </row>
    <row r="2242" spans="1:22" ht="20.25" customHeight="1" thickBot="1" x14ac:dyDescent="0.3">
      <c r="A2242" s="98"/>
      <c r="B2242" s="76"/>
      <c r="C2242" s="98"/>
      <c r="D2242" s="76"/>
    </row>
    <row r="2243" spans="1:22" ht="20.25" customHeight="1" thickBot="1" x14ac:dyDescent="0.3">
      <c r="A2243" s="98"/>
      <c r="B2243" s="76"/>
      <c r="C2243" s="98"/>
      <c r="D2243" s="76"/>
      <c r="U2243" s="95"/>
      <c r="V2243" s="95"/>
    </row>
    <row r="2244" spans="1:22" ht="20.25" customHeight="1" thickBot="1" x14ac:dyDescent="0.3">
      <c r="A2244" s="98"/>
      <c r="B2244" s="76"/>
      <c r="C2244" s="98"/>
      <c r="D2244" s="76"/>
    </row>
    <row r="2245" spans="1:22" ht="20.25" customHeight="1" thickBot="1" x14ac:dyDescent="0.3">
      <c r="A2245" s="105"/>
      <c r="B2245" s="64"/>
      <c r="C2245" s="64"/>
      <c r="D2245" s="72"/>
    </row>
    <row r="2246" spans="1:22" ht="20.25" customHeight="1" thickBot="1" x14ac:dyDescent="0.3">
      <c r="A2246" s="108"/>
      <c r="B2246" s="108"/>
      <c r="C2246" s="108"/>
      <c r="D2246" s="108"/>
    </row>
    <row r="2247" spans="1:22" ht="20.25" customHeight="1" x14ac:dyDescent="0.25">
      <c r="A2247" s="105"/>
      <c r="B2247" s="111"/>
      <c r="C2247" s="112"/>
      <c r="D2247" s="113"/>
    </row>
    <row r="2248" spans="1:22" ht="20.25" customHeight="1" x14ac:dyDescent="0.25">
      <c r="A2248" s="105"/>
      <c r="B2248" s="114"/>
      <c r="C2248" s="109"/>
      <c r="D2248" s="115"/>
    </row>
    <row r="2249" spans="1:22" ht="20.25" customHeight="1" x14ac:dyDescent="0.25">
      <c r="A2249" s="105"/>
      <c r="B2249" s="114"/>
      <c r="C2249" s="109"/>
      <c r="D2249" s="115"/>
    </row>
    <row r="2250" spans="1:22" ht="20.25" customHeight="1" x14ac:dyDescent="0.25">
      <c r="A2250" s="105"/>
      <c r="B2250" s="114"/>
      <c r="C2250" s="109"/>
      <c r="D2250" s="115"/>
    </row>
    <row r="2251" spans="1:22" ht="20.25" customHeight="1" x14ac:dyDescent="0.25">
      <c r="A2251" s="105"/>
      <c r="B2251" s="114"/>
      <c r="C2251" s="109"/>
      <c r="D2251" s="115"/>
    </row>
    <row r="2252" spans="1:22" ht="20.25" customHeight="1" x14ac:dyDescent="0.25">
      <c r="A2252" s="105"/>
      <c r="B2252" s="114"/>
      <c r="C2252" s="109"/>
      <c r="D2252" s="115"/>
    </row>
    <row r="2253" spans="1:22" ht="20.25" customHeight="1" x14ac:dyDescent="0.25">
      <c r="A2253" s="105"/>
      <c r="B2253" s="114"/>
      <c r="C2253" s="109"/>
      <c r="D2253" s="115"/>
    </row>
    <row r="2254" spans="1:22" ht="20.25" customHeight="1" x14ac:dyDescent="0.25">
      <c r="A2254" s="105"/>
      <c r="B2254" s="114"/>
      <c r="C2254" s="109"/>
      <c r="D2254" s="115"/>
    </row>
    <row r="2255" spans="1:22" ht="20.25" customHeight="1" thickBot="1" x14ac:dyDescent="0.3">
      <c r="A2255" s="73"/>
      <c r="B2255" s="116"/>
      <c r="C2255" s="117"/>
      <c r="D2255" s="118"/>
    </row>
    <row r="2256" spans="1:22" ht="20.25" customHeight="1" thickBot="1" x14ac:dyDescent="0.3">
      <c r="A2256" s="98"/>
      <c r="B2256" s="100"/>
      <c r="C2256" s="100"/>
      <c r="D2256" s="76"/>
    </row>
    <row r="2257" spans="1:22" ht="20.25" customHeight="1" x14ac:dyDescent="0.25">
      <c r="A2257" s="91"/>
      <c r="B2257" s="92"/>
      <c r="C2257" s="92"/>
      <c r="D2257" s="104"/>
    </row>
    <row r="2258" spans="1:22" ht="20.25" customHeight="1" thickBot="1" x14ac:dyDescent="0.3">
      <c r="A2258" s="73"/>
      <c r="B2258" s="74"/>
      <c r="C2258" s="74"/>
      <c r="D2258" s="75"/>
    </row>
    <row r="2259" spans="1:22" ht="20.25" customHeight="1" thickBot="1" x14ac:dyDescent="0.3">
      <c r="A2259" s="98"/>
      <c r="B2259" s="76"/>
      <c r="C2259" s="98"/>
      <c r="D2259" s="76"/>
    </row>
    <row r="2260" spans="1:22" ht="20.25" customHeight="1" thickBot="1" x14ac:dyDescent="0.3">
      <c r="A2260" s="110"/>
      <c r="B2260" s="98"/>
      <c r="C2260" s="76"/>
      <c r="D2260" s="110"/>
    </row>
    <row r="2261" spans="1:22" ht="20.25" customHeight="1" thickBot="1" x14ac:dyDescent="0.3">
      <c r="A2261" s="110"/>
      <c r="B2261" s="106"/>
      <c r="C2261" s="74"/>
      <c r="D2261" s="107"/>
      <c r="T2261" s="95"/>
      <c r="V2261" s="95"/>
    </row>
    <row r="2262" spans="1:22" ht="20.25" customHeight="1" thickBot="1" x14ac:dyDescent="0.3">
      <c r="A2262" s="98"/>
      <c r="B2262" s="76"/>
      <c r="C2262" s="98"/>
      <c r="D2262" s="76"/>
    </row>
    <row r="2263" spans="1:22" ht="20.25" customHeight="1" thickBot="1" x14ac:dyDescent="0.3">
      <c r="A2263" s="98"/>
      <c r="B2263" s="76"/>
      <c r="C2263" s="98"/>
      <c r="D2263" s="76"/>
      <c r="U2263" s="95"/>
      <c r="V2263" s="95"/>
    </row>
    <row r="2264" spans="1:22" ht="20.25" customHeight="1" thickBot="1" x14ac:dyDescent="0.3">
      <c r="A2264" s="98"/>
      <c r="B2264" s="76"/>
      <c r="C2264" s="98"/>
      <c r="D2264" s="76"/>
    </row>
    <row r="2265" spans="1:22" ht="20.25" customHeight="1" thickBot="1" x14ac:dyDescent="0.3">
      <c r="A2265" s="105"/>
      <c r="B2265" s="64"/>
      <c r="C2265" s="64"/>
      <c r="D2265" s="72"/>
    </row>
    <row r="2266" spans="1:22" ht="20.25" customHeight="1" thickBot="1" x14ac:dyDescent="0.3">
      <c r="A2266" s="108"/>
      <c r="B2266" s="108"/>
      <c r="C2266" s="108"/>
      <c r="D2266" s="108"/>
    </row>
    <row r="2267" spans="1:22" ht="20.25" customHeight="1" x14ac:dyDescent="0.25">
      <c r="A2267" s="105"/>
      <c r="B2267" s="111"/>
      <c r="C2267" s="112"/>
      <c r="D2267" s="113"/>
    </row>
    <row r="2268" spans="1:22" ht="20.25" customHeight="1" x14ac:dyDescent="0.25">
      <c r="A2268" s="105"/>
      <c r="B2268" s="114"/>
      <c r="C2268" s="109"/>
      <c r="D2268" s="115"/>
    </row>
    <row r="2269" spans="1:22" ht="20.25" customHeight="1" x14ac:dyDescent="0.25">
      <c r="A2269" s="105"/>
      <c r="B2269" s="114"/>
      <c r="C2269" s="109"/>
      <c r="D2269" s="115"/>
    </row>
    <row r="2270" spans="1:22" ht="20.25" customHeight="1" x14ac:dyDescent="0.25">
      <c r="A2270" s="105"/>
      <c r="B2270" s="114"/>
      <c r="C2270" s="109"/>
      <c r="D2270" s="115"/>
    </row>
    <row r="2271" spans="1:22" ht="20.25" customHeight="1" x14ac:dyDescent="0.25">
      <c r="A2271" s="105"/>
      <c r="B2271" s="114"/>
      <c r="C2271" s="109"/>
      <c r="D2271" s="115"/>
    </row>
    <row r="2272" spans="1:22" ht="20.25" customHeight="1" x14ac:dyDescent="0.25">
      <c r="A2272" s="105"/>
      <c r="B2272" s="114"/>
      <c r="C2272" s="109"/>
      <c r="D2272" s="115"/>
    </row>
    <row r="2273" spans="1:22" ht="20.25" customHeight="1" x14ac:dyDescent="0.25">
      <c r="A2273" s="105"/>
      <c r="B2273" s="114"/>
      <c r="C2273" s="109"/>
      <c r="D2273" s="115"/>
    </row>
    <row r="2274" spans="1:22" ht="20.25" customHeight="1" x14ac:dyDescent="0.25">
      <c r="A2274" s="105"/>
      <c r="B2274" s="114"/>
      <c r="C2274" s="109"/>
      <c r="D2274" s="115"/>
    </row>
    <row r="2275" spans="1:22" ht="20.25" customHeight="1" thickBot="1" x14ac:dyDescent="0.3">
      <c r="A2275" s="73"/>
      <c r="B2275" s="116"/>
      <c r="C2275" s="117"/>
      <c r="D2275" s="118"/>
    </row>
    <row r="2276" spans="1:22" ht="20.25" customHeight="1" thickBot="1" x14ac:dyDescent="0.3">
      <c r="A2276" s="98"/>
      <c r="B2276" s="100"/>
      <c r="C2276" s="100"/>
      <c r="D2276" s="76"/>
    </row>
    <row r="2277" spans="1:22" ht="20.25" customHeight="1" x14ac:dyDescent="0.25">
      <c r="A2277" s="91"/>
      <c r="B2277" s="92"/>
      <c r="C2277" s="92"/>
      <c r="D2277" s="104"/>
    </row>
    <row r="2278" spans="1:22" ht="20.25" customHeight="1" thickBot="1" x14ac:dyDescent="0.3">
      <c r="A2278" s="73"/>
      <c r="B2278" s="74"/>
      <c r="C2278" s="74"/>
      <c r="D2278" s="75"/>
    </row>
    <row r="2279" spans="1:22" ht="20.25" customHeight="1" thickBot="1" x14ac:dyDescent="0.3">
      <c r="A2279" s="98"/>
      <c r="B2279" s="76"/>
      <c r="C2279" s="98"/>
      <c r="D2279" s="76"/>
    </row>
    <row r="2280" spans="1:22" ht="20.25" customHeight="1" thickBot="1" x14ac:dyDescent="0.3">
      <c r="A2280" s="110"/>
      <c r="B2280" s="98"/>
      <c r="C2280" s="76"/>
      <c r="D2280" s="110"/>
    </row>
    <row r="2281" spans="1:22" ht="20.25" customHeight="1" thickBot="1" x14ac:dyDescent="0.3">
      <c r="A2281" s="110"/>
      <c r="B2281" s="106"/>
      <c r="C2281" s="74"/>
      <c r="D2281" s="107"/>
      <c r="T2281" s="95"/>
      <c r="V2281" s="95"/>
    </row>
    <row r="2282" spans="1:22" ht="20.25" customHeight="1" thickBot="1" x14ac:dyDescent="0.3">
      <c r="A2282" s="98"/>
      <c r="B2282" s="76"/>
      <c r="C2282" s="98"/>
      <c r="D2282" s="76"/>
    </row>
    <row r="2283" spans="1:22" ht="20.25" customHeight="1" thickBot="1" x14ac:dyDescent="0.3">
      <c r="A2283" s="98"/>
      <c r="B2283" s="76"/>
      <c r="C2283" s="98"/>
      <c r="D2283" s="76"/>
      <c r="U2283" s="95"/>
      <c r="V2283" s="95"/>
    </row>
    <row r="2284" spans="1:22" ht="20.25" customHeight="1" thickBot="1" x14ac:dyDescent="0.3">
      <c r="A2284" s="98"/>
      <c r="B2284" s="76"/>
      <c r="C2284" s="98"/>
      <c r="D2284" s="76"/>
    </row>
    <row r="2285" spans="1:22" ht="20.25" customHeight="1" thickBot="1" x14ac:dyDescent="0.3">
      <c r="A2285" s="105"/>
      <c r="B2285" s="64"/>
      <c r="C2285" s="64"/>
      <c r="D2285" s="72"/>
    </row>
    <row r="2286" spans="1:22" ht="20.25" customHeight="1" thickBot="1" x14ac:dyDescent="0.3">
      <c r="A2286" s="108"/>
      <c r="B2286" s="108"/>
      <c r="C2286" s="108"/>
      <c r="D2286" s="108"/>
    </row>
    <row r="2287" spans="1:22" ht="20.25" customHeight="1" x14ac:dyDescent="0.25">
      <c r="A2287" s="105"/>
      <c r="B2287" s="111"/>
      <c r="C2287" s="112"/>
      <c r="D2287" s="113"/>
    </row>
    <row r="2288" spans="1:22" ht="20.25" customHeight="1" x14ac:dyDescent="0.25">
      <c r="A2288" s="105"/>
      <c r="B2288" s="114"/>
      <c r="C2288" s="109"/>
      <c r="D2288" s="115"/>
    </row>
    <row r="2289" spans="1:22" ht="20.25" customHeight="1" x14ac:dyDescent="0.25">
      <c r="A2289" s="105"/>
      <c r="B2289" s="114"/>
      <c r="C2289" s="109"/>
      <c r="D2289" s="115"/>
    </row>
    <row r="2290" spans="1:22" ht="20.25" customHeight="1" x14ac:dyDescent="0.25">
      <c r="A2290" s="105"/>
      <c r="B2290" s="114"/>
      <c r="C2290" s="109"/>
      <c r="D2290" s="115"/>
    </row>
    <row r="2291" spans="1:22" ht="20.25" customHeight="1" x14ac:dyDescent="0.25">
      <c r="A2291" s="105"/>
      <c r="B2291" s="114"/>
      <c r="C2291" s="109"/>
      <c r="D2291" s="115"/>
    </row>
    <row r="2292" spans="1:22" ht="20.25" customHeight="1" x14ac:dyDescent="0.25">
      <c r="A2292" s="105"/>
      <c r="B2292" s="114"/>
      <c r="C2292" s="109"/>
      <c r="D2292" s="115"/>
    </row>
    <row r="2293" spans="1:22" ht="20.25" customHeight="1" x14ac:dyDescent="0.25">
      <c r="A2293" s="105"/>
      <c r="B2293" s="114"/>
      <c r="C2293" s="109"/>
      <c r="D2293" s="115"/>
    </row>
    <row r="2294" spans="1:22" ht="20.25" customHeight="1" x14ac:dyDescent="0.25">
      <c r="A2294" s="105"/>
      <c r="B2294" s="114"/>
      <c r="C2294" s="109"/>
      <c r="D2294" s="115"/>
    </row>
    <row r="2295" spans="1:22" ht="20.25" customHeight="1" thickBot="1" x14ac:dyDescent="0.3">
      <c r="A2295" s="73"/>
      <c r="B2295" s="116"/>
      <c r="C2295" s="117"/>
      <c r="D2295" s="118"/>
    </row>
    <row r="2296" spans="1:22" ht="20.25" customHeight="1" thickBot="1" x14ac:dyDescent="0.3">
      <c r="A2296" s="98"/>
      <c r="B2296" s="100"/>
      <c r="C2296" s="100"/>
      <c r="D2296" s="76"/>
    </row>
    <row r="2297" spans="1:22" ht="20.25" customHeight="1" x14ac:dyDescent="0.25">
      <c r="A2297" s="91"/>
      <c r="B2297" s="92"/>
      <c r="C2297" s="92"/>
      <c r="D2297" s="104"/>
    </row>
    <row r="2298" spans="1:22" ht="20.25" customHeight="1" thickBot="1" x14ac:dyDescent="0.3">
      <c r="A2298" s="73"/>
      <c r="B2298" s="74"/>
      <c r="C2298" s="74"/>
      <c r="D2298" s="75"/>
    </row>
    <row r="2299" spans="1:22" ht="20.25" customHeight="1" thickBot="1" x14ac:dyDescent="0.3">
      <c r="A2299" s="98"/>
      <c r="B2299" s="76"/>
      <c r="C2299" s="98"/>
      <c r="D2299" s="76"/>
    </row>
    <row r="2300" spans="1:22" ht="20.25" customHeight="1" thickBot="1" x14ac:dyDescent="0.3">
      <c r="A2300" s="110"/>
      <c r="B2300" s="98"/>
      <c r="C2300" s="76"/>
      <c r="D2300" s="110"/>
    </row>
    <row r="2301" spans="1:22" ht="20.25" customHeight="1" thickBot="1" x14ac:dyDescent="0.3">
      <c r="A2301" s="110"/>
      <c r="B2301" s="106"/>
      <c r="C2301" s="74"/>
      <c r="D2301" s="107"/>
      <c r="T2301" s="95"/>
      <c r="V2301" s="95"/>
    </row>
    <row r="2302" spans="1:22" ht="20.25" customHeight="1" thickBot="1" x14ac:dyDescent="0.3">
      <c r="A2302" s="98"/>
      <c r="B2302" s="76"/>
      <c r="C2302" s="98"/>
      <c r="D2302" s="76"/>
    </row>
    <row r="2303" spans="1:22" ht="20.25" customHeight="1" thickBot="1" x14ac:dyDescent="0.3">
      <c r="A2303" s="98"/>
      <c r="B2303" s="76"/>
      <c r="C2303" s="98"/>
      <c r="D2303" s="76"/>
      <c r="U2303" s="95"/>
      <c r="V2303" s="95"/>
    </row>
    <row r="2304" spans="1:22" ht="20.25" customHeight="1" thickBot="1" x14ac:dyDescent="0.3">
      <c r="A2304" s="98"/>
      <c r="B2304" s="76"/>
      <c r="C2304" s="98"/>
      <c r="D2304" s="76"/>
    </row>
    <row r="2305" spans="1:4" ht="20.25" customHeight="1" thickBot="1" x14ac:dyDescent="0.3">
      <c r="A2305" s="105"/>
      <c r="B2305" s="64"/>
      <c r="C2305" s="64"/>
      <c r="D2305" s="72"/>
    </row>
    <row r="2306" spans="1:4" ht="20.25" customHeight="1" thickBot="1" x14ac:dyDescent="0.3">
      <c r="A2306" s="108"/>
      <c r="B2306" s="108"/>
      <c r="C2306" s="108"/>
      <c r="D2306" s="108"/>
    </row>
    <row r="2307" spans="1:4" ht="20.25" customHeight="1" x14ac:dyDescent="0.25">
      <c r="A2307" s="105"/>
      <c r="B2307" s="111"/>
      <c r="C2307" s="112"/>
      <c r="D2307" s="113"/>
    </row>
    <row r="2308" spans="1:4" ht="20.25" customHeight="1" x14ac:dyDescent="0.25">
      <c r="A2308" s="105"/>
      <c r="B2308" s="114"/>
      <c r="C2308" s="109"/>
      <c r="D2308" s="115"/>
    </row>
    <row r="2309" spans="1:4" ht="20.25" customHeight="1" x14ac:dyDescent="0.25">
      <c r="A2309" s="105"/>
      <c r="B2309" s="114"/>
      <c r="C2309" s="109"/>
      <c r="D2309" s="115"/>
    </row>
    <row r="2310" spans="1:4" ht="20.25" customHeight="1" x14ac:dyDescent="0.25">
      <c r="A2310" s="105"/>
      <c r="B2310" s="114"/>
      <c r="C2310" s="109"/>
      <c r="D2310" s="115"/>
    </row>
    <row r="2311" spans="1:4" ht="20.25" customHeight="1" x14ac:dyDescent="0.25">
      <c r="A2311" s="105"/>
      <c r="B2311" s="114"/>
      <c r="C2311" s="109"/>
      <c r="D2311" s="115"/>
    </row>
    <row r="2312" spans="1:4" ht="20.25" customHeight="1" x14ac:dyDescent="0.25">
      <c r="A2312" s="105"/>
      <c r="B2312" s="114"/>
      <c r="C2312" s="109"/>
      <c r="D2312" s="115"/>
    </row>
    <row r="2313" spans="1:4" ht="20.25" customHeight="1" x14ac:dyDescent="0.25">
      <c r="A2313" s="105"/>
      <c r="B2313" s="114"/>
      <c r="C2313" s="109"/>
      <c r="D2313" s="115"/>
    </row>
    <row r="2314" spans="1:4" ht="20.25" customHeight="1" x14ac:dyDescent="0.25">
      <c r="A2314" s="105"/>
      <c r="B2314" s="114"/>
      <c r="C2314" s="109"/>
      <c r="D2314" s="115"/>
    </row>
    <row r="2315" spans="1:4" ht="20.25" customHeight="1" thickBot="1" x14ac:dyDescent="0.3">
      <c r="A2315" s="73"/>
      <c r="B2315" s="116"/>
      <c r="C2315" s="117"/>
      <c r="D2315" s="118"/>
    </row>
    <row r="2316" spans="1:4" ht="20.25" customHeight="1" thickBot="1" x14ac:dyDescent="0.3">
      <c r="A2316" s="98"/>
      <c r="B2316" s="100"/>
      <c r="C2316" s="100"/>
      <c r="D2316" s="76"/>
    </row>
    <row r="2317" spans="1:4" ht="20.25" customHeight="1" x14ac:dyDescent="0.25">
      <c r="A2317" s="91"/>
      <c r="B2317" s="92"/>
      <c r="C2317" s="92"/>
      <c r="D2317" s="104"/>
    </row>
    <row r="2318" spans="1:4" ht="20.25" customHeight="1" thickBot="1" x14ac:dyDescent="0.3">
      <c r="A2318" s="73"/>
      <c r="B2318" s="74"/>
      <c r="C2318" s="74"/>
      <c r="D2318" s="75"/>
    </row>
    <row r="2319" spans="1:4" ht="20.25" customHeight="1" thickBot="1" x14ac:dyDescent="0.3">
      <c r="A2319" s="98"/>
      <c r="B2319" s="76"/>
      <c r="C2319" s="98"/>
      <c r="D2319" s="76"/>
    </row>
    <row r="2320" spans="1:4" ht="20.25" customHeight="1" thickBot="1" x14ac:dyDescent="0.3">
      <c r="A2320" s="110"/>
      <c r="B2320" s="98"/>
      <c r="C2320" s="76"/>
      <c r="D2320" s="110"/>
    </row>
    <row r="2321" spans="1:22" ht="20.25" customHeight="1" thickBot="1" x14ac:dyDescent="0.3">
      <c r="A2321" s="110"/>
      <c r="B2321" s="106"/>
      <c r="C2321" s="74"/>
      <c r="D2321" s="107"/>
      <c r="T2321" s="95"/>
      <c r="V2321" s="95"/>
    </row>
    <row r="2322" spans="1:22" ht="20.25" customHeight="1" thickBot="1" x14ac:dyDescent="0.3">
      <c r="A2322" s="98"/>
      <c r="B2322" s="76"/>
      <c r="C2322" s="98"/>
      <c r="D2322" s="76"/>
    </row>
    <row r="2323" spans="1:22" ht="20.25" customHeight="1" thickBot="1" x14ac:dyDescent="0.3">
      <c r="A2323" s="98"/>
      <c r="B2323" s="76"/>
      <c r="C2323" s="98"/>
      <c r="D2323" s="76"/>
      <c r="U2323" s="95"/>
      <c r="V2323" s="95"/>
    </row>
    <row r="2324" spans="1:22" ht="20.25" customHeight="1" thickBot="1" x14ac:dyDescent="0.3">
      <c r="A2324" s="98"/>
      <c r="B2324" s="76"/>
      <c r="C2324" s="98"/>
      <c r="D2324" s="76"/>
    </row>
    <row r="2325" spans="1:22" ht="20.25" customHeight="1" thickBot="1" x14ac:dyDescent="0.3">
      <c r="A2325" s="105"/>
      <c r="B2325" s="64"/>
      <c r="C2325" s="64"/>
      <c r="D2325" s="72"/>
    </row>
    <row r="2326" spans="1:22" ht="20.25" customHeight="1" thickBot="1" x14ac:dyDescent="0.3">
      <c r="A2326" s="108"/>
      <c r="B2326" s="108"/>
      <c r="C2326" s="108"/>
      <c r="D2326" s="108"/>
    </row>
    <row r="2327" spans="1:22" ht="20.25" customHeight="1" x14ac:dyDescent="0.25">
      <c r="A2327" s="105"/>
      <c r="B2327" s="111"/>
      <c r="C2327" s="112"/>
      <c r="D2327" s="113"/>
    </row>
    <row r="2328" spans="1:22" ht="20.25" customHeight="1" x14ac:dyDescent="0.25">
      <c r="A2328" s="105"/>
      <c r="B2328" s="114"/>
      <c r="C2328" s="109"/>
      <c r="D2328" s="115"/>
    </row>
    <row r="2329" spans="1:22" ht="20.25" customHeight="1" x14ac:dyDescent="0.25">
      <c r="A2329" s="105"/>
      <c r="B2329" s="114"/>
      <c r="C2329" s="109"/>
      <c r="D2329" s="115"/>
    </row>
    <row r="2330" spans="1:22" ht="20.25" customHeight="1" x14ac:dyDescent="0.25">
      <c r="A2330" s="105"/>
      <c r="B2330" s="114"/>
      <c r="C2330" s="109"/>
      <c r="D2330" s="115"/>
    </row>
    <row r="2331" spans="1:22" ht="20.25" customHeight="1" x14ac:dyDescent="0.25">
      <c r="A2331" s="105"/>
      <c r="B2331" s="114"/>
      <c r="C2331" s="109"/>
      <c r="D2331" s="115"/>
    </row>
    <row r="2332" spans="1:22" ht="20.25" customHeight="1" x14ac:dyDescent="0.25">
      <c r="A2332" s="105"/>
      <c r="B2332" s="114"/>
      <c r="C2332" s="109"/>
      <c r="D2332" s="115"/>
    </row>
    <row r="2333" spans="1:22" ht="20.25" customHeight="1" x14ac:dyDescent="0.25">
      <c r="A2333" s="105"/>
      <c r="B2333" s="114"/>
      <c r="C2333" s="109"/>
      <c r="D2333" s="115"/>
    </row>
    <row r="2334" spans="1:22" ht="20.25" customHeight="1" x14ac:dyDescent="0.25">
      <c r="A2334" s="105"/>
      <c r="B2334" s="114"/>
      <c r="C2334" s="109"/>
      <c r="D2334" s="115"/>
    </row>
    <row r="2335" spans="1:22" ht="20.25" customHeight="1" thickBot="1" x14ac:dyDescent="0.3">
      <c r="A2335" s="73"/>
      <c r="B2335" s="116"/>
      <c r="C2335" s="117"/>
      <c r="D2335" s="118"/>
    </row>
    <row r="2336" spans="1:22" ht="20.25" customHeight="1" thickBot="1" x14ac:dyDescent="0.3">
      <c r="A2336" s="98"/>
      <c r="B2336" s="100"/>
      <c r="C2336" s="100"/>
      <c r="D2336" s="76"/>
    </row>
    <row r="2337" spans="1:22" ht="20.25" customHeight="1" x14ac:dyDescent="0.25">
      <c r="A2337" s="91"/>
      <c r="B2337" s="92"/>
      <c r="C2337" s="92"/>
      <c r="D2337" s="104"/>
    </row>
    <row r="2338" spans="1:22" ht="20.25" customHeight="1" thickBot="1" x14ac:dyDescent="0.3">
      <c r="A2338" s="73"/>
      <c r="B2338" s="74"/>
      <c r="C2338" s="74"/>
      <c r="D2338" s="75"/>
    </row>
    <row r="2339" spans="1:22" ht="20.25" customHeight="1" thickBot="1" x14ac:dyDescent="0.3">
      <c r="A2339" s="98"/>
      <c r="B2339" s="76"/>
      <c r="C2339" s="98"/>
      <c r="D2339" s="76"/>
    </row>
    <row r="2340" spans="1:22" ht="20.25" customHeight="1" thickBot="1" x14ac:dyDescent="0.3">
      <c r="A2340" s="110"/>
      <c r="B2340" s="98"/>
      <c r="C2340" s="76"/>
      <c r="D2340" s="110"/>
    </row>
    <row r="2341" spans="1:22" ht="20.25" customHeight="1" thickBot="1" x14ac:dyDescent="0.3">
      <c r="A2341" s="110"/>
      <c r="B2341" s="106"/>
      <c r="C2341" s="74"/>
      <c r="D2341" s="107"/>
      <c r="T2341" s="95"/>
      <c r="V2341" s="95"/>
    </row>
    <row r="2342" spans="1:22" ht="20.25" customHeight="1" thickBot="1" x14ac:dyDescent="0.3">
      <c r="A2342" s="98"/>
      <c r="B2342" s="76"/>
      <c r="C2342" s="98"/>
      <c r="D2342" s="76"/>
    </row>
    <row r="2343" spans="1:22" ht="20.25" customHeight="1" thickBot="1" x14ac:dyDescent="0.3">
      <c r="A2343" s="98"/>
      <c r="B2343" s="76"/>
      <c r="C2343" s="98"/>
      <c r="D2343" s="76"/>
      <c r="U2343" s="95"/>
      <c r="V2343" s="95"/>
    </row>
    <row r="2344" spans="1:22" ht="20.25" customHeight="1" thickBot="1" x14ac:dyDescent="0.3">
      <c r="A2344" s="98"/>
      <c r="B2344" s="76"/>
      <c r="C2344" s="98"/>
      <c r="D2344" s="76"/>
    </row>
    <row r="2345" spans="1:22" ht="20.25" customHeight="1" thickBot="1" x14ac:dyDescent="0.3">
      <c r="A2345" s="105"/>
      <c r="B2345" s="64"/>
      <c r="C2345" s="64"/>
      <c r="D2345" s="72"/>
    </row>
    <row r="2346" spans="1:22" ht="20.25" customHeight="1" thickBot="1" x14ac:dyDescent="0.3">
      <c r="A2346" s="108"/>
      <c r="B2346" s="108"/>
      <c r="C2346" s="108"/>
      <c r="D2346" s="108"/>
    </row>
    <row r="2347" spans="1:22" ht="20.25" customHeight="1" x14ac:dyDescent="0.25">
      <c r="A2347" s="105"/>
      <c r="B2347" s="111"/>
      <c r="C2347" s="112"/>
      <c r="D2347" s="113"/>
    </row>
    <row r="2348" spans="1:22" ht="20.25" customHeight="1" x14ac:dyDescent="0.25">
      <c r="A2348" s="105"/>
      <c r="B2348" s="114"/>
      <c r="C2348" s="109"/>
      <c r="D2348" s="115"/>
    </row>
    <row r="2349" spans="1:22" ht="20.25" customHeight="1" x14ac:dyDescent="0.25">
      <c r="A2349" s="105"/>
      <c r="B2349" s="114"/>
      <c r="C2349" s="109"/>
      <c r="D2349" s="115"/>
    </row>
    <row r="2350" spans="1:22" ht="20.25" customHeight="1" x14ac:dyDescent="0.25">
      <c r="A2350" s="105"/>
      <c r="B2350" s="114"/>
      <c r="C2350" s="109"/>
      <c r="D2350" s="115"/>
    </row>
    <row r="2351" spans="1:22" ht="20.25" customHeight="1" x14ac:dyDescent="0.25">
      <c r="A2351" s="105"/>
      <c r="B2351" s="114"/>
      <c r="C2351" s="109"/>
      <c r="D2351" s="115"/>
    </row>
    <row r="2352" spans="1:22" ht="20.25" customHeight="1" x14ac:dyDescent="0.25">
      <c r="A2352" s="105"/>
      <c r="B2352" s="114"/>
      <c r="C2352" s="109"/>
      <c r="D2352" s="115"/>
    </row>
    <row r="2353" spans="1:22" ht="20.25" customHeight="1" x14ac:dyDescent="0.25">
      <c r="A2353" s="105"/>
      <c r="B2353" s="114"/>
      <c r="C2353" s="109"/>
      <c r="D2353" s="115"/>
    </row>
    <row r="2354" spans="1:22" ht="20.25" customHeight="1" x14ac:dyDescent="0.25">
      <c r="A2354" s="105"/>
      <c r="B2354" s="114"/>
      <c r="C2354" s="109"/>
      <c r="D2354" s="115"/>
    </row>
    <row r="2355" spans="1:22" ht="20.25" customHeight="1" thickBot="1" x14ac:dyDescent="0.3">
      <c r="A2355" s="73"/>
      <c r="B2355" s="116"/>
      <c r="C2355" s="117"/>
      <c r="D2355" s="118"/>
    </row>
    <row r="2356" spans="1:22" ht="20.25" customHeight="1" thickBot="1" x14ac:dyDescent="0.3">
      <c r="A2356" s="98"/>
      <c r="B2356" s="100"/>
      <c r="C2356" s="100"/>
      <c r="D2356" s="76"/>
    </row>
    <row r="2357" spans="1:22" ht="20.25" customHeight="1" x14ac:dyDescent="0.25">
      <c r="A2357" s="91"/>
      <c r="B2357" s="92"/>
      <c r="C2357" s="92"/>
      <c r="D2357" s="104"/>
    </row>
    <row r="2358" spans="1:22" ht="20.25" customHeight="1" thickBot="1" x14ac:dyDescent="0.3">
      <c r="A2358" s="73"/>
      <c r="B2358" s="74"/>
      <c r="C2358" s="74"/>
      <c r="D2358" s="75"/>
    </row>
    <row r="2359" spans="1:22" ht="20.25" customHeight="1" thickBot="1" x14ac:dyDescent="0.3">
      <c r="A2359" s="98"/>
      <c r="B2359" s="76"/>
      <c r="C2359" s="98"/>
      <c r="D2359" s="76"/>
    </row>
    <row r="2360" spans="1:22" ht="20.25" customHeight="1" thickBot="1" x14ac:dyDescent="0.3">
      <c r="A2360" s="110"/>
      <c r="B2360" s="98"/>
      <c r="C2360" s="76"/>
      <c r="D2360" s="110"/>
    </row>
    <row r="2361" spans="1:22" ht="20.25" customHeight="1" thickBot="1" x14ac:dyDescent="0.3">
      <c r="A2361" s="110"/>
      <c r="B2361" s="106"/>
      <c r="C2361" s="74"/>
      <c r="D2361" s="107"/>
      <c r="T2361" s="95"/>
      <c r="V2361" s="95"/>
    </row>
    <row r="2362" spans="1:22" ht="20.25" customHeight="1" thickBot="1" x14ac:dyDescent="0.3">
      <c r="A2362" s="98"/>
      <c r="B2362" s="76"/>
      <c r="C2362" s="98"/>
      <c r="D2362" s="76"/>
    </row>
    <row r="2363" spans="1:22" ht="20.25" customHeight="1" thickBot="1" x14ac:dyDescent="0.3">
      <c r="A2363" s="98"/>
      <c r="B2363" s="76"/>
      <c r="C2363" s="98"/>
      <c r="D2363" s="76"/>
      <c r="U2363" s="95"/>
      <c r="V2363" s="95"/>
    </row>
    <row r="2364" spans="1:22" ht="20.25" customHeight="1" thickBot="1" x14ac:dyDescent="0.3">
      <c r="A2364" s="98"/>
      <c r="B2364" s="76"/>
      <c r="C2364" s="98"/>
      <c r="D2364" s="76"/>
    </row>
    <row r="2365" spans="1:22" ht="20.25" customHeight="1" thickBot="1" x14ac:dyDescent="0.3">
      <c r="A2365" s="105"/>
      <c r="B2365" s="64"/>
      <c r="C2365" s="64"/>
      <c r="D2365" s="72"/>
    </row>
    <row r="2366" spans="1:22" ht="20.25" customHeight="1" thickBot="1" x14ac:dyDescent="0.3">
      <c r="A2366" s="108"/>
      <c r="B2366" s="108"/>
      <c r="C2366" s="108"/>
      <c r="D2366" s="108"/>
    </row>
    <row r="2367" spans="1:22" ht="20.25" customHeight="1" x14ac:dyDescent="0.25">
      <c r="A2367" s="105"/>
      <c r="B2367" s="111"/>
      <c r="C2367" s="112"/>
      <c r="D2367" s="113"/>
    </row>
    <row r="2368" spans="1:22" ht="20.25" customHeight="1" x14ac:dyDescent="0.25">
      <c r="A2368" s="105"/>
      <c r="B2368" s="114"/>
      <c r="C2368" s="109"/>
      <c r="D2368" s="115"/>
    </row>
    <row r="2369" spans="1:22" ht="20.25" customHeight="1" x14ac:dyDescent="0.25">
      <c r="A2369" s="105"/>
      <c r="B2369" s="114"/>
      <c r="C2369" s="109"/>
      <c r="D2369" s="115"/>
    </row>
    <row r="2370" spans="1:22" ht="20.25" customHeight="1" x14ac:dyDescent="0.25">
      <c r="A2370" s="105"/>
      <c r="B2370" s="114"/>
      <c r="C2370" s="109"/>
      <c r="D2370" s="115"/>
    </row>
    <row r="2371" spans="1:22" ht="20.25" customHeight="1" x14ac:dyDescent="0.25">
      <c r="A2371" s="105"/>
      <c r="B2371" s="114"/>
      <c r="C2371" s="109"/>
      <c r="D2371" s="115"/>
    </row>
    <row r="2372" spans="1:22" ht="20.25" customHeight="1" x14ac:dyDescent="0.25">
      <c r="A2372" s="105"/>
      <c r="B2372" s="114"/>
      <c r="C2372" s="109"/>
      <c r="D2372" s="115"/>
    </row>
    <row r="2373" spans="1:22" ht="20.25" customHeight="1" x14ac:dyDescent="0.25">
      <c r="A2373" s="105"/>
      <c r="B2373" s="114"/>
      <c r="C2373" s="109"/>
      <c r="D2373" s="115"/>
    </row>
    <row r="2374" spans="1:22" ht="20.25" customHeight="1" x14ac:dyDescent="0.25">
      <c r="A2374" s="105"/>
      <c r="B2374" s="114"/>
      <c r="C2374" s="109"/>
      <c r="D2374" s="115"/>
    </row>
    <row r="2375" spans="1:22" ht="20.25" customHeight="1" thickBot="1" x14ac:dyDescent="0.3">
      <c r="A2375" s="73"/>
      <c r="B2375" s="116"/>
      <c r="C2375" s="117"/>
      <c r="D2375" s="118"/>
    </row>
    <row r="2376" spans="1:22" ht="20.25" customHeight="1" thickBot="1" x14ac:dyDescent="0.3">
      <c r="A2376" s="98"/>
      <c r="B2376" s="100"/>
      <c r="C2376" s="100"/>
      <c r="D2376" s="76"/>
    </row>
    <row r="2377" spans="1:22" ht="20.25" customHeight="1" x14ac:dyDescent="0.25">
      <c r="A2377" s="91"/>
      <c r="B2377" s="92"/>
      <c r="C2377" s="92"/>
      <c r="D2377" s="104"/>
    </row>
    <row r="2378" spans="1:22" ht="20.25" customHeight="1" thickBot="1" x14ac:dyDescent="0.3">
      <c r="A2378" s="73"/>
      <c r="B2378" s="74"/>
      <c r="C2378" s="74"/>
      <c r="D2378" s="75"/>
    </row>
    <row r="2379" spans="1:22" ht="20.25" customHeight="1" thickBot="1" x14ac:dyDescent="0.3">
      <c r="A2379" s="98"/>
      <c r="B2379" s="76"/>
      <c r="C2379" s="98"/>
      <c r="D2379" s="76"/>
    </row>
    <row r="2380" spans="1:22" ht="20.25" customHeight="1" thickBot="1" x14ac:dyDescent="0.3">
      <c r="A2380" s="110"/>
      <c r="B2380" s="98"/>
      <c r="C2380" s="76"/>
      <c r="D2380" s="110"/>
    </row>
    <row r="2381" spans="1:22" ht="20.25" customHeight="1" thickBot="1" x14ac:dyDescent="0.3">
      <c r="A2381" s="110"/>
      <c r="B2381" s="106"/>
      <c r="C2381" s="74"/>
      <c r="D2381" s="107"/>
      <c r="T2381" s="95"/>
      <c r="V2381" s="95"/>
    </row>
    <row r="2382" spans="1:22" ht="20.25" customHeight="1" thickBot="1" x14ac:dyDescent="0.3">
      <c r="A2382" s="98"/>
      <c r="B2382" s="76"/>
      <c r="C2382" s="98"/>
      <c r="D2382" s="76"/>
    </row>
    <row r="2383" spans="1:22" ht="20.25" customHeight="1" thickBot="1" x14ac:dyDescent="0.3">
      <c r="A2383" s="98"/>
      <c r="B2383" s="76"/>
      <c r="C2383" s="98"/>
      <c r="D2383" s="76"/>
      <c r="U2383" s="95"/>
      <c r="V2383" s="95"/>
    </row>
    <row r="2384" spans="1:22" ht="20.25" customHeight="1" thickBot="1" x14ac:dyDescent="0.3">
      <c r="A2384" s="98"/>
      <c r="B2384" s="76"/>
      <c r="C2384" s="98"/>
      <c r="D2384" s="76"/>
    </row>
    <row r="2385" spans="1:4" ht="20.25" customHeight="1" thickBot="1" x14ac:dyDescent="0.3">
      <c r="A2385" s="105"/>
      <c r="B2385" s="64"/>
      <c r="C2385" s="64"/>
      <c r="D2385" s="72"/>
    </row>
    <row r="2386" spans="1:4" ht="20.25" customHeight="1" thickBot="1" x14ac:dyDescent="0.3">
      <c r="A2386" s="108"/>
      <c r="B2386" s="108"/>
      <c r="C2386" s="108"/>
      <c r="D2386" s="108"/>
    </row>
    <row r="2387" spans="1:4" ht="20.25" customHeight="1" x14ac:dyDescent="0.25">
      <c r="A2387" s="105"/>
      <c r="B2387" s="111"/>
      <c r="C2387" s="112"/>
      <c r="D2387" s="113"/>
    </row>
    <row r="2388" spans="1:4" ht="20.25" customHeight="1" x14ac:dyDescent="0.25">
      <c r="A2388" s="105"/>
      <c r="B2388" s="114"/>
      <c r="C2388" s="109"/>
      <c r="D2388" s="115"/>
    </row>
    <row r="2389" spans="1:4" ht="20.25" customHeight="1" x14ac:dyDescent="0.25">
      <c r="A2389" s="105"/>
      <c r="B2389" s="114"/>
      <c r="C2389" s="109"/>
      <c r="D2389" s="115"/>
    </row>
    <row r="2390" spans="1:4" ht="20.25" customHeight="1" x14ac:dyDescent="0.25">
      <c r="A2390" s="105"/>
      <c r="B2390" s="114"/>
      <c r="C2390" s="109"/>
      <c r="D2390" s="115"/>
    </row>
    <row r="2391" spans="1:4" ht="20.25" customHeight="1" x14ac:dyDescent="0.25">
      <c r="A2391" s="105"/>
      <c r="B2391" s="114"/>
      <c r="C2391" s="109"/>
      <c r="D2391" s="115"/>
    </row>
    <row r="2392" spans="1:4" ht="20.25" customHeight="1" x14ac:dyDescent="0.25">
      <c r="A2392" s="105"/>
      <c r="B2392" s="114"/>
      <c r="C2392" s="109"/>
      <c r="D2392" s="115"/>
    </row>
    <row r="2393" spans="1:4" ht="20.25" customHeight="1" x14ac:dyDescent="0.25">
      <c r="A2393" s="105"/>
      <c r="B2393" s="114"/>
      <c r="C2393" s="109"/>
      <c r="D2393" s="115"/>
    </row>
    <row r="2394" spans="1:4" ht="20.25" customHeight="1" x14ac:dyDescent="0.25">
      <c r="A2394" s="105"/>
      <c r="B2394" s="114"/>
      <c r="C2394" s="109"/>
      <c r="D2394" s="115"/>
    </row>
    <row r="2395" spans="1:4" ht="20.25" customHeight="1" thickBot="1" x14ac:dyDescent="0.3">
      <c r="A2395" s="73"/>
      <c r="B2395" s="116"/>
      <c r="C2395" s="117"/>
      <c r="D2395" s="118"/>
    </row>
    <row r="2396" spans="1:4" ht="20.25" customHeight="1" thickBot="1" x14ac:dyDescent="0.3">
      <c r="A2396" s="98"/>
      <c r="B2396" s="100"/>
      <c r="C2396" s="100"/>
      <c r="D2396" s="76"/>
    </row>
    <row r="2397" spans="1:4" ht="20.25" customHeight="1" x14ac:dyDescent="0.25">
      <c r="A2397" s="91"/>
      <c r="B2397" s="92"/>
      <c r="C2397" s="92"/>
      <c r="D2397" s="104"/>
    </row>
    <row r="2398" spans="1:4" ht="20.25" customHeight="1" thickBot="1" x14ac:dyDescent="0.3">
      <c r="A2398" s="73"/>
      <c r="B2398" s="74"/>
      <c r="C2398" s="74"/>
      <c r="D2398" s="75"/>
    </row>
    <row r="2399" spans="1:4" ht="20.25" customHeight="1" thickBot="1" x14ac:dyDescent="0.3">
      <c r="A2399" s="98"/>
      <c r="B2399" s="76"/>
      <c r="C2399" s="98"/>
      <c r="D2399" s="76"/>
    </row>
    <row r="2400" spans="1:4" ht="20.25" customHeight="1" thickBot="1" x14ac:dyDescent="0.3">
      <c r="A2400" s="110"/>
      <c r="B2400" s="98"/>
      <c r="C2400" s="76"/>
      <c r="D2400" s="110"/>
    </row>
    <row r="2401" spans="1:22" ht="20.25" customHeight="1" thickBot="1" x14ac:dyDescent="0.3">
      <c r="A2401" s="110"/>
      <c r="B2401" s="106"/>
      <c r="C2401" s="74"/>
      <c r="D2401" s="107"/>
      <c r="T2401" s="95"/>
      <c r="V2401" s="95"/>
    </row>
    <row r="2402" spans="1:22" ht="20.25" customHeight="1" thickBot="1" x14ac:dyDescent="0.3">
      <c r="A2402" s="98"/>
      <c r="B2402" s="76"/>
      <c r="C2402" s="98"/>
      <c r="D2402" s="76"/>
    </row>
    <row r="2403" spans="1:22" ht="20.25" customHeight="1" thickBot="1" x14ac:dyDescent="0.3">
      <c r="A2403" s="98"/>
      <c r="B2403" s="76"/>
      <c r="C2403" s="98"/>
      <c r="D2403" s="76"/>
      <c r="U2403" s="95"/>
      <c r="V2403" s="95"/>
    </row>
    <row r="2404" spans="1:22" ht="20.25" customHeight="1" thickBot="1" x14ac:dyDescent="0.3">
      <c r="A2404" s="98"/>
      <c r="B2404" s="76"/>
      <c r="C2404" s="98"/>
      <c r="D2404" s="76"/>
    </row>
    <row r="2405" spans="1:22" ht="20.25" customHeight="1" thickBot="1" x14ac:dyDescent="0.3">
      <c r="A2405" s="105"/>
      <c r="B2405" s="64"/>
      <c r="C2405" s="64"/>
      <c r="D2405" s="72"/>
    </row>
    <row r="2406" spans="1:22" ht="20.25" customHeight="1" thickBot="1" x14ac:dyDescent="0.3">
      <c r="A2406" s="108"/>
      <c r="B2406" s="108"/>
      <c r="C2406" s="108"/>
      <c r="D2406" s="108"/>
    </row>
    <row r="2407" spans="1:22" ht="20.25" customHeight="1" x14ac:dyDescent="0.25">
      <c r="A2407" s="105"/>
      <c r="B2407" s="111"/>
      <c r="C2407" s="112"/>
      <c r="D2407" s="113"/>
    </row>
    <row r="2408" spans="1:22" ht="20.25" customHeight="1" x14ac:dyDescent="0.25">
      <c r="A2408" s="105"/>
      <c r="B2408" s="114"/>
      <c r="C2408" s="109"/>
      <c r="D2408" s="115"/>
    </row>
    <row r="2409" spans="1:22" ht="20.25" customHeight="1" x14ac:dyDescent="0.25">
      <c r="A2409" s="105"/>
      <c r="B2409" s="114"/>
      <c r="C2409" s="109"/>
      <c r="D2409" s="115"/>
    </row>
    <row r="2410" spans="1:22" ht="20.25" customHeight="1" x14ac:dyDescent="0.25">
      <c r="A2410" s="105"/>
      <c r="B2410" s="114"/>
      <c r="C2410" s="109"/>
      <c r="D2410" s="115"/>
    </row>
    <row r="2411" spans="1:22" ht="20.25" customHeight="1" x14ac:dyDescent="0.25">
      <c r="A2411" s="105"/>
      <c r="B2411" s="114"/>
      <c r="C2411" s="109"/>
      <c r="D2411" s="115"/>
    </row>
    <row r="2412" spans="1:22" ht="20.25" customHeight="1" x14ac:dyDescent="0.25">
      <c r="A2412" s="105"/>
      <c r="B2412" s="114"/>
      <c r="C2412" s="109"/>
      <c r="D2412" s="115"/>
    </row>
    <row r="2413" spans="1:22" ht="20.25" customHeight="1" x14ac:dyDescent="0.25">
      <c r="A2413" s="105"/>
      <c r="B2413" s="114"/>
      <c r="C2413" s="109"/>
      <c r="D2413" s="115"/>
    </row>
    <row r="2414" spans="1:22" ht="20.25" customHeight="1" x14ac:dyDescent="0.25">
      <c r="A2414" s="105"/>
      <c r="B2414" s="114"/>
      <c r="C2414" s="109"/>
      <c r="D2414" s="115"/>
    </row>
    <row r="2415" spans="1:22" ht="20.25" customHeight="1" thickBot="1" x14ac:dyDescent="0.3">
      <c r="A2415" s="73"/>
      <c r="B2415" s="116"/>
      <c r="C2415" s="117"/>
      <c r="D2415" s="118"/>
    </row>
    <row r="2416" spans="1:22" ht="20.25" customHeight="1" thickBot="1" x14ac:dyDescent="0.3">
      <c r="A2416" s="98"/>
      <c r="B2416" s="100"/>
      <c r="C2416" s="100"/>
      <c r="D2416" s="76"/>
    </row>
    <row r="2417" spans="1:22" ht="20.25" customHeight="1" x14ac:dyDescent="0.25">
      <c r="A2417" s="91"/>
      <c r="B2417" s="92"/>
      <c r="C2417" s="92"/>
      <c r="D2417" s="104"/>
    </row>
    <row r="2418" spans="1:22" ht="20.25" customHeight="1" thickBot="1" x14ac:dyDescent="0.3">
      <c r="A2418" s="73"/>
      <c r="B2418" s="74"/>
      <c r="C2418" s="74"/>
      <c r="D2418" s="75"/>
    </row>
    <row r="2419" spans="1:22" ht="20.25" customHeight="1" thickBot="1" x14ac:dyDescent="0.3">
      <c r="A2419" s="98"/>
      <c r="B2419" s="76"/>
      <c r="C2419" s="98"/>
      <c r="D2419" s="76"/>
    </row>
    <row r="2420" spans="1:22" ht="20.25" customHeight="1" thickBot="1" x14ac:dyDescent="0.3">
      <c r="A2420" s="110"/>
      <c r="B2420" s="98"/>
      <c r="C2420" s="76"/>
      <c r="D2420" s="110"/>
    </row>
    <row r="2421" spans="1:22" ht="20.25" customHeight="1" thickBot="1" x14ac:dyDescent="0.3">
      <c r="A2421" s="110"/>
      <c r="B2421" s="106"/>
      <c r="C2421" s="74"/>
      <c r="D2421" s="107"/>
      <c r="T2421" s="95"/>
      <c r="V2421" s="95"/>
    </row>
    <row r="2422" spans="1:22" ht="20.25" customHeight="1" thickBot="1" x14ac:dyDescent="0.3">
      <c r="A2422" s="98"/>
      <c r="B2422" s="76"/>
      <c r="C2422" s="98"/>
      <c r="D2422" s="76"/>
    </row>
    <row r="2423" spans="1:22" ht="20.25" customHeight="1" thickBot="1" x14ac:dyDescent="0.3">
      <c r="A2423" s="98"/>
      <c r="B2423" s="76"/>
      <c r="C2423" s="98"/>
      <c r="D2423" s="76"/>
      <c r="U2423" s="95"/>
      <c r="V2423" s="95"/>
    </row>
    <row r="2424" spans="1:22" ht="20.25" customHeight="1" thickBot="1" x14ac:dyDescent="0.3">
      <c r="A2424" s="98"/>
      <c r="B2424" s="76"/>
      <c r="C2424" s="98"/>
      <c r="D2424" s="76"/>
    </row>
    <row r="2425" spans="1:22" ht="20.25" customHeight="1" thickBot="1" x14ac:dyDescent="0.3">
      <c r="A2425" s="105"/>
      <c r="B2425" s="64"/>
      <c r="C2425" s="64"/>
      <c r="D2425" s="72"/>
    </row>
    <row r="2426" spans="1:22" ht="20.25" customHeight="1" thickBot="1" x14ac:dyDescent="0.3">
      <c r="A2426" s="108"/>
      <c r="B2426" s="108"/>
      <c r="C2426" s="108"/>
      <c r="D2426" s="108"/>
    </row>
    <row r="2427" spans="1:22" ht="20.25" customHeight="1" x14ac:dyDescent="0.25">
      <c r="A2427" s="105"/>
      <c r="B2427" s="111"/>
      <c r="C2427" s="112"/>
      <c r="D2427" s="113"/>
    </row>
    <row r="2428" spans="1:22" ht="20.25" customHeight="1" x14ac:dyDescent="0.25">
      <c r="A2428" s="105"/>
      <c r="B2428" s="114"/>
      <c r="C2428" s="109"/>
      <c r="D2428" s="115"/>
    </row>
    <row r="2429" spans="1:22" ht="20.25" customHeight="1" x14ac:dyDescent="0.25">
      <c r="A2429" s="105"/>
      <c r="B2429" s="114"/>
      <c r="C2429" s="109"/>
      <c r="D2429" s="115"/>
    </row>
    <row r="2430" spans="1:22" ht="20.25" customHeight="1" x14ac:dyDescent="0.25">
      <c r="A2430" s="105"/>
      <c r="B2430" s="114"/>
      <c r="C2430" s="109"/>
      <c r="D2430" s="115"/>
    </row>
    <row r="2431" spans="1:22" ht="20.25" customHeight="1" x14ac:dyDescent="0.25">
      <c r="A2431" s="105"/>
      <c r="B2431" s="114"/>
      <c r="C2431" s="109"/>
      <c r="D2431" s="115"/>
    </row>
    <row r="2432" spans="1:22" ht="20.25" customHeight="1" x14ac:dyDescent="0.25">
      <c r="A2432" s="105"/>
      <c r="B2432" s="114"/>
      <c r="C2432" s="109"/>
      <c r="D2432" s="115"/>
    </row>
    <row r="2433" spans="1:22" ht="20.25" customHeight="1" x14ac:dyDescent="0.25">
      <c r="A2433" s="105"/>
      <c r="B2433" s="114"/>
      <c r="C2433" s="109"/>
      <c r="D2433" s="115"/>
    </row>
    <row r="2434" spans="1:22" ht="20.25" customHeight="1" x14ac:dyDescent="0.25">
      <c r="A2434" s="105"/>
      <c r="B2434" s="114"/>
      <c r="C2434" s="109"/>
      <c r="D2434" s="115"/>
    </row>
    <row r="2435" spans="1:22" ht="20.25" customHeight="1" thickBot="1" x14ac:dyDescent="0.3">
      <c r="A2435" s="73"/>
      <c r="B2435" s="116"/>
      <c r="C2435" s="117"/>
      <c r="D2435" s="118"/>
    </row>
    <row r="2436" spans="1:22" ht="20.25" customHeight="1" thickBot="1" x14ac:dyDescent="0.3">
      <c r="A2436" s="98"/>
      <c r="B2436" s="100"/>
      <c r="C2436" s="100"/>
      <c r="D2436" s="76"/>
    </row>
    <row r="2437" spans="1:22" ht="20.25" customHeight="1" x14ac:dyDescent="0.25">
      <c r="A2437" s="91"/>
      <c r="B2437" s="92"/>
      <c r="C2437" s="92"/>
      <c r="D2437" s="104"/>
    </row>
    <row r="2438" spans="1:22" ht="20.25" customHeight="1" thickBot="1" x14ac:dyDescent="0.3">
      <c r="A2438" s="73"/>
      <c r="B2438" s="74"/>
      <c r="C2438" s="74"/>
      <c r="D2438" s="75"/>
    </row>
    <row r="2439" spans="1:22" ht="20.25" customHeight="1" thickBot="1" x14ac:dyDescent="0.3">
      <c r="A2439" s="98"/>
      <c r="B2439" s="76"/>
      <c r="C2439" s="98"/>
      <c r="D2439" s="76"/>
    </row>
    <row r="2440" spans="1:22" ht="20.25" customHeight="1" thickBot="1" x14ac:dyDescent="0.3">
      <c r="A2440" s="110"/>
      <c r="B2440" s="98"/>
      <c r="C2440" s="76"/>
      <c r="D2440" s="110"/>
    </row>
    <row r="2441" spans="1:22" ht="20.25" customHeight="1" thickBot="1" x14ac:dyDescent="0.3">
      <c r="A2441" s="110"/>
      <c r="B2441" s="106"/>
      <c r="C2441" s="74"/>
      <c r="D2441" s="107"/>
      <c r="T2441" s="95"/>
      <c r="V2441" s="95"/>
    </row>
    <row r="2442" spans="1:22" ht="20.25" customHeight="1" thickBot="1" x14ac:dyDescent="0.3">
      <c r="A2442" s="98"/>
      <c r="B2442" s="76"/>
      <c r="C2442" s="98"/>
      <c r="D2442" s="76"/>
    </row>
    <row r="2443" spans="1:22" ht="20.25" customHeight="1" thickBot="1" x14ac:dyDescent="0.3">
      <c r="A2443" s="98"/>
      <c r="B2443" s="76"/>
      <c r="C2443" s="98"/>
      <c r="D2443" s="76"/>
      <c r="U2443" s="95"/>
      <c r="V2443" s="95"/>
    </row>
    <row r="2444" spans="1:22" ht="20.25" customHeight="1" thickBot="1" x14ac:dyDescent="0.3">
      <c r="A2444" s="98"/>
      <c r="B2444" s="76"/>
      <c r="C2444" s="98"/>
      <c r="D2444" s="76"/>
    </row>
    <row r="2445" spans="1:22" ht="20.25" customHeight="1" thickBot="1" x14ac:dyDescent="0.3">
      <c r="A2445" s="105"/>
      <c r="B2445" s="64"/>
      <c r="C2445" s="64"/>
      <c r="D2445" s="72"/>
    </row>
    <row r="2446" spans="1:22" ht="20.25" customHeight="1" thickBot="1" x14ac:dyDescent="0.3">
      <c r="A2446" s="108"/>
      <c r="B2446" s="108"/>
      <c r="C2446" s="108"/>
      <c r="D2446" s="108"/>
    </row>
    <row r="2447" spans="1:22" ht="20.25" customHeight="1" x14ac:dyDescent="0.25">
      <c r="A2447" s="105"/>
      <c r="B2447" s="111"/>
      <c r="C2447" s="112"/>
      <c r="D2447" s="113"/>
    </row>
    <row r="2448" spans="1:22" ht="20.25" customHeight="1" x14ac:dyDescent="0.25">
      <c r="A2448" s="105"/>
      <c r="B2448" s="114"/>
      <c r="C2448" s="109"/>
      <c r="D2448" s="115"/>
    </row>
    <row r="2449" spans="1:22" ht="20.25" customHeight="1" x14ac:dyDescent="0.25">
      <c r="A2449" s="105"/>
      <c r="B2449" s="114"/>
      <c r="C2449" s="109"/>
      <c r="D2449" s="115"/>
    </row>
    <row r="2450" spans="1:22" ht="20.25" customHeight="1" x14ac:dyDescent="0.25">
      <c r="A2450" s="105"/>
      <c r="B2450" s="114"/>
      <c r="C2450" s="109"/>
      <c r="D2450" s="115"/>
    </row>
    <row r="2451" spans="1:22" ht="20.25" customHeight="1" x14ac:dyDescent="0.25">
      <c r="A2451" s="105"/>
      <c r="B2451" s="114"/>
      <c r="C2451" s="109"/>
      <c r="D2451" s="115"/>
    </row>
    <row r="2452" spans="1:22" ht="20.25" customHeight="1" x14ac:dyDescent="0.25">
      <c r="A2452" s="105"/>
      <c r="B2452" s="114"/>
      <c r="C2452" s="109"/>
      <c r="D2452" s="115"/>
    </row>
    <row r="2453" spans="1:22" ht="20.25" customHeight="1" x14ac:dyDescent="0.25">
      <c r="A2453" s="105"/>
      <c r="B2453" s="114"/>
      <c r="C2453" s="109"/>
      <c r="D2453" s="115"/>
    </row>
    <row r="2454" spans="1:22" ht="20.25" customHeight="1" x14ac:dyDescent="0.25">
      <c r="A2454" s="105"/>
      <c r="B2454" s="114"/>
      <c r="C2454" s="109"/>
      <c r="D2454" s="115"/>
    </row>
    <row r="2455" spans="1:22" ht="20.25" customHeight="1" thickBot="1" x14ac:dyDescent="0.3">
      <c r="A2455" s="73"/>
      <c r="B2455" s="116"/>
      <c r="C2455" s="117"/>
      <c r="D2455" s="118"/>
    </row>
    <row r="2456" spans="1:22" ht="20.25" customHeight="1" thickBot="1" x14ac:dyDescent="0.3">
      <c r="A2456" s="98"/>
      <c r="B2456" s="100"/>
      <c r="C2456" s="100"/>
      <c r="D2456" s="76"/>
    </row>
    <row r="2457" spans="1:22" ht="20.25" customHeight="1" x14ac:dyDescent="0.25">
      <c r="A2457" s="91"/>
      <c r="B2457" s="92"/>
      <c r="C2457" s="92"/>
      <c r="D2457" s="104"/>
    </row>
    <row r="2458" spans="1:22" ht="20.25" customHeight="1" thickBot="1" x14ac:dyDescent="0.3">
      <c r="A2458" s="73"/>
      <c r="B2458" s="74"/>
      <c r="C2458" s="74"/>
      <c r="D2458" s="75"/>
    </row>
    <row r="2459" spans="1:22" ht="20.25" customHeight="1" thickBot="1" x14ac:dyDescent="0.3">
      <c r="A2459" s="98"/>
      <c r="B2459" s="76"/>
      <c r="C2459" s="98"/>
      <c r="D2459" s="76"/>
    </row>
    <row r="2460" spans="1:22" ht="20.25" customHeight="1" thickBot="1" x14ac:dyDescent="0.3">
      <c r="A2460" s="110"/>
      <c r="B2460" s="98"/>
      <c r="C2460" s="76"/>
      <c r="D2460" s="110"/>
    </row>
    <row r="2461" spans="1:22" ht="20.25" customHeight="1" thickBot="1" x14ac:dyDescent="0.3">
      <c r="A2461" s="110"/>
      <c r="B2461" s="106"/>
      <c r="C2461" s="74"/>
      <c r="D2461" s="107"/>
      <c r="T2461" s="95"/>
      <c r="V2461" s="95"/>
    </row>
    <row r="2462" spans="1:22" ht="20.25" customHeight="1" thickBot="1" x14ac:dyDescent="0.3">
      <c r="A2462" s="98"/>
      <c r="B2462" s="76"/>
      <c r="C2462" s="98"/>
      <c r="D2462" s="76"/>
    </row>
    <row r="2463" spans="1:22" ht="20.25" customHeight="1" thickBot="1" x14ac:dyDescent="0.3">
      <c r="A2463" s="98"/>
      <c r="B2463" s="76"/>
      <c r="C2463" s="98"/>
      <c r="D2463" s="76"/>
      <c r="U2463" s="95"/>
      <c r="V2463" s="95"/>
    </row>
    <row r="2464" spans="1:22" ht="20.25" customHeight="1" thickBot="1" x14ac:dyDescent="0.3">
      <c r="A2464" s="98"/>
      <c r="B2464" s="76"/>
      <c r="C2464" s="98"/>
      <c r="D2464" s="76"/>
    </row>
    <row r="2465" spans="1:4" ht="20.25" customHeight="1" thickBot="1" x14ac:dyDescent="0.3">
      <c r="A2465" s="105"/>
      <c r="B2465" s="64"/>
      <c r="C2465" s="64"/>
      <c r="D2465" s="72"/>
    </row>
    <row r="2466" spans="1:4" ht="20.25" customHeight="1" thickBot="1" x14ac:dyDescent="0.3">
      <c r="A2466" s="108"/>
      <c r="B2466" s="108"/>
      <c r="C2466" s="108"/>
      <c r="D2466" s="108"/>
    </row>
    <row r="2467" spans="1:4" ht="20.25" customHeight="1" x14ac:dyDescent="0.25">
      <c r="A2467" s="105"/>
      <c r="B2467" s="111"/>
      <c r="C2467" s="112"/>
      <c r="D2467" s="113"/>
    </row>
    <row r="2468" spans="1:4" ht="20.25" customHeight="1" x14ac:dyDescent="0.25">
      <c r="A2468" s="105"/>
      <c r="B2468" s="114"/>
      <c r="C2468" s="109"/>
      <c r="D2468" s="115"/>
    </row>
    <row r="2469" spans="1:4" ht="20.25" customHeight="1" x14ac:dyDescent="0.25">
      <c r="A2469" s="105"/>
      <c r="B2469" s="114"/>
      <c r="C2469" s="109"/>
      <c r="D2469" s="115"/>
    </row>
    <row r="2470" spans="1:4" ht="20.25" customHeight="1" x14ac:dyDescent="0.25">
      <c r="A2470" s="105"/>
      <c r="B2470" s="114"/>
      <c r="C2470" s="109"/>
      <c r="D2470" s="115"/>
    </row>
    <row r="2471" spans="1:4" ht="20.25" customHeight="1" x14ac:dyDescent="0.25">
      <c r="A2471" s="105"/>
      <c r="B2471" s="114"/>
      <c r="C2471" s="109"/>
      <c r="D2471" s="115"/>
    </row>
    <row r="2472" spans="1:4" ht="20.25" customHeight="1" x14ac:dyDescent="0.25">
      <c r="A2472" s="105"/>
      <c r="B2472" s="114"/>
      <c r="C2472" s="109"/>
      <c r="D2472" s="115"/>
    </row>
    <row r="2473" spans="1:4" ht="20.25" customHeight="1" x14ac:dyDescent="0.25">
      <c r="A2473" s="105"/>
      <c r="B2473" s="114"/>
      <c r="C2473" s="109"/>
      <c r="D2473" s="115"/>
    </row>
    <row r="2474" spans="1:4" ht="20.25" customHeight="1" x14ac:dyDescent="0.25">
      <c r="A2474" s="105"/>
      <c r="B2474" s="114"/>
      <c r="C2474" s="109"/>
      <c r="D2474" s="115"/>
    </row>
    <row r="2475" spans="1:4" ht="20.25" customHeight="1" thickBot="1" x14ac:dyDescent="0.3">
      <c r="A2475" s="73"/>
      <c r="B2475" s="116"/>
      <c r="C2475" s="117"/>
      <c r="D2475" s="118"/>
    </row>
    <row r="2476" spans="1:4" ht="20.25" customHeight="1" thickBot="1" x14ac:dyDescent="0.3">
      <c r="A2476" s="98"/>
      <c r="B2476" s="100"/>
      <c r="C2476" s="100"/>
      <c r="D2476" s="76"/>
    </row>
    <row r="2477" spans="1:4" ht="20.25" customHeight="1" x14ac:dyDescent="0.25">
      <c r="A2477" s="91"/>
      <c r="B2477" s="92"/>
      <c r="C2477" s="92"/>
      <c r="D2477" s="104"/>
    </row>
    <row r="2478" spans="1:4" ht="20.25" customHeight="1" thickBot="1" x14ac:dyDescent="0.3">
      <c r="A2478" s="73"/>
      <c r="B2478" s="74"/>
      <c r="C2478" s="74"/>
      <c r="D2478" s="75"/>
    </row>
    <row r="2479" spans="1:4" ht="20.25" customHeight="1" thickBot="1" x14ac:dyDescent="0.3">
      <c r="A2479" s="98"/>
      <c r="B2479" s="76"/>
      <c r="C2479" s="98"/>
      <c r="D2479" s="76"/>
    </row>
    <row r="2480" spans="1:4" ht="20.25" customHeight="1" thickBot="1" x14ac:dyDescent="0.3">
      <c r="A2480" s="110"/>
      <c r="B2480" s="98"/>
      <c r="C2480" s="76"/>
      <c r="D2480" s="110"/>
    </row>
    <row r="2481" spans="1:22" ht="20.25" customHeight="1" thickBot="1" x14ac:dyDescent="0.3">
      <c r="A2481" s="110"/>
      <c r="B2481" s="106"/>
      <c r="C2481" s="74"/>
      <c r="D2481" s="107"/>
      <c r="T2481" s="95"/>
      <c r="V2481" s="95"/>
    </row>
    <row r="2482" spans="1:22" ht="20.25" customHeight="1" thickBot="1" x14ac:dyDescent="0.3">
      <c r="A2482" s="98"/>
      <c r="B2482" s="76"/>
      <c r="C2482" s="98"/>
      <c r="D2482" s="76"/>
    </row>
    <row r="2483" spans="1:22" ht="20.25" customHeight="1" thickBot="1" x14ac:dyDescent="0.3">
      <c r="A2483" s="98"/>
      <c r="B2483" s="76"/>
      <c r="C2483" s="98"/>
      <c r="D2483" s="76"/>
      <c r="U2483" s="95"/>
      <c r="V2483" s="95"/>
    </row>
    <row r="2484" spans="1:22" ht="20.25" customHeight="1" thickBot="1" x14ac:dyDescent="0.3">
      <c r="A2484" s="98"/>
      <c r="B2484" s="76"/>
      <c r="C2484" s="98"/>
      <c r="D2484" s="76"/>
    </row>
    <row r="2485" spans="1:22" ht="20.25" customHeight="1" thickBot="1" x14ac:dyDescent="0.3">
      <c r="A2485" s="105"/>
      <c r="B2485" s="64"/>
      <c r="C2485" s="64"/>
      <c r="D2485" s="72"/>
    </row>
    <row r="2486" spans="1:22" ht="20.25" customHeight="1" thickBot="1" x14ac:dyDescent="0.3">
      <c r="A2486" s="108"/>
      <c r="B2486" s="108"/>
      <c r="C2486" s="108"/>
      <c r="D2486" s="108"/>
    </row>
    <row r="2487" spans="1:22" ht="20.25" customHeight="1" x14ac:dyDescent="0.25">
      <c r="A2487" s="105"/>
      <c r="B2487" s="111"/>
      <c r="C2487" s="112"/>
      <c r="D2487" s="113"/>
    </row>
    <row r="2488" spans="1:22" ht="20.25" customHeight="1" x14ac:dyDescent="0.25">
      <c r="A2488" s="105"/>
      <c r="B2488" s="114"/>
      <c r="C2488" s="109"/>
      <c r="D2488" s="115"/>
    </row>
    <row r="2489" spans="1:22" ht="20.25" customHeight="1" x14ac:dyDescent="0.25">
      <c r="A2489" s="105"/>
      <c r="B2489" s="114"/>
      <c r="C2489" s="109"/>
      <c r="D2489" s="115"/>
    </row>
    <row r="2490" spans="1:22" ht="20.25" customHeight="1" x14ac:dyDescent="0.25">
      <c r="A2490" s="105"/>
      <c r="B2490" s="114"/>
      <c r="C2490" s="109"/>
      <c r="D2490" s="115"/>
    </row>
    <row r="2491" spans="1:22" ht="20.25" customHeight="1" x14ac:dyDescent="0.25">
      <c r="A2491" s="105"/>
      <c r="B2491" s="114"/>
      <c r="C2491" s="109"/>
      <c r="D2491" s="115"/>
    </row>
    <row r="2492" spans="1:22" ht="20.25" customHeight="1" x14ac:dyDescent="0.25">
      <c r="A2492" s="105"/>
      <c r="B2492" s="114"/>
      <c r="C2492" s="109"/>
      <c r="D2492" s="115"/>
    </row>
    <row r="2493" spans="1:22" ht="20.25" customHeight="1" x14ac:dyDescent="0.25">
      <c r="A2493" s="105"/>
      <c r="B2493" s="114"/>
      <c r="C2493" s="109"/>
      <c r="D2493" s="115"/>
    </row>
    <row r="2494" spans="1:22" ht="20.25" customHeight="1" x14ac:dyDescent="0.25">
      <c r="A2494" s="105"/>
      <c r="B2494" s="114"/>
      <c r="C2494" s="109"/>
      <c r="D2494" s="115"/>
    </row>
    <row r="2495" spans="1:22" ht="20.25" customHeight="1" thickBot="1" x14ac:dyDescent="0.3">
      <c r="A2495" s="73"/>
      <c r="B2495" s="116"/>
      <c r="C2495" s="117"/>
      <c r="D2495" s="118"/>
    </row>
    <row r="2496" spans="1:22" ht="20.25" customHeight="1" thickBot="1" x14ac:dyDescent="0.3">
      <c r="A2496" s="98"/>
      <c r="B2496" s="100"/>
      <c r="C2496" s="100"/>
      <c r="D2496" s="76"/>
    </row>
    <row r="2497" spans="1:22" ht="20.25" customHeight="1" x14ac:dyDescent="0.25">
      <c r="A2497" s="91"/>
      <c r="B2497" s="92"/>
      <c r="C2497" s="92"/>
      <c r="D2497" s="104"/>
    </row>
    <row r="2498" spans="1:22" ht="20.25" customHeight="1" thickBot="1" x14ac:dyDescent="0.3">
      <c r="A2498" s="73"/>
      <c r="B2498" s="74"/>
      <c r="C2498" s="74"/>
      <c r="D2498" s="75"/>
    </row>
    <row r="2499" spans="1:22" ht="20.25" customHeight="1" thickBot="1" x14ac:dyDescent="0.3">
      <c r="A2499" s="98"/>
      <c r="B2499" s="76"/>
      <c r="C2499" s="98"/>
      <c r="D2499" s="76"/>
    </row>
    <row r="2500" spans="1:22" ht="20.25" customHeight="1" thickBot="1" x14ac:dyDescent="0.3">
      <c r="A2500" s="110"/>
      <c r="B2500" s="98"/>
      <c r="C2500" s="76"/>
      <c r="D2500" s="110"/>
    </row>
    <row r="2501" spans="1:22" ht="20.25" customHeight="1" thickBot="1" x14ac:dyDescent="0.3">
      <c r="A2501" s="110"/>
      <c r="B2501" s="106"/>
      <c r="C2501" s="74"/>
      <c r="D2501" s="107"/>
      <c r="T2501" s="95"/>
      <c r="V2501" s="95"/>
    </row>
    <row r="2502" spans="1:22" ht="20.25" customHeight="1" thickBot="1" x14ac:dyDescent="0.3">
      <c r="A2502" s="98"/>
      <c r="B2502" s="76"/>
      <c r="C2502" s="98"/>
      <c r="D2502" s="76"/>
    </row>
    <row r="2503" spans="1:22" ht="20.25" customHeight="1" thickBot="1" x14ac:dyDescent="0.3">
      <c r="A2503" s="98"/>
      <c r="B2503" s="76"/>
      <c r="C2503" s="98"/>
      <c r="D2503" s="76"/>
      <c r="U2503" s="95"/>
      <c r="V2503" s="95"/>
    </row>
    <row r="2504" spans="1:22" ht="20.25" customHeight="1" thickBot="1" x14ac:dyDescent="0.3">
      <c r="A2504" s="98"/>
      <c r="B2504" s="76"/>
      <c r="C2504" s="98"/>
      <c r="D2504" s="76"/>
    </row>
    <row r="2505" spans="1:22" ht="20.25" customHeight="1" thickBot="1" x14ac:dyDescent="0.3">
      <c r="A2505" s="105"/>
      <c r="B2505" s="64"/>
      <c r="C2505" s="64"/>
      <c r="D2505" s="72"/>
    </row>
    <row r="2506" spans="1:22" ht="20.25" customHeight="1" thickBot="1" x14ac:dyDescent="0.3">
      <c r="A2506" s="108"/>
      <c r="B2506" s="108"/>
      <c r="C2506" s="108"/>
      <c r="D2506" s="108"/>
    </row>
    <row r="2507" spans="1:22" ht="20.25" customHeight="1" x14ac:dyDescent="0.25">
      <c r="A2507" s="105"/>
      <c r="B2507" s="111"/>
      <c r="C2507" s="112"/>
      <c r="D2507" s="113"/>
    </row>
    <row r="2508" spans="1:22" ht="20.25" customHeight="1" x14ac:dyDescent="0.25">
      <c r="A2508" s="105"/>
      <c r="B2508" s="114"/>
      <c r="C2508" s="109"/>
      <c r="D2508" s="115"/>
    </row>
    <row r="2509" spans="1:22" ht="20.25" customHeight="1" x14ac:dyDescent="0.25">
      <c r="A2509" s="105"/>
      <c r="B2509" s="114"/>
      <c r="C2509" s="109"/>
      <c r="D2509" s="115"/>
    </row>
    <row r="2510" spans="1:22" ht="20.25" customHeight="1" x14ac:dyDescent="0.25">
      <c r="A2510" s="105"/>
      <c r="B2510" s="114"/>
      <c r="C2510" s="109"/>
      <c r="D2510" s="115"/>
    </row>
    <row r="2511" spans="1:22" ht="20.25" customHeight="1" x14ac:dyDescent="0.25">
      <c r="A2511" s="105"/>
      <c r="B2511" s="114"/>
      <c r="C2511" s="109"/>
      <c r="D2511" s="115"/>
    </row>
    <row r="2512" spans="1:22" ht="20.25" customHeight="1" x14ac:dyDescent="0.25">
      <c r="A2512" s="105"/>
      <c r="B2512" s="114"/>
      <c r="C2512" s="109"/>
      <c r="D2512" s="115"/>
    </row>
    <row r="2513" spans="1:22" ht="20.25" customHeight="1" x14ac:dyDescent="0.25">
      <c r="A2513" s="105"/>
      <c r="B2513" s="114"/>
      <c r="C2513" s="109"/>
      <c r="D2513" s="115"/>
    </row>
    <row r="2514" spans="1:22" ht="20.25" customHeight="1" x14ac:dyDescent="0.25">
      <c r="A2514" s="105"/>
      <c r="B2514" s="114"/>
      <c r="C2514" s="109"/>
      <c r="D2514" s="115"/>
    </row>
    <row r="2515" spans="1:22" ht="20.25" customHeight="1" thickBot="1" x14ac:dyDescent="0.3">
      <c r="A2515" s="73"/>
      <c r="B2515" s="116"/>
      <c r="C2515" s="117"/>
      <c r="D2515" s="118"/>
    </row>
    <row r="2516" spans="1:22" ht="20.25" customHeight="1" thickBot="1" x14ac:dyDescent="0.3">
      <c r="A2516" s="98"/>
      <c r="B2516" s="100"/>
      <c r="C2516" s="100"/>
      <c r="D2516" s="76"/>
    </row>
    <row r="2517" spans="1:22" ht="20.25" customHeight="1" x14ac:dyDescent="0.25">
      <c r="A2517" s="91"/>
      <c r="B2517" s="92"/>
      <c r="C2517" s="92"/>
      <c r="D2517" s="104"/>
    </row>
    <row r="2518" spans="1:22" ht="20.25" customHeight="1" thickBot="1" x14ac:dyDescent="0.3">
      <c r="A2518" s="73"/>
      <c r="B2518" s="74"/>
      <c r="C2518" s="74"/>
      <c r="D2518" s="75"/>
    </row>
    <row r="2519" spans="1:22" ht="20.25" customHeight="1" thickBot="1" x14ac:dyDescent="0.3">
      <c r="A2519" s="98"/>
      <c r="B2519" s="76"/>
      <c r="C2519" s="98"/>
      <c r="D2519" s="76"/>
    </row>
    <row r="2520" spans="1:22" ht="20.25" customHeight="1" thickBot="1" x14ac:dyDescent="0.3">
      <c r="A2520" s="110"/>
      <c r="B2520" s="98"/>
      <c r="C2520" s="76"/>
      <c r="D2520" s="110"/>
    </row>
    <row r="2521" spans="1:22" ht="20.25" customHeight="1" thickBot="1" x14ac:dyDescent="0.3">
      <c r="A2521" s="110"/>
      <c r="B2521" s="106"/>
      <c r="C2521" s="74"/>
      <c r="D2521" s="107"/>
      <c r="T2521" s="95"/>
      <c r="V2521" s="95"/>
    </row>
    <row r="2522" spans="1:22" ht="20.25" customHeight="1" thickBot="1" x14ac:dyDescent="0.3">
      <c r="A2522" s="98"/>
      <c r="B2522" s="76"/>
      <c r="C2522" s="98"/>
      <c r="D2522" s="76"/>
    </row>
    <row r="2523" spans="1:22" ht="20.25" customHeight="1" thickBot="1" x14ac:dyDescent="0.3">
      <c r="A2523" s="98"/>
      <c r="B2523" s="76"/>
      <c r="C2523" s="98"/>
      <c r="D2523" s="76"/>
      <c r="U2523" s="95"/>
      <c r="V2523" s="95"/>
    </row>
    <row r="2524" spans="1:22" ht="20.25" customHeight="1" thickBot="1" x14ac:dyDescent="0.3">
      <c r="A2524" s="98"/>
      <c r="B2524" s="76"/>
      <c r="C2524" s="98"/>
      <c r="D2524" s="76"/>
    </row>
    <row r="2525" spans="1:22" ht="20.25" customHeight="1" thickBot="1" x14ac:dyDescent="0.3">
      <c r="A2525" s="105"/>
      <c r="B2525" s="64"/>
      <c r="C2525" s="64"/>
      <c r="D2525" s="72"/>
    </row>
    <row r="2526" spans="1:22" ht="20.25" customHeight="1" thickBot="1" x14ac:dyDescent="0.3">
      <c r="A2526" s="108"/>
      <c r="B2526" s="108"/>
      <c r="C2526" s="108"/>
      <c r="D2526" s="108"/>
    </row>
    <row r="2527" spans="1:22" ht="20.25" customHeight="1" x14ac:dyDescent="0.25">
      <c r="A2527" s="105"/>
      <c r="B2527" s="111"/>
      <c r="C2527" s="112"/>
      <c r="D2527" s="113"/>
    </row>
    <row r="2528" spans="1:22" ht="20.25" customHeight="1" x14ac:dyDescent="0.25">
      <c r="A2528" s="105"/>
      <c r="B2528" s="114"/>
      <c r="C2528" s="109"/>
      <c r="D2528" s="115"/>
    </row>
    <row r="2529" spans="1:22" ht="20.25" customHeight="1" x14ac:dyDescent="0.25">
      <c r="A2529" s="105"/>
      <c r="B2529" s="114"/>
      <c r="C2529" s="109"/>
      <c r="D2529" s="115"/>
    </row>
    <row r="2530" spans="1:22" ht="20.25" customHeight="1" x14ac:dyDescent="0.25">
      <c r="A2530" s="105"/>
      <c r="B2530" s="114"/>
      <c r="C2530" s="109"/>
      <c r="D2530" s="115"/>
    </row>
    <row r="2531" spans="1:22" ht="20.25" customHeight="1" x14ac:dyDescent="0.25">
      <c r="A2531" s="105"/>
      <c r="B2531" s="114"/>
      <c r="C2531" s="109"/>
      <c r="D2531" s="115"/>
    </row>
    <row r="2532" spans="1:22" ht="20.25" customHeight="1" x14ac:dyDescent="0.25">
      <c r="A2532" s="105"/>
      <c r="B2532" s="114"/>
      <c r="C2532" s="109"/>
      <c r="D2532" s="115"/>
    </row>
    <row r="2533" spans="1:22" ht="20.25" customHeight="1" x14ac:dyDescent="0.25">
      <c r="A2533" s="105"/>
      <c r="B2533" s="114"/>
      <c r="C2533" s="109"/>
      <c r="D2533" s="115"/>
    </row>
    <row r="2534" spans="1:22" ht="20.25" customHeight="1" x14ac:dyDescent="0.25">
      <c r="A2534" s="105"/>
      <c r="B2534" s="114"/>
      <c r="C2534" s="109"/>
      <c r="D2534" s="115"/>
    </row>
    <row r="2535" spans="1:22" ht="20.25" customHeight="1" thickBot="1" x14ac:dyDescent="0.3">
      <c r="A2535" s="73"/>
      <c r="B2535" s="116"/>
      <c r="C2535" s="117"/>
      <c r="D2535" s="118"/>
    </row>
    <row r="2536" spans="1:22" ht="20.25" customHeight="1" thickBot="1" x14ac:dyDescent="0.3">
      <c r="A2536" s="98"/>
      <c r="B2536" s="100"/>
      <c r="C2536" s="100"/>
      <c r="D2536" s="76"/>
    </row>
    <row r="2537" spans="1:22" ht="20.25" customHeight="1" x14ac:dyDescent="0.25">
      <c r="A2537" s="91"/>
      <c r="B2537" s="92"/>
      <c r="C2537" s="92"/>
      <c r="D2537" s="104"/>
    </row>
    <row r="2538" spans="1:22" ht="20.25" customHeight="1" thickBot="1" x14ac:dyDescent="0.3">
      <c r="A2538" s="73"/>
      <c r="B2538" s="74"/>
      <c r="C2538" s="74"/>
      <c r="D2538" s="75"/>
    </row>
    <row r="2539" spans="1:22" ht="20.25" customHeight="1" thickBot="1" x14ac:dyDescent="0.3">
      <c r="A2539" s="98"/>
      <c r="B2539" s="76"/>
      <c r="C2539" s="98"/>
      <c r="D2539" s="76"/>
    </row>
    <row r="2540" spans="1:22" ht="20.25" customHeight="1" thickBot="1" x14ac:dyDescent="0.3">
      <c r="A2540" s="110"/>
      <c r="B2540" s="98"/>
      <c r="C2540" s="76"/>
      <c r="D2540" s="110"/>
    </row>
    <row r="2541" spans="1:22" ht="20.25" customHeight="1" thickBot="1" x14ac:dyDescent="0.3">
      <c r="A2541" s="110"/>
      <c r="B2541" s="106"/>
      <c r="C2541" s="74"/>
      <c r="D2541" s="107"/>
      <c r="T2541" s="95"/>
      <c r="V2541" s="95"/>
    </row>
    <row r="2542" spans="1:22" ht="20.25" customHeight="1" thickBot="1" x14ac:dyDescent="0.3">
      <c r="A2542" s="98"/>
      <c r="B2542" s="76"/>
      <c r="C2542" s="98"/>
      <c r="D2542" s="76"/>
    </row>
    <row r="2543" spans="1:22" ht="20.25" customHeight="1" thickBot="1" x14ac:dyDescent="0.3">
      <c r="A2543" s="98"/>
      <c r="B2543" s="76"/>
      <c r="C2543" s="98"/>
      <c r="D2543" s="76"/>
      <c r="U2543" s="95"/>
      <c r="V2543" s="95"/>
    </row>
    <row r="2544" spans="1:22" ht="20.25" customHeight="1" thickBot="1" x14ac:dyDescent="0.3">
      <c r="A2544" s="98"/>
      <c r="B2544" s="76"/>
      <c r="C2544" s="98"/>
      <c r="D2544" s="76"/>
    </row>
    <row r="2545" spans="1:4" ht="20.25" customHeight="1" thickBot="1" x14ac:dyDescent="0.3">
      <c r="A2545" s="105"/>
      <c r="B2545" s="64"/>
      <c r="C2545" s="64"/>
      <c r="D2545" s="72"/>
    </row>
    <row r="2546" spans="1:4" ht="20.25" customHeight="1" thickBot="1" x14ac:dyDescent="0.3">
      <c r="A2546" s="108"/>
      <c r="B2546" s="108"/>
      <c r="C2546" s="108"/>
      <c r="D2546" s="108"/>
    </row>
    <row r="2547" spans="1:4" ht="20.25" customHeight="1" x14ac:dyDescent="0.25">
      <c r="A2547" s="105"/>
      <c r="B2547" s="111"/>
      <c r="C2547" s="112"/>
      <c r="D2547" s="113"/>
    </row>
    <row r="2548" spans="1:4" ht="20.25" customHeight="1" x14ac:dyDescent="0.25">
      <c r="A2548" s="105"/>
      <c r="B2548" s="114"/>
      <c r="C2548" s="109"/>
      <c r="D2548" s="115"/>
    </row>
    <row r="2549" spans="1:4" ht="20.25" customHeight="1" x14ac:dyDescent="0.25">
      <c r="A2549" s="105"/>
      <c r="B2549" s="114"/>
      <c r="C2549" s="109"/>
      <c r="D2549" s="115"/>
    </row>
    <row r="2550" spans="1:4" ht="20.25" customHeight="1" x14ac:dyDescent="0.25">
      <c r="A2550" s="105"/>
      <c r="B2550" s="114"/>
      <c r="C2550" s="109"/>
      <c r="D2550" s="115"/>
    </row>
    <row r="2551" spans="1:4" ht="20.25" customHeight="1" x14ac:dyDescent="0.25">
      <c r="A2551" s="105"/>
      <c r="B2551" s="114"/>
      <c r="C2551" s="109"/>
      <c r="D2551" s="115"/>
    </row>
    <row r="2552" spans="1:4" ht="20.25" customHeight="1" x14ac:dyDescent="0.25">
      <c r="A2552" s="105"/>
      <c r="B2552" s="114"/>
      <c r="C2552" s="109"/>
      <c r="D2552" s="115"/>
    </row>
    <row r="2553" spans="1:4" ht="20.25" customHeight="1" x14ac:dyDescent="0.25">
      <c r="A2553" s="105"/>
      <c r="B2553" s="114"/>
      <c r="C2553" s="109"/>
      <c r="D2553" s="115"/>
    </row>
    <row r="2554" spans="1:4" ht="20.25" customHeight="1" x14ac:dyDescent="0.25">
      <c r="A2554" s="105"/>
      <c r="B2554" s="114"/>
      <c r="C2554" s="109"/>
      <c r="D2554" s="115"/>
    </row>
    <row r="2555" spans="1:4" ht="20.25" customHeight="1" thickBot="1" x14ac:dyDescent="0.3">
      <c r="A2555" s="73"/>
      <c r="B2555" s="116"/>
      <c r="C2555" s="117"/>
      <c r="D2555" s="118"/>
    </row>
    <row r="2556" spans="1:4" ht="20.25" customHeight="1" thickBot="1" x14ac:dyDescent="0.3">
      <c r="A2556" s="98"/>
      <c r="B2556" s="100"/>
      <c r="C2556" s="100"/>
      <c r="D2556" s="76"/>
    </row>
    <row r="2557" spans="1:4" ht="20.25" customHeight="1" x14ac:dyDescent="0.25">
      <c r="A2557" s="91"/>
      <c r="B2557" s="92"/>
      <c r="C2557" s="92"/>
      <c r="D2557" s="104"/>
    </row>
    <row r="2558" spans="1:4" ht="20.25" customHeight="1" thickBot="1" x14ac:dyDescent="0.3">
      <c r="A2558" s="73"/>
      <c r="B2558" s="74"/>
      <c r="C2558" s="74"/>
      <c r="D2558" s="75"/>
    </row>
    <row r="2559" spans="1:4" ht="20.25" customHeight="1" thickBot="1" x14ac:dyDescent="0.3">
      <c r="A2559" s="98"/>
      <c r="B2559" s="76"/>
      <c r="C2559" s="98"/>
      <c r="D2559" s="76"/>
    </row>
    <row r="2560" spans="1:4" ht="20.25" customHeight="1" thickBot="1" x14ac:dyDescent="0.3">
      <c r="A2560" s="110"/>
      <c r="B2560" s="98"/>
      <c r="C2560" s="76"/>
      <c r="D2560" s="110"/>
    </row>
    <row r="2561" spans="1:22" ht="20.25" customHeight="1" thickBot="1" x14ac:dyDescent="0.3">
      <c r="A2561" s="110"/>
      <c r="B2561" s="106"/>
      <c r="C2561" s="74"/>
      <c r="D2561" s="107"/>
      <c r="T2561" s="95"/>
      <c r="V2561" s="95"/>
    </row>
    <row r="2562" spans="1:22" ht="20.25" customHeight="1" thickBot="1" x14ac:dyDescent="0.3">
      <c r="A2562" s="98"/>
      <c r="B2562" s="76"/>
      <c r="C2562" s="98"/>
      <c r="D2562" s="76"/>
    </row>
    <row r="2563" spans="1:22" ht="20.25" customHeight="1" thickBot="1" x14ac:dyDescent="0.3">
      <c r="A2563" s="98"/>
      <c r="B2563" s="76"/>
      <c r="C2563" s="98"/>
      <c r="D2563" s="76"/>
      <c r="U2563" s="95"/>
      <c r="V2563" s="95"/>
    </row>
    <row r="2564" spans="1:22" ht="20.25" customHeight="1" thickBot="1" x14ac:dyDescent="0.3">
      <c r="A2564" s="98"/>
      <c r="B2564" s="76"/>
      <c r="C2564" s="98"/>
      <c r="D2564" s="76"/>
    </row>
    <row r="2565" spans="1:22" ht="20.25" customHeight="1" thickBot="1" x14ac:dyDescent="0.3">
      <c r="A2565" s="105"/>
      <c r="B2565" s="64"/>
      <c r="C2565" s="64"/>
      <c r="D2565" s="72"/>
    </row>
    <row r="2566" spans="1:22" ht="20.25" customHeight="1" thickBot="1" x14ac:dyDescent="0.3">
      <c r="A2566" s="108"/>
      <c r="B2566" s="108"/>
      <c r="C2566" s="108"/>
      <c r="D2566" s="108"/>
    </row>
    <row r="2567" spans="1:22" ht="20.25" customHeight="1" x14ac:dyDescent="0.25">
      <c r="A2567" s="105"/>
      <c r="B2567" s="111"/>
      <c r="C2567" s="112"/>
      <c r="D2567" s="113"/>
    </row>
    <row r="2568" spans="1:22" ht="20.25" customHeight="1" x14ac:dyDescent="0.25">
      <c r="A2568" s="105"/>
      <c r="B2568" s="114"/>
      <c r="C2568" s="109"/>
      <c r="D2568" s="115"/>
    </row>
    <row r="2569" spans="1:22" ht="20.25" customHeight="1" x14ac:dyDescent="0.25">
      <c r="A2569" s="105"/>
      <c r="B2569" s="114"/>
      <c r="C2569" s="109"/>
      <c r="D2569" s="115"/>
    </row>
    <row r="2570" spans="1:22" ht="20.25" customHeight="1" x14ac:dyDescent="0.25">
      <c r="A2570" s="105"/>
      <c r="B2570" s="114"/>
      <c r="C2570" s="109"/>
      <c r="D2570" s="115"/>
    </row>
    <row r="2571" spans="1:22" ht="20.25" customHeight="1" x14ac:dyDescent="0.25">
      <c r="A2571" s="105"/>
      <c r="B2571" s="114"/>
      <c r="C2571" s="109"/>
      <c r="D2571" s="115"/>
    </row>
    <row r="2572" spans="1:22" ht="20.25" customHeight="1" x14ac:dyDescent="0.25">
      <c r="A2572" s="105"/>
      <c r="B2572" s="114"/>
      <c r="C2572" s="109"/>
      <c r="D2572" s="115"/>
    </row>
    <row r="2573" spans="1:22" ht="20.25" customHeight="1" x14ac:dyDescent="0.25">
      <c r="A2573" s="105"/>
      <c r="B2573" s="114"/>
      <c r="C2573" s="109"/>
      <c r="D2573" s="115"/>
    </row>
    <row r="2574" spans="1:22" ht="20.25" customHeight="1" x14ac:dyDescent="0.25">
      <c r="A2574" s="105"/>
      <c r="B2574" s="114"/>
      <c r="C2574" s="109"/>
      <c r="D2574" s="115"/>
    </row>
    <row r="2575" spans="1:22" ht="20.25" customHeight="1" thickBot="1" x14ac:dyDescent="0.3">
      <c r="A2575" s="73"/>
      <c r="B2575" s="116"/>
      <c r="C2575" s="117"/>
      <c r="D2575" s="118"/>
    </row>
    <row r="2576" spans="1:22" ht="20.25" customHeight="1" thickBot="1" x14ac:dyDescent="0.3">
      <c r="A2576" s="98"/>
      <c r="B2576" s="100"/>
      <c r="C2576" s="100"/>
      <c r="D2576" s="76"/>
    </row>
    <row r="2577" spans="1:22" ht="20.25" customHeight="1" x14ac:dyDescent="0.25">
      <c r="A2577" s="91"/>
      <c r="B2577" s="92"/>
      <c r="C2577" s="92"/>
      <c r="D2577" s="104"/>
    </row>
    <row r="2578" spans="1:22" ht="20.25" customHeight="1" thickBot="1" x14ac:dyDescent="0.3">
      <c r="A2578" s="73"/>
      <c r="B2578" s="74"/>
      <c r="C2578" s="74"/>
      <c r="D2578" s="75"/>
    </row>
    <row r="2579" spans="1:22" ht="20.25" customHeight="1" thickBot="1" x14ac:dyDescent="0.3">
      <c r="A2579" s="98"/>
      <c r="B2579" s="76"/>
      <c r="C2579" s="98"/>
      <c r="D2579" s="76"/>
    </row>
    <row r="2580" spans="1:22" ht="20.25" customHeight="1" thickBot="1" x14ac:dyDescent="0.3">
      <c r="A2580" s="110"/>
      <c r="B2580" s="98"/>
      <c r="C2580" s="76"/>
      <c r="D2580" s="110"/>
    </row>
    <row r="2581" spans="1:22" ht="20.25" customHeight="1" thickBot="1" x14ac:dyDescent="0.3">
      <c r="A2581" s="110"/>
      <c r="B2581" s="106"/>
      <c r="C2581" s="74"/>
      <c r="D2581" s="107"/>
      <c r="T2581" s="95"/>
      <c r="V2581" s="95"/>
    </row>
    <row r="2582" spans="1:22" ht="20.25" customHeight="1" thickBot="1" x14ac:dyDescent="0.3">
      <c r="A2582" s="98"/>
      <c r="B2582" s="76"/>
      <c r="C2582" s="98"/>
      <c r="D2582" s="76"/>
    </row>
    <row r="2583" spans="1:22" ht="20.25" customHeight="1" thickBot="1" x14ac:dyDescent="0.3">
      <c r="A2583" s="98"/>
      <c r="B2583" s="76"/>
      <c r="C2583" s="98"/>
      <c r="D2583" s="76"/>
      <c r="U2583" s="95"/>
      <c r="V2583" s="95"/>
    </row>
    <row r="2584" spans="1:22" ht="20.25" customHeight="1" thickBot="1" x14ac:dyDescent="0.3">
      <c r="A2584" s="98"/>
      <c r="B2584" s="76"/>
      <c r="C2584" s="98"/>
      <c r="D2584" s="76"/>
    </row>
    <row r="2585" spans="1:22" ht="20.25" customHeight="1" thickBot="1" x14ac:dyDescent="0.3">
      <c r="A2585" s="105"/>
      <c r="B2585" s="64"/>
      <c r="C2585" s="64"/>
      <c r="D2585" s="72"/>
    </row>
    <row r="2586" spans="1:22" ht="20.25" customHeight="1" thickBot="1" x14ac:dyDescent="0.3">
      <c r="A2586" s="108"/>
      <c r="B2586" s="108"/>
      <c r="C2586" s="108"/>
      <c r="D2586" s="108"/>
    </row>
    <row r="2587" spans="1:22" ht="20.25" customHeight="1" x14ac:dyDescent="0.25">
      <c r="A2587" s="105"/>
      <c r="B2587" s="111"/>
      <c r="C2587" s="112"/>
      <c r="D2587" s="113"/>
    </row>
    <row r="2588" spans="1:22" ht="20.25" customHeight="1" x14ac:dyDescent="0.25">
      <c r="A2588" s="105"/>
      <c r="B2588" s="114"/>
      <c r="C2588" s="109"/>
      <c r="D2588" s="115"/>
    </row>
    <row r="2589" spans="1:22" ht="20.25" customHeight="1" x14ac:dyDescent="0.25">
      <c r="A2589" s="105"/>
      <c r="B2589" s="114"/>
      <c r="C2589" s="109"/>
      <c r="D2589" s="115"/>
    </row>
    <row r="2590" spans="1:22" ht="20.25" customHeight="1" x14ac:dyDescent="0.25">
      <c r="A2590" s="105"/>
      <c r="B2590" s="114"/>
      <c r="C2590" s="109"/>
      <c r="D2590" s="115"/>
    </row>
    <row r="2591" spans="1:22" ht="20.25" customHeight="1" x14ac:dyDescent="0.25">
      <c r="A2591" s="105"/>
      <c r="B2591" s="114"/>
      <c r="C2591" s="109"/>
      <c r="D2591" s="115"/>
    </row>
    <row r="2592" spans="1:22" ht="20.25" customHeight="1" x14ac:dyDescent="0.25">
      <c r="A2592" s="105"/>
      <c r="B2592" s="114"/>
      <c r="C2592" s="109"/>
      <c r="D2592" s="115"/>
    </row>
    <row r="2593" spans="1:22" ht="20.25" customHeight="1" x14ac:dyDescent="0.25">
      <c r="A2593" s="105"/>
      <c r="B2593" s="114"/>
      <c r="C2593" s="109"/>
      <c r="D2593" s="115"/>
    </row>
    <row r="2594" spans="1:22" ht="20.25" customHeight="1" x14ac:dyDescent="0.25">
      <c r="A2594" s="105"/>
      <c r="B2594" s="114"/>
      <c r="C2594" s="109"/>
      <c r="D2594" s="115"/>
    </row>
    <row r="2595" spans="1:22" ht="20.25" customHeight="1" thickBot="1" x14ac:dyDescent="0.3">
      <c r="A2595" s="73"/>
      <c r="B2595" s="116"/>
      <c r="C2595" s="117"/>
      <c r="D2595" s="118"/>
    </row>
    <row r="2596" spans="1:22" ht="20.25" customHeight="1" thickBot="1" x14ac:dyDescent="0.3">
      <c r="A2596" s="98"/>
      <c r="B2596" s="100"/>
      <c r="C2596" s="100"/>
      <c r="D2596" s="76"/>
    </row>
    <row r="2597" spans="1:22" ht="20.25" customHeight="1" x14ac:dyDescent="0.25">
      <c r="A2597" s="91"/>
      <c r="B2597" s="92"/>
      <c r="C2597" s="92"/>
      <c r="D2597" s="104"/>
    </row>
    <row r="2598" spans="1:22" ht="20.25" customHeight="1" thickBot="1" x14ac:dyDescent="0.3">
      <c r="A2598" s="73"/>
      <c r="B2598" s="74"/>
      <c r="C2598" s="74"/>
      <c r="D2598" s="75"/>
    </row>
    <row r="2599" spans="1:22" ht="20.25" customHeight="1" thickBot="1" x14ac:dyDescent="0.3">
      <c r="A2599" s="98"/>
      <c r="B2599" s="76"/>
      <c r="C2599" s="98"/>
      <c r="D2599" s="76"/>
    </row>
    <row r="2600" spans="1:22" ht="20.25" customHeight="1" thickBot="1" x14ac:dyDescent="0.3">
      <c r="A2600" s="110"/>
      <c r="B2600" s="98"/>
      <c r="C2600" s="76"/>
      <c r="D2600" s="110"/>
    </row>
    <row r="2601" spans="1:22" ht="20.25" customHeight="1" thickBot="1" x14ac:dyDescent="0.3">
      <c r="A2601" s="110"/>
      <c r="B2601" s="106"/>
      <c r="C2601" s="74"/>
      <c r="D2601" s="107"/>
      <c r="T2601" s="95"/>
      <c r="V2601" s="95"/>
    </row>
    <row r="2602" spans="1:22" ht="20.25" customHeight="1" thickBot="1" x14ac:dyDescent="0.3">
      <c r="A2602" s="98"/>
      <c r="B2602" s="76"/>
      <c r="C2602" s="98"/>
      <c r="D2602" s="76"/>
    </row>
    <row r="2603" spans="1:22" ht="20.25" customHeight="1" thickBot="1" x14ac:dyDescent="0.3">
      <c r="A2603" s="98"/>
      <c r="B2603" s="76"/>
      <c r="C2603" s="98"/>
      <c r="D2603" s="76"/>
      <c r="U2603" s="95"/>
      <c r="V2603" s="95"/>
    </row>
    <row r="2604" spans="1:22" ht="20.25" customHeight="1" thickBot="1" x14ac:dyDescent="0.3">
      <c r="A2604" s="98"/>
      <c r="B2604" s="76"/>
      <c r="C2604" s="98"/>
      <c r="D2604" s="76"/>
    </row>
    <row r="2605" spans="1:22" ht="20.25" customHeight="1" thickBot="1" x14ac:dyDescent="0.3">
      <c r="A2605" s="105"/>
      <c r="B2605" s="64"/>
      <c r="C2605" s="64"/>
      <c r="D2605" s="72"/>
    </row>
    <row r="2606" spans="1:22" ht="20.25" customHeight="1" thickBot="1" x14ac:dyDescent="0.3">
      <c r="A2606" s="108"/>
      <c r="B2606" s="108"/>
      <c r="C2606" s="108"/>
      <c r="D2606" s="108"/>
    </row>
    <row r="2607" spans="1:22" ht="20.25" customHeight="1" x14ac:dyDescent="0.25">
      <c r="A2607" s="105"/>
      <c r="B2607" s="111"/>
      <c r="C2607" s="112"/>
      <c r="D2607" s="113"/>
    </row>
    <row r="2608" spans="1:22" ht="20.25" customHeight="1" x14ac:dyDescent="0.25">
      <c r="A2608" s="105"/>
      <c r="B2608" s="114"/>
      <c r="C2608" s="109"/>
      <c r="D2608" s="115"/>
    </row>
    <row r="2609" spans="1:22" ht="20.25" customHeight="1" x14ac:dyDescent="0.25">
      <c r="A2609" s="105"/>
      <c r="B2609" s="114"/>
      <c r="C2609" s="109"/>
      <c r="D2609" s="115"/>
    </row>
    <row r="2610" spans="1:22" ht="20.25" customHeight="1" x14ac:dyDescent="0.25">
      <c r="A2610" s="105"/>
      <c r="B2610" s="114"/>
      <c r="C2610" s="109"/>
      <c r="D2610" s="115"/>
    </row>
    <row r="2611" spans="1:22" ht="20.25" customHeight="1" x14ac:dyDescent="0.25">
      <c r="A2611" s="105"/>
      <c r="B2611" s="114"/>
      <c r="C2611" s="109"/>
      <c r="D2611" s="115"/>
    </row>
    <row r="2612" spans="1:22" ht="20.25" customHeight="1" x14ac:dyDescent="0.25">
      <c r="A2612" s="105"/>
      <c r="B2612" s="114"/>
      <c r="C2612" s="109"/>
      <c r="D2612" s="115"/>
    </row>
    <row r="2613" spans="1:22" ht="20.25" customHeight="1" x14ac:dyDescent="0.25">
      <c r="A2613" s="105"/>
      <c r="B2613" s="114"/>
      <c r="C2613" s="109"/>
      <c r="D2613" s="115"/>
    </row>
    <row r="2614" spans="1:22" ht="20.25" customHeight="1" x14ac:dyDescent="0.25">
      <c r="A2614" s="105"/>
      <c r="B2614" s="114"/>
      <c r="C2614" s="109"/>
      <c r="D2614" s="115"/>
    </row>
    <row r="2615" spans="1:22" ht="20.25" customHeight="1" thickBot="1" x14ac:dyDescent="0.3">
      <c r="A2615" s="73"/>
      <c r="B2615" s="116"/>
      <c r="C2615" s="117"/>
      <c r="D2615" s="118"/>
    </row>
    <row r="2616" spans="1:22" ht="20.25" customHeight="1" thickBot="1" x14ac:dyDescent="0.3">
      <c r="A2616" s="98"/>
      <c r="B2616" s="100"/>
      <c r="C2616" s="100"/>
      <c r="D2616" s="76"/>
    </row>
    <row r="2617" spans="1:22" ht="20.25" customHeight="1" x14ac:dyDescent="0.25">
      <c r="A2617" s="91"/>
      <c r="B2617" s="92"/>
      <c r="C2617" s="92"/>
      <c r="D2617" s="104"/>
    </row>
    <row r="2618" spans="1:22" ht="20.25" customHeight="1" thickBot="1" x14ac:dyDescent="0.3">
      <c r="A2618" s="73"/>
      <c r="B2618" s="74"/>
      <c r="C2618" s="74"/>
      <c r="D2618" s="75"/>
    </row>
    <row r="2619" spans="1:22" ht="20.25" customHeight="1" thickBot="1" x14ac:dyDescent="0.3">
      <c r="A2619" s="98"/>
      <c r="B2619" s="76"/>
      <c r="C2619" s="98"/>
      <c r="D2619" s="76"/>
    </row>
    <row r="2620" spans="1:22" ht="20.25" customHeight="1" thickBot="1" x14ac:dyDescent="0.3">
      <c r="A2620" s="110"/>
      <c r="B2620" s="98"/>
      <c r="C2620" s="76"/>
      <c r="D2620" s="110"/>
    </row>
    <row r="2621" spans="1:22" ht="20.25" customHeight="1" thickBot="1" x14ac:dyDescent="0.3">
      <c r="A2621" s="110"/>
      <c r="B2621" s="106"/>
      <c r="C2621" s="74"/>
      <c r="D2621" s="107"/>
      <c r="T2621" s="95"/>
      <c r="V2621" s="95"/>
    </row>
    <row r="2622" spans="1:22" ht="20.25" customHeight="1" thickBot="1" x14ac:dyDescent="0.3">
      <c r="A2622" s="98"/>
      <c r="B2622" s="76"/>
      <c r="C2622" s="98"/>
      <c r="D2622" s="76"/>
      <c r="F2622" s="28" t="s">
        <v>58</v>
      </c>
    </row>
    <row r="2623" spans="1:22" ht="20.25" customHeight="1" thickBot="1" x14ac:dyDescent="0.3">
      <c r="A2623" s="98"/>
      <c r="B2623" s="76"/>
      <c r="C2623" s="98"/>
      <c r="D2623" s="76"/>
      <c r="U2623" s="95"/>
      <c r="V2623" s="95"/>
    </row>
    <row r="2624" spans="1:22" ht="20.25" customHeight="1" thickBot="1" x14ac:dyDescent="0.3">
      <c r="A2624" s="98"/>
      <c r="B2624" s="76"/>
      <c r="C2624" s="98"/>
      <c r="D2624" s="76"/>
    </row>
    <row r="2625" spans="1:4" ht="20.25" customHeight="1" thickBot="1" x14ac:dyDescent="0.3">
      <c r="A2625" s="105"/>
      <c r="B2625" s="64"/>
      <c r="C2625" s="64"/>
      <c r="D2625" s="72"/>
    </row>
    <row r="2626" spans="1:4" ht="20.25" customHeight="1" thickBot="1" x14ac:dyDescent="0.3">
      <c r="A2626" s="108"/>
      <c r="B2626" s="108"/>
      <c r="C2626" s="108"/>
      <c r="D2626" s="108"/>
    </row>
    <row r="2627" spans="1:4" ht="20.25" customHeight="1" x14ac:dyDescent="0.25">
      <c r="A2627" s="105"/>
      <c r="B2627" s="111"/>
      <c r="C2627" s="112"/>
      <c r="D2627" s="113"/>
    </row>
    <row r="2628" spans="1:4" ht="20.25" customHeight="1" x14ac:dyDescent="0.25">
      <c r="A2628" s="105"/>
      <c r="B2628" s="114"/>
      <c r="C2628" s="109"/>
      <c r="D2628" s="115"/>
    </row>
    <row r="2629" spans="1:4" ht="20.25" customHeight="1" x14ac:dyDescent="0.25">
      <c r="A2629" s="105"/>
      <c r="B2629" s="114"/>
      <c r="C2629" s="109"/>
      <c r="D2629" s="115"/>
    </row>
    <row r="2630" spans="1:4" ht="20.25" customHeight="1" x14ac:dyDescent="0.25">
      <c r="A2630" s="105"/>
      <c r="B2630" s="114"/>
      <c r="C2630" s="109"/>
      <c r="D2630" s="115"/>
    </row>
    <row r="2631" spans="1:4" ht="20.25" customHeight="1" x14ac:dyDescent="0.25">
      <c r="A2631" s="105"/>
      <c r="B2631" s="114"/>
      <c r="C2631" s="109"/>
      <c r="D2631" s="115"/>
    </row>
    <row r="2632" spans="1:4" ht="20.25" customHeight="1" x14ac:dyDescent="0.25">
      <c r="A2632" s="105"/>
      <c r="B2632" s="114"/>
      <c r="C2632" s="109"/>
      <c r="D2632" s="115"/>
    </row>
    <row r="2633" spans="1:4" ht="20.25" customHeight="1" x14ac:dyDescent="0.25">
      <c r="A2633" s="105"/>
      <c r="B2633" s="114"/>
      <c r="C2633" s="109"/>
      <c r="D2633" s="115"/>
    </row>
    <row r="2634" spans="1:4" ht="20.25" customHeight="1" x14ac:dyDescent="0.25">
      <c r="A2634" s="105"/>
      <c r="B2634" s="114"/>
      <c r="C2634" s="109"/>
      <c r="D2634" s="115"/>
    </row>
    <row r="2635" spans="1:4" ht="20.25" customHeight="1" thickBot="1" x14ac:dyDescent="0.3">
      <c r="A2635" s="73"/>
      <c r="B2635" s="116"/>
      <c r="C2635" s="117"/>
      <c r="D2635" s="118"/>
    </row>
    <row r="2636" spans="1:4" ht="20.25" customHeight="1" thickBot="1" x14ac:dyDescent="0.3">
      <c r="A2636" s="98"/>
      <c r="B2636" s="100"/>
      <c r="C2636" s="100"/>
      <c r="D2636" s="76"/>
    </row>
    <row r="2637" spans="1:4" ht="20.25" customHeight="1" x14ac:dyDescent="0.25">
      <c r="A2637" s="91"/>
      <c r="B2637" s="92"/>
      <c r="C2637" s="92"/>
      <c r="D2637" s="104"/>
    </row>
    <row r="2638" spans="1:4" ht="20.25" customHeight="1" thickBot="1" x14ac:dyDescent="0.3">
      <c r="A2638" s="73"/>
      <c r="B2638" s="74"/>
      <c r="C2638" s="74"/>
      <c r="D2638" s="75"/>
    </row>
    <row r="2639" spans="1:4" ht="20.25" customHeight="1" thickBot="1" x14ac:dyDescent="0.3">
      <c r="A2639" s="98"/>
      <c r="B2639" s="76"/>
      <c r="C2639" s="98"/>
      <c r="D2639" s="76"/>
    </row>
    <row r="2640" spans="1:4" ht="20.25" customHeight="1" thickBot="1" x14ac:dyDescent="0.3">
      <c r="A2640" s="110"/>
      <c r="B2640" s="98"/>
      <c r="C2640" s="76"/>
      <c r="D2640" s="110"/>
    </row>
    <row r="2641" spans="1:22" ht="20.25" customHeight="1" thickBot="1" x14ac:dyDescent="0.3">
      <c r="A2641" s="110"/>
      <c r="B2641" s="106"/>
      <c r="C2641" s="74"/>
      <c r="D2641" s="107"/>
      <c r="F2641" s="28" t="s">
        <v>58</v>
      </c>
      <c r="T2641" s="95"/>
      <c r="V2641" s="95"/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Start</vt:lpstr>
      <vt:lpstr>clacs</vt:lpstr>
      <vt:lpstr>BDA</vt:lpstr>
      <vt:lpstr>customers</vt:lpstr>
      <vt:lpstr>dd</vt:lpstr>
      <vt:lpstr>Depts</vt:lpstr>
      <vt:lpstr>ITEM</vt:lpstr>
      <vt:lpstr>Item22</vt:lpstr>
      <vt:lpstr>mah</vt:lpstr>
      <vt:lpstr>maha</vt:lpstr>
      <vt:lpstr>monthz</vt:lpstr>
      <vt:lpstr>BDA!Print_Area</vt:lpstr>
      <vt:lpstr>print!Print_Area</vt:lpstr>
      <vt:lpstr>Sheet3!Print_Area</vt:lpstr>
      <vt:lpstr>Start!Print_Area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Admin</cp:lastModifiedBy>
  <cp:lastPrinted>2022-01-29T21:56:46Z</cp:lastPrinted>
  <dcterms:created xsi:type="dcterms:W3CDTF">2019-10-18T17:24:08Z</dcterms:created>
  <dcterms:modified xsi:type="dcterms:W3CDTF">2022-01-29T21:56:47Z</dcterms:modified>
</cp:coreProperties>
</file>